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Unidades compartidas\HOLDING\INTEGRAL CONSULTORES\PRESUPUESTOS Y FLUJOS\"/>
    </mc:Choice>
  </mc:AlternateContent>
  <xr:revisionPtr revIDLastSave="0" documentId="13_ncr:1_{7B4FE547-ABF8-4D8B-BAC2-5E851DCA3D91}" xr6:coauthVersionLast="47" xr6:coauthVersionMax="47" xr10:uidLastSave="{00000000-0000-0000-0000-000000000000}"/>
  <bookViews>
    <workbookView xWindow="-98" yWindow="-98" windowWidth="21795" windowHeight="11625" firstSheet="1" activeTab="2" xr2:uid="{60210847-AE58-4682-8F14-7C820203C45E}"/>
  </bookViews>
  <sheets>
    <sheet name="Cuadro" sheetId="1" r:id="rId1"/>
    <sheet name=" cta 10" sheetId="2" r:id="rId2"/>
    <sheet name="Detalle S10_Junio 2026" sheetId="3" r:id="rId3"/>
    <sheet name="Detalle S10_Junio 2026 (2)" sheetId="4" r:id="rId4"/>
    <sheet name="Detalle S10_Junio 2026 (3)" sheetId="6" r:id="rId5"/>
    <sheet name="Hoja2" sheetId="5" r:id="rId6"/>
  </sheets>
  <externalReferences>
    <externalReference r:id="rId7"/>
    <externalReference r:id="rId8"/>
  </externalReferences>
  <definedNames>
    <definedName name="___a123" hidden="1">{#N/A,#N/A,FALSE,"Hip.Bas";#N/A,#N/A,FALSE,"ventas";#N/A,#N/A,FALSE,"ingre-Año";#N/A,#N/A,FALSE,"ventas-Año";#N/A,#N/A,FALSE,"Costepro";#N/A,#N/A,FALSE,"inversion";#N/A,#N/A,FALSE,"personal";#N/A,#N/A,FALSE,"Gastos-V";#N/A,#N/A,FALSE,"Circulante";#N/A,#N/A,FALSE,"CONSOLI";#N/A,#N/A,FALSE,"Es-Fin";#N/A,#N/A,FALSE,"Margen-P"}</definedName>
    <definedName name="___a123456" hidden="1">{#N/A,#N/A,FALSE,"Hip.Bas";#N/A,#N/A,FALSE,"ventas";#N/A,#N/A,FALSE,"ingre-Año";#N/A,#N/A,FALSE,"ventas-Año";#N/A,#N/A,FALSE,"Costepro";#N/A,#N/A,FALSE,"inversion";#N/A,#N/A,FALSE,"personal";#N/A,#N/A,FALSE,"Gastos-V";#N/A,#N/A,FALSE,"Circulante";#N/A,#N/A,FALSE,"CONSOLI";#N/A,#N/A,FALSE,"Es-Fin";#N/A,#N/A,FALSE,"Margen-P"}</definedName>
    <definedName name="___a234" hidden="1">{#N/A,#N/A,FALSE,"Hip.Bas";#N/A,#N/A,FALSE,"ventas";#N/A,#N/A,FALSE,"ingre-Año";#N/A,#N/A,FALSE,"ventas-Año";#N/A,#N/A,FALSE,"Costepro";#N/A,#N/A,FALSE,"inversion";#N/A,#N/A,FALSE,"personal";#N/A,#N/A,FALSE,"Gastos-V";#N/A,#N/A,FALSE,"Circulante";#N/A,#N/A,FALSE,"CONSOLI";#N/A,#N/A,FALSE,"Es-Fin";#N/A,#N/A,FALSE,"Margen-P"}</definedName>
    <definedName name="___a345" hidden="1">{#N/A,#N/A,FALSE,"Hip.Bas";#N/A,#N/A,FALSE,"ventas";#N/A,#N/A,FALSE,"ingre-Año";#N/A,#N/A,FALSE,"ventas-Año";#N/A,#N/A,FALSE,"Costepro";#N/A,#N/A,FALSE,"inversion";#N/A,#N/A,FALSE,"personal";#N/A,#N/A,FALSE,"Gastos-V";#N/A,#N/A,FALSE,"Circulante";#N/A,#N/A,FALSE,"CONSOLI";#N/A,#N/A,FALSE,"Es-Fin";#N/A,#N/A,FALSE,"Margen-P"}</definedName>
    <definedName name="___a456" hidden="1">{#N/A,#N/A,FALSE,"Hip.Bas";#N/A,#N/A,FALSE,"ventas";#N/A,#N/A,FALSE,"ingre-Año";#N/A,#N/A,FALSE,"ventas-Año";#N/A,#N/A,FALSE,"Costepro";#N/A,#N/A,FALSE,"inversion";#N/A,#N/A,FALSE,"personal";#N/A,#N/A,FALSE,"Gastos-V";#N/A,#N/A,FALSE,"Circulante";#N/A,#N/A,FALSE,"CONSOLI";#N/A,#N/A,FALSE,"Es-Fin";#N/A,#N/A,FALSE,"Margen-P"}</definedName>
    <definedName name="___a567" hidden="1">{#N/A,#N/A,FALSE,"Hip.Bas";#N/A,#N/A,FALSE,"ventas";#N/A,#N/A,FALSE,"ingre-Año";#N/A,#N/A,FALSE,"ventas-Año";#N/A,#N/A,FALSE,"Costepro";#N/A,#N/A,FALSE,"inversion";#N/A,#N/A,FALSE,"personal";#N/A,#N/A,FALSE,"Gastos-V";#N/A,#N/A,FALSE,"Circulante";#N/A,#N/A,FALSE,"CONSOLI";#N/A,#N/A,FALSE,"Es-Fin";#N/A,#N/A,FALSE,"Margen-P"}</definedName>
    <definedName name="___a678" hidden="1">{#N/A,#N/A,FALSE,"Hip.Bas";#N/A,#N/A,FALSE,"ventas";#N/A,#N/A,FALSE,"ingre-Año";#N/A,#N/A,FALSE,"ventas-Año";#N/A,#N/A,FALSE,"Costepro";#N/A,#N/A,FALSE,"inversion";#N/A,#N/A,FALSE,"personal";#N/A,#N/A,FALSE,"Gastos-V";#N/A,#N/A,FALSE,"Circulante";#N/A,#N/A,FALSE,"CONSOLI";#N/A,#N/A,FALSE,"Es-Fin";#N/A,#N/A,FALSE,"Margen-P"}</definedName>
    <definedName name="___a789" hidden="1">{#N/A,#N/A,FALSE,"Hip.Bas";#N/A,#N/A,FALSE,"ventas";#N/A,#N/A,FALSE,"ingre-Año";#N/A,#N/A,FALSE,"ventas-Año";#N/A,#N/A,FALSE,"Costepro";#N/A,#N/A,FALSE,"inversion";#N/A,#N/A,FALSE,"personal";#N/A,#N/A,FALSE,"Gastos-V";#N/A,#N/A,FALSE,"Circulante";#N/A,#N/A,FALSE,"CONSOLI";#N/A,#N/A,FALSE,"Es-Fin";#N/A,#N/A,FALSE,"Margen-P"}</definedName>
    <definedName name="___a890" hidden="1">{#N/A,#N/A,FALSE,"Hip.Bas";#N/A,#N/A,FALSE,"ventas";#N/A,#N/A,FALSE,"ingre-Año";#N/A,#N/A,FALSE,"ventas-Año";#N/A,#N/A,FALSE,"Costepro";#N/A,#N/A,FALSE,"inversion";#N/A,#N/A,FALSE,"personal";#N/A,#N/A,FALSE,"Gastos-V";#N/A,#N/A,FALSE,"Circulante";#N/A,#N/A,FALSE,"CONSOLI";#N/A,#N/A,FALSE,"Es-Fin";#N/A,#N/A,FALSE,"Margen-P"}</definedName>
    <definedName name="___ans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10"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1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1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1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20"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2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2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2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2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2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2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28"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29"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30"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3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3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3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3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3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3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3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38"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39"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40"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4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4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4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4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4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4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4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48"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49"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50"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5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5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8"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ans9"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eee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emi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emi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emi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emi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emi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et1"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___et2"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___f" hidden="1">{#N/A,#N/A,FALSE,"SumD";#N/A,#N/A,FALSE,"ElecD";#N/A,#N/A,FALSE,"MechD";#N/A,#N/A,FALSE,"GeotD";#N/A,#N/A,FALSE,"PrcsD";#N/A,#N/A,FALSE,"TunnD";#N/A,#N/A,FALSE,"CivlD";#N/A,#N/A,FALSE,"NtwkD";#N/A,#N/A,FALSE,"EstgD";#N/A,#N/A,FALSE,"PEngD"}</definedName>
    <definedName name="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jul02" hidden="1">{#N/A,#N/A,FALSE,"MAY96 2260";#N/A,#N/A,FALSE,"system reclass";#N/A,#N/A,FALSE,"Items with no project number"}</definedName>
    <definedName name="___ll1"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___lll1" hidden="1">{#N/A,#N/A,FALSE,"voz corporativa";#N/A,#N/A,FALSE,"Transmisión de datos";#N/A,#N/A,FALSE,"Videoconferencia";#N/A,#N/A,FALSE,"Correo electrónico";#N/A,#N/A,FALSE,"Correo de voz";#N/A,#N/A,FALSE,"Megafax";#N/A,#N/A,FALSE,"Edi";#N/A,#N/A,FALSE,"Internet";#N/A,#N/A,FALSE,"VSAT";#N/A,#N/A,FALSE,"ing ult. milla"}</definedName>
    <definedName name="___mac2" hidden="1">{#N/A,#N/A,FALSE,"voz corporativa";#N/A,#N/A,FALSE,"Transmisión de datos";#N/A,#N/A,FALSE,"Videoconferencia";#N/A,#N/A,FALSE,"Correo electrónico";#N/A,#N/A,FALSE,"Correo de voz";#N/A,#N/A,FALSE,"Megafax";#N/A,#N/A,FALSE,"Edi";#N/A,#N/A,FALSE,"Internet";#N/A,#N/A,FALSE,"VSAT";#N/A,#N/A,FALSE,"ing ult. milla"}</definedName>
    <definedName name="___nnn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OTF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OTF10"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OTF1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OTF1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OTF1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OTF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OTF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OTF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OTF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OTF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OTF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OTF8"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OTF9"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q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q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q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q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q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q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s1" hidden="1">{#N/A,#N/A,FALSE,"voz corporativa";#N/A,#N/A,FALSE,"Transmisión de datos";#N/A,#N/A,FALSE,"Videoconferencia";#N/A,#N/A,FALSE,"Correo electrónico";#N/A,#N/A,FALSE,"Correo de voz";#N/A,#N/A,FALSE,"Megafax";#N/A,#N/A,FALSE,"Edi";#N/A,#N/A,FALSE,"Internet";#N/A,#N/A,FALSE,"VSAT";#N/A,#N/A,FALSE,"ing ult. milla"}</definedName>
    <definedName name="___set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set10"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set1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set1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set1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set1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set1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set16" hidden="1">{#N/A,#N/A,FALSE,"Hip.Bas";#N/A,#N/A,FALSE,"ventas";#N/A,#N/A,FALSE,"ingre-Año";#N/A,#N/A,FALSE,"ventas-Año";#N/A,#N/A,FALSE,"Costepro";#N/A,#N/A,FALSE,"inversion";#N/A,#N/A,FALSE,"personal";#N/A,#N/A,FALSE,"Gastos-V";#N/A,#N/A,FALSE,"Circulante";#N/A,#N/A,FALSE,"CONSOLI";#N/A,#N/A,FALSE,"Es-Fin";#N/A,#N/A,FALSE,"Margen-P"}</definedName>
    <definedName name="___set1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set18"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set19" hidden="1">{#N/A,#N/A,FALSE,"Hip.Bas";#N/A,#N/A,FALSE,"ventas";#N/A,#N/A,FALSE,"ingre-Año";#N/A,#N/A,FALSE,"ventas-Año";#N/A,#N/A,FALSE,"Costepro";#N/A,#N/A,FALSE,"inversion";#N/A,#N/A,FALSE,"personal";#N/A,#N/A,FALSE,"Gastos-V";#N/A,#N/A,FALSE,"Circulante";#N/A,#N/A,FALSE,"CONSOLI";#N/A,#N/A,FALSE,"Es-Fin";#N/A,#N/A,FALSE,"Margen-P"}</definedName>
    <definedName name="___set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set20"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set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set2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set2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set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set4" hidden="1">{#N/A,#N/A,FALSE,"Hip.Bas";#N/A,#N/A,FALSE,"ventas";#N/A,#N/A,FALSE,"ingre-Año";#N/A,#N/A,FALSE,"ventas-Año";#N/A,#N/A,FALSE,"Costepro";#N/A,#N/A,FALSE,"inversion";#N/A,#N/A,FALSE,"personal";#N/A,#N/A,FALSE,"Gastos-V";#N/A,#N/A,FALSE,"Circulante";#N/A,#N/A,FALSE,"CONSOLI";#N/A,#N/A,FALSE,"Es-Fin";#N/A,#N/A,FALSE,"Margen-P"}</definedName>
    <definedName name="___set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set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set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set8"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set9"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w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wsd2"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__123Graph_A" hidden="1">#N/A</definedName>
    <definedName name="__123Graph_B" hidden="1">#N/A</definedName>
    <definedName name="__123Graph_C" hidden="1">#N/A</definedName>
    <definedName name="__123Graph_D" hidden="1">#N/A</definedName>
    <definedName name="__123Graph_E" hidden="1">#N/A</definedName>
    <definedName name="__123Graph_F" hidden="1">#N/A</definedName>
    <definedName name="__a123" hidden="1">{#N/A,#N/A,FALSE,"Hip.Bas";#N/A,#N/A,FALSE,"ventas";#N/A,#N/A,FALSE,"ingre-Año";#N/A,#N/A,FALSE,"ventas-Año";#N/A,#N/A,FALSE,"Costepro";#N/A,#N/A,FALSE,"inversion";#N/A,#N/A,FALSE,"personal";#N/A,#N/A,FALSE,"Gastos-V";#N/A,#N/A,FALSE,"Circulante";#N/A,#N/A,FALSE,"CONSOLI";#N/A,#N/A,FALSE,"Es-Fin";#N/A,#N/A,FALSE,"Margen-P"}</definedName>
    <definedName name="__a123456" hidden="1">{#N/A,#N/A,FALSE,"Hip.Bas";#N/A,#N/A,FALSE,"ventas";#N/A,#N/A,FALSE,"ingre-Año";#N/A,#N/A,FALSE,"ventas-Año";#N/A,#N/A,FALSE,"Costepro";#N/A,#N/A,FALSE,"inversion";#N/A,#N/A,FALSE,"personal";#N/A,#N/A,FALSE,"Gastos-V";#N/A,#N/A,FALSE,"Circulante";#N/A,#N/A,FALSE,"CONSOLI";#N/A,#N/A,FALSE,"Es-Fin";#N/A,#N/A,FALSE,"Margen-P"}</definedName>
    <definedName name="__a234" hidden="1">{#N/A,#N/A,FALSE,"Hip.Bas";#N/A,#N/A,FALSE,"ventas";#N/A,#N/A,FALSE,"ingre-Año";#N/A,#N/A,FALSE,"ventas-Año";#N/A,#N/A,FALSE,"Costepro";#N/A,#N/A,FALSE,"inversion";#N/A,#N/A,FALSE,"personal";#N/A,#N/A,FALSE,"Gastos-V";#N/A,#N/A,FALSE,"Circulante";#N/A,#N/A,FALSE,"CONSOLI";#N/A,#N/A,FALSE,"Es-Fin";#N/A,#N/A,FALSE,"Margen-P"}</definedName>
    <definedName name="__a345" hidden="1">{#N/A,#N/A,FALSE,"Hip.Bas";#N/A,#N/A,FALSE,"ventas";#N/A,#N/A,FALSE,"ingre-Año";#N/A,#N/A,FALSE,"ventas-Año";#N/A,#N/A,FALSE,"Costepro";#N/A,#N/A,FALSE,"inversion";#N/A,#N/A,FALSE,"personal";#N/A,#N/A,FALSE,"Gastos-V";#N/A,#N/A,FALSE,"Circulante";#N/A,#N/A,FALSE,"CONSOLI";#N/A,#N/A,FALSE,"Es-Fin";#N/A,#N/A,FALSE,"Margen-P"}</definedName>
    <definedName name="__a456" hidden="1">{#N/A,#N/A,FALSE,"Hip.Bas";#N/A,#N/A,FALSE,"ventas";#N/A,#N/A,FALSE,"ingre-Año";#N/A,#N/A,FALSE,"ventas-Año";#N/A,#N/A,FALSE,"Costepro";#N/A,#N/A,FALSE,"inversion";#N/A,#N/A,FALSE,"personal";#N/A,#N/A,FALSE,"Gastos-V";#N/A,#N/A,FALSE,"Circulante";#N/A,#N/A,FALSE,"CONSOLI";#N/A,#N/A,FALSE,"Es-Fin";#N/A,#N/A,FALSE,"Margen-P"}</definedName>
    <definedName name="__a567" hidden="1">{#N/A,#N/A,FALSE,"Hip.Bas";#N/A,#N/A,FALSE,"ventas";#N/A,#N/A,FALSE,"ingre-Año";#N/A,#N/A,FALSE,"ventas-Año";#N/A,#N/A,FALSE,"Costepro";#N/A,#N/A,FALSE,"inversion";#N/A,#N/A,FALSE,"personal";#N/A,#N/A,FALSE,"Gastos-V";#N/A,#N/A,FALSE,"Circulante";#N/A,#N/A,FALSE,"CONSOLI";#N/A,#N/A,FALSE,"Es-Fin";#N/A,#N/A,FALSE,"Margen-P"}</definedName>
    <definedName name="__a678" hidden="1">{#N/A,#N/A,FALSE,"Hip.Bas";#N/A,#N/A,FALSE,"ventas";#N/A,#N/A,FALSE,"ingre-Año";#N/A,#N/A,FALSE,"ventas-Año";#N/A,#N/A,FALSE,"Costepro";#N/A,#N/A,FALSE,"inversion";#N/A,#N/A,FALSE,"personal";#N/A,#N/A,FALSE,"Gastos-V";#N/A,#N/A,FALSE,"Circulante";#N/A,#N/A,FALSE,"CONSOLI";#N/A,#N/A,FALSE,"Es-Fin";#N/A,#N/A,FALSE,"Margen-P"}</definedName>
    <definedName name="__a789" hidden="1">{#N/A,#N/A,FALSE,"Hip.Bas";#N/A,#N/A,FALSE,"ventas";#N/A,#N/A,FALSE,"ingre-Año";#N/A,#N/A,FALSE,"ventas-Año";#N/A,#N/A,FALSE,"Costepro";#N/A,#N/A,FALSE,"inversion";#N/A,#N/A,FALSE,"personal";#N/A,#N/A,FALSE,"Gastos-V";#N/A,#N/A,FALSE,"Circulante";#N/A,#N/A,FALSE,"CONSOLI";#N/A,#N/A,FALSE,"Es-Fin";#N/A,#N/A,FALSE,"Margen-P"}</definedName>
    <definedName name="__a890" hidden="1">{#N/A,#N/A,FALSE,"Hip.Bas";#N/A,#N/A,FALSE,"ventas";#N/A,#N/A,FALSE,"ingre-Año";#N/A,#N/A,FALSE,"ventas-Año";#N/A,#N/A,FALSE,"Costepro";#N/A,#N/A,FALSE,"inversion";#N/A,#N/A,FALSE,"personal";#N/A,#N/A,FALSE,"Gastos-V";#N/A,#N/A,FALSE,"Circulante";#N/A,#N/A,FALSE,"CONSOLI";#N/A,#N/A,FALSE,"Es-Fin";#N/A,#N/A,FALSE,"Margen-P"}</definedName>
    <definedName name="__ans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10"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1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1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1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20"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2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2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2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2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2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2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28"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29"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30"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3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3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3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3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3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3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3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38"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39"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40"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4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4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4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4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4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4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4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48"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49"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50"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5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5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8"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ans9"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eee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emi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emi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emi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emi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emi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et1"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__et2"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__f" hidden="1">{#N/A,#N/A,FALSE,"SumD";#N/A,#N/A,FALSE,"ElecD";#N/A,#N/A,FALSE,"MechD";#N/A,#N/A,FALSE,"GeotD";#N/A,#N/A,FALSE,"PrcsD";#N/A,#N/A,FALSE,"TunnD";#N/A,#N/A,FALSE,"CivlD";#N/A,#N/A,FALSE,"NtwkD";#N/A,#N/A,FALSE,"EstgD";#N/A,#N/A,FALSE,"PEngD"}</definedName>
    <definedName name="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jul02" hidden="1">{#N/A,#N/A,FALSE,"MAY96 2260";#N/A,#N/A,FALSE,"system reclass";#N/A,#N/A,FALSE,"Items with no project number"}</definedName>
    <definedName name="__ll1"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__lll1" hidden="1">{#N/A,#N/A,FALSE,"voz corporativa";#N/A,#N/A,FALSE,"Transmisión de datos";#N/A,#N/A,FALSE,"Videoconferencia";#N/A,#N/A,FALSE,"Correo electrónico";#N/A,#N/A,FALSE,"Correo de voz";#N/A,#N/A,FALSE,"Megafax";#N/A,#N/A,FALSE,"Edi";#N/A,#N/A,FALSE,"Internet";#N/A,#N/A,FALSE,"VSAT";#N/A,#N/A,FALSE,"ing ult. milla"}</definedName>
    <definedName name="__mac2" hidden="1">{#N/A,#N/A,FALSE,"voz corporativa";#N/A,#N/A,FALSE,"Transmisión de datos";#N/A,#N/A,FALSE,"Videoconferencia";#N/A,#N/A,FALSE,"Correo electrónico";#N/A,#N/A,FALSE,"Correo de voz";#N/A,#N/A,FALSE,"Megafax";#N/A,#N/A,FALSE,"Edi";#N/A,#N/A,FALSE,"Internet";#N/A,#N/A,FALSE,"VSAT";#N/A,#N/A,FALSE,"ing ult. milla"}</definedName>
    <definedName name="__nnn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OTF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OTF10"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OTF1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OTF1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OTF1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OTF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OTF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OTF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OTF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OTF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OTF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OTF8"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OTF9"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q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q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q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q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q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q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s1" hidden="1">{#N/A,#N/A,FALSE,"voz corporativa";#N/A,#N/A,FALSE,"Transmisión de datos";#N/A,#N/A,FALSE,"Videoconferencia";#N/A,#N/A,FALSE,"Correo electrónico";#N/A,#N/A,FALSE,"Correo de voz";#N/A,#N/A,FALSE,"Megafax";#N/A,#N/A,FALSE,"Edi";#N/A,#N/A,FALSE,"Internet";#N/A,#N/A,FALSE,"VSAT";#N/A,#N/A,FALSE,"ing ult. milla"}</definedName>
    <definedName name="__set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set10"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set1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set1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set1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set1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set1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set16" hidden="1">{#N/A,#N/A,FALSE,"Hip.Bas";#N/A,#N/A,FALSE,"ventas";#N/A,#N/A,FALSE,"ingre-Año";#N/A,#N/A,FALSE,"ventas-Año";#N/A,#N/A,FALSE,"Costepro";#N/A,#N/A,FALSE,"inversion";#N/A,#N/A,FALSE,"personal";#N/A,#N/A,FALSE,"Gastos-V";#N/A,#N/A,FALSE,"Circulante";#N/A,#N/A,FALSE,"CONSOLI";#N/A,#N/A,FALSE,"Es-Fin";#N/A,#N/A,FALSE,"Margen-P"}</definedName>
    <definedName name="__set1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set18"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set19" hidden="1">{#N/A,#N/A,FALSE,"Hip.Bas";#N/A,#N/A,FALSE,"ventas";#N/A,#N/A,FALSE,"ingre-Año";#N/A,#N/A,FALSE,"ventas-Año";#N/A,#N/A,FALSE,"Costepro";#N/A,#N/A,FALSE,"inversion";#N/A,#N/A,FALSE,"personal";#N/A,#N/A,FALSE,"Gastos-V";#N/A,#N/A,FALSE,"Circulante";#N/A,#N/A,FALSE,"CONSOLI";#N/A,#N/A,FALSE,"Es-Fin";#N/A,#N/A,FALSE,"Margen-P"}</definedName>
    <definedName name="__set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set20"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set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set2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set2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set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set4" hidden="1">{#N/A,#N/A,FALSE,"Hip.Bas";#N/A,#N/A,FALSE,"ventas";#N/A,#N/A,FALSE,"ingre-Año";#N/A,#N/A,FALSE,"ventas-Año";#N/A,#N/A,FALSE,"Costepro";#N/A,#N/A,FALSE,"inversion";#N/A,#N/A,FALSE,"personal";#N/A,#N/A,FALSE,"Gastos-V";#N/A,#N/A,FALSE,"Circulante";#N/A,#N/A,FALSE,"CONSOLI";#N/A,#N/A,FALSE,"Es-Fin";#N/A,#N/A,FALSE,"Margen-P"}</definedName>
    <definedName name="__set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set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set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set8"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set9"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w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wsd2"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_1_0_Dist_Val" hidden="1">#N/A</definedName>
    <definedName name="_2_0_F" hidden="1">#N/A</definedName>
    <definedName name="_3S" hidden="1">#REF!</definedName>
    <definedName name="_4_0_S" hidden="1">#REF!</definedName>
    <definedName name="_a123" hidden="1">{#N/A,#N/A,FALSE,"Hip.Bas";#N/A,#N/A,FALSE,"ventas";#N/A,#N/A,FALSE,"ingre-Año";#N/A,#N/A,FALSE,"ventas-Año";#N/A,#N/A,FALSE,"Costepro";#N/A,#N/A,FALSE,"inversion";#N/A,#N/A,FALSE,"personal";#N/A,#N/A,FALSE,"Gastos-V";#N/A,#N/A,FALSE,"Circulante";#N/A,#N/A,FALSE,"CONSOLI";#N/A,#N/A,FALSE,"Es-Fin";#N/A,#N/A,FALSE,"Margen-P"}</definedName>
    <definedName name="_a123456" hidden="1">{#N/A,#N/A,FALSE,"Hip.Bas";#N/A,#N/A,FALSE,"ventas";#N/A,#N/A,FALSE,"ingre-Año";#N/A,#N/A,FALSE,"ventas-Año";#N/A,#N/A,FALSE,"Costepro";#N/A,#N/A,FALSE,"inversion";#N/A,#N/A,FALSE,"personal";#N/A,#N/A,FALSE,"Gastos-V";#N/A,#N/A,FALSE,"Circulante";#N/A,#N/A,FALSE,"CONSOLI";#N/A,#N/A,FALSE,"Es-Fin";#N/A,#N/A,FALSE,"Margen-P"}</definedName>
    <definedName name="_a234" hidden="1">{#N/A,#N/A,FALSE,"Hip.Bas";#N/A,#N/A,FALSE,"ventas";#N/A,#N/A,FALSE,"ingre-Año";#N/A,#N/A,FALSE,"ventas-Año";#N/A,#N/A,FALSE,"Costepro";#N/A,#N/A,FALSE,"inversion";#N/A,#N/A,FALSE,"personal";#N/A,#N/A,FALSE,"Gastos-V";#N/A,#N/A,FALSE,"Circulante";#N/A,#N/A,FALSE,"CONSOLI";#N/A,#N/A,FALSE,"Es-Fin";#N/A,#N/A,FALSE,"Margen-P"}</definedName>
    <definedName name="_a345" hidden="1">{#N/A,#N/A,FALSE,"Hip.Bas";#N/A,#N/A,FALSE,"ventas";#N/A,#N/A,FALSE,"ingre-Año";#N/A,#N/A,FALSE,"ventas-Año";#N/A,#N/A,FALSE,"Costepro";#N/A,#N/A,FALSE,"inversion";#N/A,#N/A,FALSE,"personal";#N/A,#N/A,FALSE,"Gastos-V";#N/A,#N/A,FALSE,"Circulante";#N/A,#N/A,FALSE,"CONSOLI";#N/A,#N/A,FALSE,"Es-Fin";#N/A,#N/A,FALSE,"Margen-P"}</definedName>
    <definedName name="_a456" hidden="1">{#N/A,#N/A,FALSE,"Hip.Bas";#N/A,#N/A,FALSE,"ventas";#N/A,#N/A,FALSE,"ingre-Año";#N/A,#N/A,FALSE,"ventas-Año";#N/A,#N/A,FALSE,"Costepro";#N/A,#N/A,FALSE,"inversion";#N/A,#N/A,FALSE,"personal";#N/A,#N/A,FALSE,"Gastos-V";#N/A,#N/A,FALSE,"Circulante";#N/A,#N/A,FALSE,"CONSOLI";#N/A,#N/A,FALSE,"Es-Fin";#N/A,#N/A,FALSE,"Margen-P"}</definedName>
    <definedName name="_a567" hidden="1">{#N/A,#N/A,FALSE,"Hip.Bas";#N/A,#N/A,FALSE,"ventas";#N/A,#N/A,FALSE,"ingre-Año";#N/A,#N/A,FALSE,"ventas-Año";#N/A,#N/A,FALSE,"Costepro";#N/A,#N/A,FALSE,"inversion";#N/A,#N/A,FALSE,"personal";#N/A,#N/A,FALSE,"Gastos-V";#N/A,#N/A,FALSE,"Circulante";#N/A,#N/A,FALSE,"CONSOLI";#N/A,#N/A,FALSE,"Es-Fin";#N/A,#N/A,FALSE,"Margen-P"}</definedName>
    <definedName name="_a678" hidden="1">{#N/A,#N/A,FALSE,"Hip.Bas";#N/A,#N/A,FALSE,"ventas";#N/A,#N/A,FALSE,"ingre-Año";#N/A,#N/A,FALSE,"ventas-Año";#N/A,#N/A,FALSE,"Costepro";#N/A,#N/A,FALSE,"inversion";#N/A,#N/A,FALSE,"personal";#N/A,#N/A,FALSE,"Gastos-V";#N/A,#N/A,FALSE,"Circulante";#N/A,#N/A,FALSE,"CONSOLI";#N/A,#N/A,FALSE,"Es-Fin";#N/A,#N/A,FALSE,"Margen-P"}</definedName>
    <definedName name="_a789" hidden="1">{#N/A,#N/A,FALSE,"Hip.Bas";#N/A,#N/A,FALSE,"ventas";#N/A,#N/A,FALSE,"ingre-Año";#N/A,#N/A,FALSE,"ventas-Año";#N/A,#N/A,FALSE,"Costepro";#N/A,#N/A,FALSE,"inversion";#N/A,#N/A,FALSE,"personal";#N/A,#N/A,FALSE,"Gastos-V";#N/A,#N/A,FALSE,"Circulante";#N/A,#N/A,FALSE,"CONSOLI";#N/A,#N/A,FALSE,"Es-Fin";#N/A,#N/A,FALSE,"Margen-P"}</definedName>
    <definedName name="_a890" hidden="1">{#N/A,#N/A,FALSE,"Hip.Bas";#N/A,#N/A,FALSE,"ventas";#N/A,#N/A,FALSE,"ingre-Año";#N/A,#N/A,FALSE,"ventas-Año";#N/A,#N/A,FALSE,"Costepro";#N/A,#N/A,FALSE,"inversion";#N/A,#N/A,FALSE,"personal";#N/A,#N/A,FALSE,"Gastos-V";#N/A,#N/A,FALSE,"Circulante";#N/A,#N/A,FALSE,"CONSOLI";#N/A,#N/A,FALSE,"Es-Fin";#N/A,#N/A,FALSE,"Margen-P"}</definedName>
    <definedName name="_ACC2" hidden="1">#N/A</definedName>
    <definedName name="_ans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10"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1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1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1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20"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2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2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2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2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2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2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28"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29"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30"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3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3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3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3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3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3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3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38"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39"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40"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4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4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4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4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4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4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4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48"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49"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50"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5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5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8"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9"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sd1" hidden="1">{#N/A,#N/A,FALSE,"1";#N/A,#N/A,FALSE,"1a 1b";#N/A,#N/A,FALSE,"2";#N/A,#N/A,FALSE,"3";#N/A,#N/A,FALSE,"4";#N/A,#N/A,FALSE,"5";#N/A,#N/A,FALSE,"5a 5b"}</definedName>
    <definedName name="_Dist_Bin" hidden="1">#N/A</definedName>
    <definedName name="_Dist_Values" hidden="1">#N/A</definedName>
    <definedName name="_eee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emi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emi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emi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emi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emi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et1"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_et2"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_Fill" hidden="1">#REF!</definedName>
    <definedName name="_xlnm._FilterDatabase" localSheetId="2" hidden="1">'Detalle S10_Junio 2026'!$A$972:$S$1166</definedName>
    <definedName name="_xlnm._FilterDatabase" localSheetId="3" hidden="1">'Detalle S10_Junio 2026 (2)'!$A$1:$BH$776</definedName>
    <definedName name="_xlnm._FilterDatabase" localSheetId="4" hidden="1">'Detalle S10_Junio 2026 (3)'!$A$1:$BH$24</definedName>
    <definedName name="_xlnm._FilterDatabase" hidden="1">#REF!</definedName>
    <definedName name="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jul02" hidden="1">{#N/A,#N/A,FALSE,"MAY96 2260";#N/A,#N/A,FALSE,"system reclass";#N/A,#N/A,FALSE,"Items with no project number"}</definedName>
    <definedName name="_Key1" hidden="1">#REF!</definedName>
    <definedName name="_Key2" hidden="1">#REF!</definedName>
    <definedName name="_ll1"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_lll1" hidden="1">{#N/A,#N/A,FALSE,"voz corporativa";#N/A,#N/A,FALSE,"Transmisión de datos";#N/A,#N/A,FALSE,"Videoconferencia";#N/A,#N/A,FALSE,"Correo electrónico";#N/A,#N/A,FALSE,"Correo de voz";#N/A,#N/A,FALSE,"Megafax";#N/A,#N/A,FALSE,"Edi";#N/A,#N/A,FALSE,"Internet";#N/A,#N/A,FALSE,"VSAT";#N/A,#N/A,FALSE,"ing ult. milla"}</definedName>
    <definedName name="_mac2" hidden="1">{#N/A,#N/A,FALSE,"voz corporativa";#N/A,#N/A,FALSE,"Transmisión de datos";#N/A,#N/A,FALSE,"Videoconferencia";#N/A,#N/A,FALSE,"Correo electrónico";#N/A,#N/A,FALSE,"Correo de voz";#N/A,#N/A,FALSE,"Megafax";#N/A,#N/A,FALSE,"Edi";#N/A,#N/A,FALSE,"Internet";#N/A,#N/A,FALSE,"VSAT";#N/A,#N/A,FALSE,"ing ult. milla"}</definedName>
    <definedName name="_nnn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rder1" hidden="1">255</definedName>
    <definedName name="_Order2" hidden="1">255</definedName>
    <definedName name="_OTF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TF10"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TF1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TF1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TF1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TF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TF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TF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TF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TF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TF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TF8"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TF9"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q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q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q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q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q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q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Regression_Out" hidden="1">#N/A</definedName>
    <definedName name="_Regression_X" hidden="1">#N/A</definedName>
    <definedName name="_Regression_Y" hidden="1">#N/A</definedName>
    <definedName name="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s1" hidden="1">{#N/A,#N/A,FALSE,"voz corporativa";#N/A,#N/A,FALSE,"Transmisión de datos";#N/A,#N/A,FALSE,"Videoconferencia";#N/A,#N/A,FALSE,"Correo electrónico";#N/A,#N/A,FALSE,"Correo de voz";#N/A,#N/A,FALSE,"Megafax";#N/A,#N/A,FALSE,"Edi";#N/A,#N/A,FALSE,"Internet";#N/A,#N/A,FALSE,"VSAT";#N/A,#N/A,FALSE,"ing ult. milla"}</definedName>
    <definedName name="_set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set10"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set1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set1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set1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set1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set1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set16" hidden="1">{#N/A,#N/A,FALSE,"Hip.Bas";#N/A,#N/A,FALSE,"ventas";#N/A,#N/A,FALSE,"ingre-Año";#N/A,#N/A,FALSE,"ventas-Año";#N/A,#N/A,FALSE,"Costepro";#N/A,#N/A,FALSE,"inversion";#N/A,#N/A,FALSE,"personal";#N/A,#N/A,FALSE,"Gastos-V";#N/A,#N/A,FALSE,"Circulante";#N/A,#N/A,FALSE,"CONSOLI";#N/A,#N/A,FALSE,"Es-Fin";#N/A,#N/A,FALSE,"Margen-P"}</definedName>
    <definedName name="_set1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set18"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set19" hidden="1">{#N/A,#N/A,FALSE,"Hip.Bas";#N/A,#N/A,FALSE,"ventas";#N/A,#N/A,FALSE,"ingre-Año";#N/A,#N/A,FALSE,"ventas-Año";#N/A,#N/A,FALSE,"Costepro";#N/A,#N/A,FALSE,"inversion";#N/A,#N/A,FALSE,"personal";#N/A,#N/A,FALSE,"Gastos-V";#N/A,#N/A,FALSE,"Circulante";#N/A,#N/A,FALSE,"CONSOLI";#N/A,#N/A,FALSE,"Es-Fin";#N/A,#N/A,FALSE,"Margen-P"}</definedName>
    <definedName name="_set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set20"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set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set2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set2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set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set4" hidden="1">{#N/A,#N/A,FALSE,"Hip.Bas";#N/A,#N/A,FALSE,"ventas";#N/A,#N/A,FALSE,"ingre-Año";#N/A,#N/A,FALSE,"ventas-Año";#N/A,#N/A,FALSE,"Costepro";#N/A,#N/A,FALSE,"inversion";#N/A,#N/A,FALSE,"personal";#N/A,#N/A,FALSE,"Gastos-V";#N/A,#N/A,FALSE,"Circulante";#N/A,#N/A,FALSE,"CONSOLI";#N/A,#N/A,FALSE,"Es-Fin";#N/A,#N/A,FALSE,"Margen-P"}</definedName>
    <definedName name="_set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set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set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set8"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set9"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Sort" hidden="1">#REF!</definedName>
    <definedName name="_w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wrn1" hidden="1">{#N/A,#N/A,FALSE,"1";#N/A,#N/A,FALSE,"1a 1b";#N/A,#N/A,FALSE,"2";#N/A,#N/A,FALSE,"3";#N/A,#N/A,FALSE,"4";#N/A,#N/A,FALSE,"5";#N/A,#N/A,FALSE,"5a 5b"}</definedName>
    <definedName name="_wsd2"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AA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aaaa" hidden="1">{#N/A,#N/A,FALSE,"SumD";#N/A,#N/A,FALSE,"ElecD";#N/A,#N/A,FALSE,"MechD";#N/A,#N/A,FALSE,"GeotD";#N/A,#N/A,FALSE,"PrcsD";#N/A,#N/A,FALSE,"TunnD";#N/A,#N/A,FALSE,"CivlD";#N/A,#N/A,FALSE,"NtwkD";#N/A,#N/A,FALSE,"EstgD";#N/A,#N/A,FALSE,"PEngD"}</definedName>
    <definedName name="AAAAAAAAAAAAAAAAAAAAAAAAAAAAAAAAAAAAAAAAAAAAAAAAAAAAAAAAAAAAAAAA" hidden="1">{#N/A,#N/A,FALSE,"voz corporativa";#N/A,#N/A,FALSE,"Transmisión de datos";#N/A,#N/A,FALSE,"Videoconferencia";#N/A,#N/A,FALSE,"Correo electrónico";#N/A,#N/A,FALSE,"Correo de voz";#N/A,#N/A,FALSE,"Megafax";#N/A,#N/A,FALSE,"Edi";#N/A,#N/A,FALSE,"Internet";#N/A,#N/A,FALSE,"VSAT";#N/A,#N/A,FALSE,"ing ult. milla"}</definedName>
    <definedName name="abarreda" hidden="1">{#N/A,#N/A,FALSE,"Pricing";#N/A,#N/A,FALSE,"Summary";#N/A,#N/A,FALSE,"CompProd";#N/A,#N/A,FALSE,"CompJobhrs";#N/A,#N/A,FALSE,"Escalation";#N/A,#N/A,FALSE,"Contingency";#N/A,#N/A,FALSE,"GM";#N/A,#N/A,FALSE,"CompWage";#N/A,#N/A,FALSE,"costSum"}</definedName>
    <definedName name="abarrera" hidden="1">{#N/A,#N/A,FALSE,"SumD";#N/A,#N/A,FALSE,"ElecD";#N/A,#N/A,FALSE,"MechD";#N/A,#N/A,FALSE,"GeotD";#N/A,#N/A,FALSE,"PrcsD";#N/A,#N/A,FALSE,"TunnD";#N/A,#N/A,FALSE,"CivlD";#N/A,#N/A,FALSE,"NtwkD";#N/A,#N/A,FALSE,"EstgD";#N/A,#N/A,FALSE,"PEngD"}</definedName>
    <definedName name="abc" hidden="1">{#N/A,#N/A,FALSE,"voz corporativa";#N/A,#N/A,FALSE,"Transmisión de datos";#N/A,#N/A,FALSE,"Videoconferencia";#N/A,#N/A,FALSE,"Correo electrónico";#N/A,#N/A,FALSE,"Correo de voz";#N/A,#N/A,FALSE,"Megafax";#N/A,#N/A,FALSE,"Edi";#N/A,#N/A,FALSE,"Internet";#N/A,#N/A,FALSE,"VSAT";#N/A,#N/A,FALSE,"ing ult. milla"}</definedName>
    <definedName name="Abri" hidden="1">{#N/A,#N/A,FALSE,"Resultados_is";#N/A,#N/A,FALSE,"IngresosG_is";#N/A,#N/A,FALSE,"Ingresosp_is";#N/A,#N/A,FALSE,"Financiero_is";#N/A,#N/A,FALSE,"Estructura_is";#N/A,#N/A,FALSE,"EstructuraG_is";#N/A,#N/A,FALSE,"FComercio_is";#N/A,#N/A,FALSE,"Pbeneficios_is";#N/A,#N/A,FALSE,"Gerenciamiento_is";#N/A,#N/A,FALSE,"Desinv_is"}</definedName>
    <definedName name="abril" hidden="1">{#N/A,#N/A,FALSE,"Hip.Bas";#N/A,#N/A,FALSE,"ventas";#N/A,#N/A,FALSE,"ingre-Año";#N/A,#N/A,FALSE,"ventas-Año";#N/A,#N/A,FALSE,"Costepro";#N/A,#N/A,FALSE,"inversion";#N/A,#N/A,FALSE,"personal";#N/A,#N/A,FALSE,"Gastos-V";#N/A,#N/A,FALSE,"Circulante";#N/A,#N/A,FALSE,"CONSOLI";#N/A,#N/A,FALSE,"Es-Fin";#N/A,#N/A,FALSE,"Margen-P"}</definedName>
    <definedName name="Access_Button" hidden="1">"GM0997_Inv_Medios_Motivos_Original__2__Lista"</definedName>
    <definedName name="AccessDatabase" hidden="1">"L:\daniel\post1997\GM0997.mdb"</definedName>
    <definedName name="adaf" hidden="1">{#N/A,#N/A,FALSE,"Hip.Bas";#N/A,#N/A,FALSE,"ventas";#N/A,#N/A,FALSE,"ingre-Año";#N/A,#N/A,FALSE,"ventas-Año";#N/A,#N/A,FALSE,"Costepro";#N/A,#N/A,FALSE,"inversion";#N/A,#N/A,FALSE,"personal";#N/A,#N/A,FALSE,"Gastos-V";#N/A,#N/A,FALSE,"Circulante";#N/A,#N/A,FALSE,"CONSOLI";#N/A,#N/A,FALSE,"Es-Fin";#N/A,#N/A,FALSE,"Margen-P"}</definedName>
    <definedName name="add"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adda" hidden="1">{#N/A,#N/A,FALSE,"SumD";#N/A,#N/A,FALSE,"ElecD";#N/A,#N/A,FALSE,"MechD";#N/A,#N/A,FALSE,"GeotD";#N/A,#N/A,FALSE,"PrcsD";#N/A,#N/A,FALSE,"TunnD";#N/A,#N/A,FALSE,"CivlD";#N/A,#N/A,FALSE,"NtwkD";#N/A,#N/A,FALSE,"EstgD";#N/A,#N/A,FALSE,"PEngD"}</definedName>
    <definedName name="adDda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dDdaD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dfadsfds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dfadsfdsf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dfaf" hidden="1">{#N/A,#N/A,FALSE,"1";#N/A,#N/A,FALSE,"1a 1b";#N/A,#N/A,FALSE,"2";#N/A,#N/A,FALSE,"3";#N/A,#N/A,FALSE,"4";#N/A,#N/A,FALSE,"5";#N/A,#N/A,FALSE,"5a 5b"}</definedName>
    <definedName name="ADG"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dj"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dp" hidden="1">{#N/A,#N/A,FALSE,"1";#N/A,#N/A,FALSE,"1a 1b";#N/A,#N/A,FALSE,"2";#N/A,#N/A,FALSE,"3";#N/A,#N/A,FALSE,"4";#N/A,#N/A,FALSE,"5";#N/A,#N/A,FALSE,"5a 5b"}</definedName>
    <definedName name="adrian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ds" hidden="1">{#N/A,#N/A,FALSE,"Hip.Bas";#N/A,#N/A,FALSE,"ventas";#N/A,#N/A,FALSE,"ingre-Año";#N/A,#N/A,FALSE,"ventas-Año";#N/A,#N/A,FALSE,"Costepro";#N/A,#N/A,FALSE,"inversion";#N/A,#N/A,FALSE,"personal";#N/A,#N/A,FALSE,"Gastos-V";#N/A,#N/A,FALSE,"Circulante";#N/A,#N/A,FALSE,"CONSOLI";#N/A,#N/A,FALSE,"Es-Fin";#N/A,#N/A,FALSE,"Margen-P"}</definedName>
    <definedName name="adsdsf"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ADSF" hidden="1">{#N/A,#N/A,FALSE,"SumD";#N/A,#N/A,FALSE,"ElecD";#N/A,#N/A,FALSE,"MechD";#N/A,#N/A,FALSE,"GeotD";#N/A,#N/A,FALSE,"PrcsD";#N/A,#N/A,FALSE,"TunnD";#N/A,#N/A,FALSE,"CivlD";#N/A,#N/A,FALSE,"NtwkD";#N/A,#N/A,FALSE,"EstgD";#N/A,#N/A,FALSE,"PEngD"}</definedName>
    <definedName name="adsfeartew" hidden="1">{#N/A,#N/A,FALSE,"voz corporativa";#N/A,#N/A,FALSE,"Transmisión de datos";#N/A,#N/A,FALSE,"Videoconferencia";#N/A,#N/A,FALSE,"Correo electrónico";#N/A,#N/A,FALSE,"Correo de voz";#N/A,#N/A,FALSE,"Megafax";#N/A,#N/A,FALSE,"Edi";#N/A,#N/A,FALSE,"Internet";#N/A,#N/A,FALSE,"VSAT";#N/A,#N/A,FALSE,"ing ult. milla"}</definedName>
    <definedName name="Agosto" hidden="1">{#N/A,#N/A,FALSE,"Hip.Bas";#N/A,#N/A,FALSE,"ventas";#N/A,#N/A,FALSE,"ingre-Año";#N/A,#N/A,FALSE,"ventas-Año";#N/A,#N/A,FALSE,"Costepro";#N/A,#N/A,FALSE,"inversion";#N/A,#N/A,FALSE,"personal";#N/A,#N/A,FALSE,"Gastos-V";#N/A,#N/A,FALSE,"Circulante";#N/A,#N/A,FALSE,"CONSOLI";#N/A,#N/A,FALSE,"Es-Fin";#N/A,#N/A,FALSE,"Margen-P"}</definedName>
    <definedName name="ahahah"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amorzote" hidden="1">{#N/A,#N/A,FALSE,"Hip.Bas";#N/A,#N/A,FALSE,"ventas";#N/A,#N/A,FALSE,"ingre-Año";#N/A,#N/A,FALSE,"ventas-Año";#N/A,#N/A,FALSE,"Costepro";#N/A,#N/A,FALSE,"inversion";#N/A,#N/A,FALSE,"personal";#N/A,#N/A,FALSE,"Gastos-V";#N/A,#N/A,FALSE,"Circulante";#N/A,#N/A,FALSE,"CONSOLI";#N/A,#N/A,FALSE,"Es-Fin";#N/A,#N/A,FALSE,"Margen-P"}</definedName>
    <definedName name="ANEOX" hidden="1">{#N/A,#N/A,TRUE,"Title";#N/A,#N/A,TRUE,"CC-Summary";#N/A,#N/A,TRUE,"CapitalCost";#N/A,#N/A,TRUE,"Revenue and cost analysis";#N/A,#N/A,TRUE,"DCF";#N/A,#N/A,TRUE,"DCF-APV";#N/A,#N/A,TRUE,"DCF-WACC"}</definedName>
    <definedName name="ANEXOS" hidden="1">{#N/A,#N/A,FALSE,"SumD";#N/A,#N/A,FALSE,"ElecD";#N/A,#N/A,FALSE,"MechD";#N/A,#N/A,FALSE,"GeotD";#N/A,#N/A,FALSE,"PrcsD";#N/A,#N/A,FALSE,"TunnD";#N/A,#N/A,FALSE,"CivlD";#N/A,#N/A,FALSE,"NtwkD";#N/A,#N/A,FALSE,"EstgD";#N/A,#N/A,FALSE,"PEngD"}</definedName>
    <definedName name="annert" hidden="1">{#N/A,#N/A,FALSE,"SumD";#N/A,#N/A,FALSE,"ElecD";#N/A,#N/A,FALSE,"MechD";#N/A,#N/A,FALSE,"GeotD";#N/A,#N/A,FALSE,"PrcsD";#N/A,#N/A,FALSE,"TunnD";#N/A,#N/A,FALSE,"CivlD";#N/A,#N/A,FALSE,"NtwkD";#N/A,#N/A,FALSE,"EstgD";#N/A,#N/A,FALSE,"PEngD"}</definedName>
    <definedName name="an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nscount" hidden="1">3</definedName>
    <definedName name="AQA" hidden="1">{"Cuenta 21 (página 1)",#N/A,FALSE,"21 (1)"}</definedName>
    <definedName name="_xlnm.Print_Area" localSheetId="0">Cuadro!$B$1:$G$13</definedName>
    <definedName name="ARREND" hidden="1">{#N/A,#N/A,FALSE,"1";#N/A,#N/A,FALSE,"1a 1b";#N/A,#N/A,FALSE,"2";#N/A,#N/A,FALSE,"3";#N/A,#N/A,FALSE,"4";#N/A,#N/A,FALSE,"5";#N/A,#N/A,FALSE,"5a 5b"}</definedName>
    <definedName name="a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S2DocOpenMode" hidden="1">"AS2DocumentEdit"</definedName>
    <definedName name="AS2HasNoAutoHeaderFooter" hidden="1">" "</definedName>
    <definedName name="asasdsad" hidden="1">{#N/A,#N/A,FALSE,"PERSONAL";#N/A,#N/A,FALSE,"explotación";#N/A,#N/A,FALSE,"generales"}</definedName>
    <definedName name="ASD" hidden="1">#REF!</definedName>
    <definedName name="asdad" hidden="1">{#N/A,#N/A,FALSE,"SumD";#N/A,#N/A,FALSE,"ElecD";#N/A,#N/A,FALSE,"MechD";#N/A,#N/A,FALSE,"GeotD";#N/A,#N/A,FALSE,"PrcsD";#N/A,#N/A,FALSE,"TunnD";#N/A,#N/A,FALSE,"CivlD";#N/A,#N/A,FALSE,"NtwkD";#N/A,#N/A,FALSE,"EstgD";#N/A,#N/A,FALSE,"PEngD"}</definedName>
    <definedName name="asdasd"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ASDASDASDASD" hidden="1">{#N/A,#N/A,FALSE,"SumG";#N/A,#N/A,FALSE,"ElecG";#N/A,#N/A,FALSE,"MechG";#N/A,#N/A,FALSE,"GeotG";#N/A,#N/A,FALSE,"PrcsG";#N/A,#N/A,FALSE,"TunnG";#N/A,#N/A,FALSE,"CivlG";#N/A,#N/A,FALSE,"NtwkG";#N/A,#N/A,FALSE,"EstgG";#N/A,#N/A,FALSE,"PEngG"}</definedName>
    <definedName name="asd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sdf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sdf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sdsad"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asdsadsa" hidden="1">{#N/A,#N/A,FALSE,"1";#N/A,#N/A,FALSE,"1a 1b";#N/A,#N/A,FALSE,"2";#N/A,#N/A,FALSE,"3";#N/A,#N/A,FALSE,"4";#N/A,#N/A,FALSE,"5";#N/A,#N/A,FALSE,"5a 5b"}</definedName>
    <definedName name="asp"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srrrr" hidden="1">{#N/A,#N/A,FALSE,"Hip.Bas";#N/A,#N/A,FALSE,"ventas";#N/A,#N/A,FALSE,"ingre-Año";#N/A,#N/A,FALSE,"ventas-Año";#N/A,#N/A,FALSE,"Costepro";#N/A,#N/A,FALSE,"inversion";#N/A,#N/A,FALSE,"personal";#N/A,#N/A,FALSE,"Gastos-V";#N/A,#N/A,FALSE,"Circulante";#N/A,#N/A,FALSE,"CONSOLI";#N/A,#N/A,FALSE,"Es-Fin";#N/A,#N/A,FALSE,"Margen-P"}</definedName>
    <definedName name="as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sssssssssss" hidden="1">{#N/A,#N/A,FALSE,"Hip.Bas";#N/A,#N/A,FALSE,"ventas";#N/A,#N/A,FALSE,"ingre-Año";#N/A,#N/A,FALSE,"ventas-Año";#N/A,#N/A,FALSE,"Costepro";#N/A,#N/A,FALSE,"inversion";#N/A,#N/A,FALSE,"personal";#N/A,#N/A,FALSE,"Gastos-V";#N/A,#N/A,FALSE,"Circulante";#N/A,#N/A,FALSE,"CONSOLI";#N/A,#N/A,FALSE,"Es-Fin";#N/A,#N/A,FALSE,"Margen-P"}</definedName>
    <definedName name="Atribución" hidden="1">{#N/A,#N/A,FALSE,"1";#N/A,#N/A,FALSE,"1a 1b";#N/A,#N/A,FALSE,"2";#N/A,#N/A,FALSE,"3";#N/A,#N/A,FALSE,"4";#N/A,#N/A,FALSE,"5";#N/A,#N/A,FALSE,"5a 5b"}</definedName>
    <definedName name="aw"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wet" hidden="1">{#N/A,#N/A,FALSE,"Hip.Bas";#N/A,#N/A,FALSE,"ventas";#N/A,#N/A,FALSE,"ingre-Año";#N/A,#N/A,FALSE,"ventas-Año";#N/A,#N/A,FALSE,"Costepro";#N/A,#N/A,FALSE,"inversion";#N/A,#N/A,FALSE,"personal";#N/A,#N/A,FALSE,"Gastos-V";#N/A,#N/A,FALSE,"Circulante";#N/A,#N/A,FALSE,"CONSOLI";#N/A,#N/A,FALSE,"Es-Fin";#N/A,#N/A,FALSE,"Margen-P"}</definedName>
    <definedName name="BALA" hidden="1">{#N/A,#N/A,FALSE,"Pricing";#N/A,#N/A,FALSE,"Summary";#N/A,#N/A,FALSE,"CompProd";#N/A,#N/A,FALSE,"CompJobhrs";#N/A,#N/A,FALSE,"Escalation";#N/A,#N/A,FALSE,"Contingency";#N/A,#N/A,FALSE,"GM";#N/A,#N/A,FALSE,"CompWage";#N/A,#N/A,FALSE,"costSum"}</definedName>
    <definedName name="BALANCE" hidden="1">{#N/A,#N/A,FALSE,"Pricing";#N/A,#N/A,FALSE,"Summary";#N/A,#N/A,FALSE,"CompProd";#N/A,#N/A,FALSE,"CompJobhrs";#N/A,#N/A,FALSE,"Escalation";#N/A,#N/A,FALSE,"Contingency";#N/A,#N/A,FALSE,"GM";#N/A,#N/A,FALSE,"CompWage";#N/A,#N/A,FALSE,"costSum"}</definedName>
    <definedName name="Balancemiles" hidden="1">{"Cuenta 21 (página 1)",#N/A,FALSE,"21 (1)"}</definedName>
    <definedName name="balancemiles2" hidden="1">{"Cuenta 21 (página 1)",#N/A,FALSE,"21 (1)"}</definedName>
    <definedName name="bbbbb" hidden="1">{#N/A,#N/A,FALSE,"SumD";#N/A,#N/A,FALSE,"ElecD";#N/A,#N/A,FALSE,"MechD";#N/A,#N/A,FALSE,"GeotD";#N/A,#N/A,FALSE,"PrcsD";#N/A,#N/A,FALSE,"TunnD";#N/A,#N/A,FALSE,"CivlD";#N/A,#N/A,FALSE,"NtwkD";#N/A,#N/A,FALSE,"EstgD";#N/A,#N/A,FALSE,"PEngD"}</definedName>
    <definedName name="bbbbbbb" hidden="1">{#N/A,#N/A,FALSE,"SumG";#N/A,#N/A,FALSE,"ElecG";#N/A,#N/A,FALSE,"MechG";#N/A,#N/A,FALSE,"GeotG";#N/A,#N/A,FALSE,"PrcsG";#N/A,#N/A,FALSE,"TunnG";#N/A,#N/A,FALSE,"CivlG";#N/A,#N/A,FALSE,"NtwkG";#N/A,#N/A,FALSE,"EstgG";#N/A,#N/A,FALSE,"PEngG"}</definedName>
    <definedName name="bbbbbbbbb" hidden="1">{#N/A,#N/A,FALSE,"SumD";#N/A,#N/A,FALSE,"ElecD";#N/A,#N/A,FALSE,"MechD";#N/A,#N/A,FALSE,"GeotD";#N/A,#N/A,FALSE,"PrcsD";#N/A,#N/A,FALSE,"TunnD";#N/A,#N/A,FALSE,"CivlD";#N/A,#N/A,FALSE,"NtwkD";#N/A,#N/A,FALSE,"EstgD";#N/A,#N/A,FALSE,"PEngD"}</definedName>
    <definedName name="bbbbbbbbbb" hidden="1">{#N/A,#N/A,FALSE,"SumD";#N/A,#N/A,FALSE,"ElecD";#N/A,#N/A,FALSE,"MechD";#N/A,#N/A,FALSE,"GeotD";#N/A,#N/A,FALSE,"PrcsD";#N/A,#N/A,FALSE,"TunnD";#N/A,#N/A,FALSE,"CivlD";#N/A,#N/A,FALSE,"NtwkD";#N/A,#N/A,FALSE,"EstgD";#N/A,#N/A,FALSE,"PEngD"}</definedName>
    <definedName name="bbbbbbbbbbb" hidden="1">{#N/A,#N/A,FALSE,"SumG";#N/A,#N/A,FALSE,"ElecG";#N/A,#N/A,FALSE,"MechG";#N/A,#N/A,FALSE,"GeotG";#N/A,#N/A,FALSE,"PrcsG";#N/A,#N/A,FALSE,"TunnG";#N/A,#N/A,FALSE,"CivlG";#N/A,#N/A,FALSE,"NtwkG";#N/A,#N/A,FALSE,"EstgG";#N/A,#N/A,FALSE,"PEngG"}</definedName>
    <definedName name="bbbbbbbbbbbbbb" hidden="1">{#N/A,#N/A,FALSE,"SumG";#N/A,#N/A,FALSE,"ElecG";#N/A,#N/A,FALSE,"MechG";#N/A,#N/A,FALSE,"GeotG";#N/A,#N/A,FALSE,"PrcsG";#N/A,#N/A,FALSE,"TunnG";#N/A,#N/A,FALSE,"CivlG";#N/A,#N/A,FALSE,"NtwkG";#N/A,#N/A,FALSE,"EstgG";#N/A,#N/A,FALSE,"PEngG"}</definedName>
    <definedName name="bbbbbbbbbbbbbbbbbbbb" hidden="1">{#N/A,#N/A,FALSE,"SumG";#N/A,#N/A,FALSE,"ElecG";#N/A,#N/A,FALSE,"MechG";#N/A,#N/A,FALSE,"GeotG";#N/A,#N/A,FALSE,"PrcsG";#N/A,#N/A,FALSE,"TunnG";#N/A,#N/A,FALSE,"CivlG";#N/A,#N/A,FALSE,"NtwkG";#N/A,#N/A,FALSE,"EstgG";#N/A,#N/A,FALSE,"PEngG"}</definedName>
    <definedName name="BLPH10" hidden="1">#REF!</definedName>
    <definedName name="BLPH11"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19" hidden="1">#REF!</definedName>
    <definedName name="BLPH2" hidden="1">#REF!</definedName>
    <definedName name="BLPH20" hidden="1">#REF!</definedName>
    <definedName name="BLPH21" hidden="1">#REF!</definedName>
    <definedName name="BLPH22" hidden="1">#REF!</definedName>
    <definedName name="BLPH23" hidden="1">#REF!</definedName>
    <definedName name="BLPH24" hidden="1">#REF!</definedName>
    <definedName name="BLPH25" hidden="1">#REF!</definedName>
    <definedName name="BLPH26" hidden="1">#REF!</definedName>
    <definedName name="BLPH27" hidden="1">#REF!</definedName>
    <definedName name="BLPH28" hidden="1">#REF!</definedName>
    <definedName name="BLPH29" hidden="1">#REF!</definedName>
    <definedName name="BLPH3" hidden="1">#REF!</definedName>
    <definedName name="BLPH30" hidden="1">#REF!</definedName>
    <definedName name="BLPH31" hidden="1">#REF!</definedName>
    <definedName name="BLPH32" hidden="1">#REF!</definedName>
    <definedName name="BLPH33" hidden="1">#REF!</definedName>
    <definedName name="BLPH34" hidden="1">#REF!</definedName>
    <definedName name="BLPH35" hidden="1">#REF!</definedName>
    <definedName name="BLPH36" hidden="1">#REF!</definedName>
    <definedName name="BLPH37" hidden="1">#REF!</definedName>
    <definedName name="BLPH38" hidden="1">#REF!</definedName>
    <definedName name="BLPH39" hidden="1">#REF!</definedName>
    <definedName name="BLPH4" hidden="1">#REF!</definedName>
    <definedName name="BLPH40" hidden="1">#REF!</definedName>
    <definedName name="BLPH41" hidden="1">#REF!</definedName>
    <definedName name="BLPH42" hidden="1">#REF!</definedName>
    <definedName name="BLPH43" hidden="1">#REF!</definedName>
    <definedName name="BLPH44" hidden="1">#REF!</definedName>
    <definedName name="BLPH45" hidden="1">#REF!</definedName>
    <definedName name="BLPH46" hidden="1">#REF!</definedName>
    <definedName name="BLPH47" hidden="1">#REF!</definedName>
    <definedName name="BLPH48" hidden="1">#REF!</definedName>
    <definedName name="BLPH49" hidden="1">#REF!</definedName>
    <definedName name="BLPH5" hidden="1">#REF!</definedName>
    <definedName name="BLPH50" hidden="1">#REF!</definedName>
    <definedName name="BLPH51" hidden="1">#REF!</definedName>
    <definedName name="BLPH52" hidden="1">#REF!</definedName>
    <definedName name="BLPH53" hidden="1">#REF!</definedName>
    <definedName name="BLPH54" hidden="1">#REF!</definedName>
    <definedName name="BLPH55" hidden="1">#REF!</definedName>
    <definedName name="BLPH56" hidden="1">#REF!</definedName>
    <definedName name="BLPH57" hidden="1">#REF!</definedName>
    <definedName name="BLPH58" hidden="1">#REF!</definedName>
    <definedName name="BLPH59" hidden="1">#REF!</definedName>
    <definedName name="BLPH6" hidden="1">#REF!</definedName>
    <definedName name="BLPH60" hidden="1">#REF!</definedName>
    <definedName name="BLPH61" hidden="1">#REF!</definedName>
    <definedName name="BLPH62" hidden="1">#REF!</definedName>
    <definedName name="BLPH63" hidden="1">#REF!</definedName>
    <definedName name="BLPH64" hidden="1">#REF!</definedName>
    <definedName name="BLPH65" hidden="1">#REF!</definedName>
    <definedName name="BLPH66" hidden="1">#REF!</definedName>
    <definedName name="BLPH67" hidden="1">#REF!</definedName>
    <definedName name="BLPH68" hidden="1">#REF!</definedName>
    <definedName name="BLPH69" hidden="1">#REF!</definedName>
    <definedName name="BLPH7" hidden="1">#REF!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 hidden="1">#REF!</definedName>
    <definedName name="BLPH80" hidden="1">#REF!</definedName>
    <definedName name="BLPH81" hidden="1">#REF!</definedName>
    <definedName name="BLPH82" hidden="1">#REF!</definedName>
    <definedName name="BLPH83" hidden="1">#REF!</definedName>
    <definedName name="BLPH84" hidden="1">#REF!</definedName>
    <definedName name="BLPH9" hidden="1">#REF!</definedName>
    <definedName name="cacs2004" hidden="1">{"DetallexDep",#N/A,FALSE,"Giovanna (x DEPT)"}</definedName>
    <definedName name="cacs2005" hidden="1">{"DetallexDep",#N/A,FALSE,"Giovanna (x DEPT)"}</definedName>
    <definedName name="cacs2006" hidden="1">{"DetallexDep",#N/A,FALSE,"Giovanna (x DEPT)"}</definedName>
    <definedName name="carátul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CARLA" hidden="1">{#N/A,#N/A,FALSE,"PERSONAL";#N/A,#N/A,FALSE,"explotación";#N/A,#N/A,FALSE,"generales"}</definedName>
    <definedName name="CARLA1"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Carla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Carla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CCC"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ccccc" hidden="1">{#N/A,#N/A,FALSE,"SumD";#N/A,#N/A,FALSE,"ElecD";#N/A,#N/A,FALSE,"MechD";#N/A,#N/A,FALSE,"GeotD";#N/A,#N/A,FALSE,"PrcsD";#N/A,#N/A,FALSE,"TunnD";#N/A,#N/A,FALSE,"CivlD";#N/A,#N/A,FALSE,"NtwkD";#N/A,#N/A,FALSE,"EstgD";#N/A,#N/A,FALSE,"PEngD"}</definedName>
    <definedName name="cccccccccccc" hidden="1">{#N/A,#N/A,FALSE,"SumG";#N/A,#N/A,FALSE,"ElecG";#N/A,#N/A,FALSE,"MechG";#N/A,#N/A,FALSE,"GeotG";#N/A,#N/A,FALSE,"PrcsG";#N/A,#N/A,FALSE,"TunnG";#N/A,#N/A,FALSE,"CivlG";#N/A,#N/A,FALSE,"NtwkG";#N/A,#N/A,FALSE,"EstgG";#N/A,#N/A,FALSE,"PEngG"}</definedName>
    <definedName name="ccccccccccccccc" hidden="1">{#N/A,#N/A,FALSE,"Pricing";#N/A,#N/A,FALSE,"Summary";#N/A,#N/A,FALSE,"CompProd";#N/A,#N/A,FALSE,"CompJobhrs";#N/A,#N/A,FALSE,"Escalation";#N/A,#N/A,FALSE,"Contingency";#N/A,#N/A,FALSE,"GM";#N/A,#N/A,FALSE,"CompWage";#N/A,#N/A,FALSE,"costSum"}</definedName>
    <definedName name="CCE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ccf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c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cobro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ComparatEU" hidden="1">{#N/A,#N/A,FALSE,"Hip.Bas";#N/A,#N/A,FALSE,"ventas";#N/A,#N/A,FALSE,"ingre-Año";#N/A,#N/A,FALSE,"ventas-Año";#N/A,#N/A,FALSE,"Costepro";#N/A,#N/A,FALSE,"inversion";#N/A,#N/A,FALSE,"personal";#N/A,#N/A,FALSE,"Gastos-V";#N/A,#N/A,FALSE,"Circulante";#N/A,#N/A,FALSE,"CONSOLI";#N/A,#N/A,FALSE,"Es-Fin";#N/A,#N/A,FALSE,"Margen-P"}</definedName>
    <definedName name="competenci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comtenci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contabilidadestadosfinaciero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cruiz" hidden="1">{#N/A,#N/A,FALSE,"SumG";#N/A,#N/A,FALSE,"ElecG";#N/A,#N/A,FALSE,"MechG";#N/A,#N/A,FALSE,"GeotG";#N/A,#N/A,FALSE,"PrcsG";#N/A,#N/A,FALSE,"TunnG";#N/A,#N/A,FALSE,"CivlG";#N/A,#N/A,FALSE,"NtwkG";#N/A,#N/A,FALSE,"EstgG";#N/A,#N/A,FALSE,"PEngG"}</definedName>
    <definedName name="cs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cuadrosTWO" hidden="1">{"Resumen",#N/A,FALSE,"Sheet1";"Detalle",#N/A,FALSE,"Sheet1"}</definedName>
    <definedName name="CVB"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ad" hidden="1">{"Resumen",#N/A,FALSE,"Sheet1";"Detalle",#N/A,FALSE,"Sheet1"}</definedName>
    <definedName name="dat" hidden="1">{#N/A,#N/A,FALSE,"Hip.Bas";#N/A,#N/A,FALSE,"ventas";#N/A,#N/A,FALSE,"ingre-Año";#N/A,#N/A,FALSE,"ventas-Año";#N/A,#N/A,FALSE,"Costepro";#N/A,#N/A,FALSE,"inversion";#N/A,#N/A,FALSE,"personal";#N/A,#N/A,FALSE,"Gastos-V";#N/A,#N/A,FALSE,"Circulante";#N/A,#N/A,FALSE,"CONSOLI";#N/A,#N/A,FALSE,"Es-Fin";#N/A,#N/A,FALSE,"Margen-P"}</definedName>
    <definedName name="datotott" hidden="1">{#N/A,#N/A,FALSE,"Hip.Bas";#N/A,#N/A,FALSE,"ventas";#N/A,#N/A,FALSE,"ingre-Año";#N/A,#N/A,FALSE,"ventas-Año";#N/A,#N/A,FALSE,"Costepro";#N/A,#N/A,FALSE,"inversion";#N/A,#N/A,FALSE,"personal";#N/A,#N/A,FALSE,"Gastos-V";#N/A,#N/A,FALSE,"Circulante";#N/A,#N/A,FALSE,"CONSOLI";#N/A,#N/A,FALSE,"Es-Fin";#N/A,#N/A,FALSE,"Margen-P"}</definedName>
    <definedName name="d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ddd" hidden="1">{#N/A,#N/A,FALSE,"SumD";#N/A,#N/A,FALSE,"ElecD";#N/A,#N/A,FALSE,"MechD";#N/A,#N/A,FALSE,"GeotD";#N/A,#N/A,FALSE,"PrcsD";#N/A,#N/A,FALSE,"TunnD";#N/A,#N/A,FALSE,"CivlD";#N/A,#N/A,FALSE,"NtwkD";#N/A,#N/A,FALSE,"EstgD";#N/A,#N/A,FALSE,"PEngD"}</definedName>
    <definedName name="ddddd" hidden="1">{#N/A,#N/A,FALSE,"SumD";#N/A,#N/A,FALSE,"ElecD";#N/A,#N/A,FALSE,"MechD";#N/A,#N/A,FALSE,"GeotD";#N/A,#N/A,FALSE,"PrcsD";#N/A,#N/A,FALSE,"TunnD";#N/A,#N/A,FALSE,"CivlD";#N/A,#N/A,FALSE,"NtwkD";#N/A,#N/A,FALSE,"EstgD";#N/A,#N/A,FALSE,"PEngD"}</definedName>
    <definedName name="dddddddnnnnnnjjdjdjdjdjdj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dfdfdsfdfnjjnvnnvnvnvnvnvnvnvnvnvnv"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dfjfdksjfdsfsdfds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djdjdsjdsfjkdsfkjdsfjkdsafkjdsfjkfdsdsa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EDE" hidden="1">{#N/A,#N/A,FALSE,"Hip.Bas";#N/A,#N/A,FALSE,"ventas";#N/A,#N/A,FALSE,"ingre-Año";#N/A,#N/A,FALSE,"ventas-Año";#N/A,#N/A,FALSE,"Costepro";#N/A,#N/A,FALSE,"inversion";#N/A,#N/A,FALSE,"personal";#N/A,#N/A,FALSE,"Gastos-V";#N/A,#N/A,FALSE,"Circulante";#N/A,#N/A,FALSE,"CONSOLI";#N/A,#N/A,FALSE,"Es-Fin";#N/A,#N/A,FALSE,"Margen-P"}</definedName>
    <definedName name="df" hidden="1">{#N/A,#N/A,FALSE,"voz corporativa";#N/A,#N/A,FALSE,"Transmisión de datos";#N/A,#N/A,FALSE,"Videoconferencia";#N/A,#N/A,FALSE,"Correo electrónico";#N/A,#N/A,FALSE,"Correo de voz";#N/A,#N/A,FALSE,"Megafax";#N/A,#N/A,FALSE,"Edi";#N/A,#N/A,FALSE,"Internet";#N/A,#N/A,FALSE,"VSAT";#N/A,#N/A,FALSE,"ing ult. milla"}</definedName>
    <definedName name="DFDAGDSAG"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fdfdsfsdfsdfsd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fdfhhhhhhhhhhhhdddddddd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FEWRIJEWIRJEIWRW"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fff" hidden="1">{#N/A,#N/A,FALSE,"SumD";#N/A,#N/A,FALSE,"ElecD";#N/A,#N/A,FALSE,"MechD";#N/A,#N/A,FALSE,"GeotD";#N/A,#N/A,FALSE,"PrcsD";#N/A,#N/A,FALSE,"TunnD";#N/A,#N/A,FALSE,"CivlD";#N/A,#N/A,FALSE,"NtwkD";#N/A,#N/A,FALSE,"EstgD";#N/A,#N/A,FALSE,"PEngD"}</definedName>
    <definedName name="dfffff" hidden="1">{#N/A,#N/A,FALSE,"SumG";#N/A,#N/A,FALSE,"ElecG";#N/A,#N/A,FALSE,"MechG";#N/A,#N/A,FALSE,"GeotG";#N/A,#N/A,FALSE,"PrcsG";#N/A,#N/A,FALSE,"TunnG";#N/A,#N/A,FALSE,"CivlG";#N/A,#N/A,FALSE,"NtwkG";#N/A,#N/A,FALSE,"EstgG";#N/A,#N/A,FALSE,"PEngG"}</definedName>
    <definedName name="dffffffffffffffffffffddddddddddddd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fgvcbncvnb" hidden="1">{#N/A,#N/A,FALSE,"PERSONAL";#N/A,#N/A,FALSE,"explotación";#N/A,#N/A,FALSE,"generales"}</definedName>
    <definedName name="dfgyhdfytrey"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fhfsdhfiuehfuiewhriuwerqw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fhgfdhf" hidden="1">{#N/A,#N/A,FALSE,"voz corporativa";#N/A,#N/A,FALSE,"Transmisión de datos";#N/A,#N/A,FALSE,"Videoconferencia";#N/A,#N/A,FALSE,"Correo electrónico";#N/A,#N/A,FALSE,"Correo de voz";#N/A,#N/A,FALSE,"Megafax";#N/A,#N/A,FALSE,"Edi";#N/A,#N/A,FALSE,"Internet";#N/A,#N/A,FALSE,"VSAT";#N/A,#N/A,FALSE,"ing ult. milla"}</definedName>
    <definedName name="dfjdsjfksdjfkjdskfjksdjfkdsjlfjdslfjsd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fjdskjfklsdjfjdsjfdsjfdsa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fr" hidden="1">{#N/A,#N/A,FALSE,"SumG";#N/A,#N/A,FALSE,"ElecG";#N/A,#N/A,FALSE,"MechG";#N/A,#N/A,FALSE,"GeotG";#N/A,#N/A,FALSE,"PrcsG";#N/A,#N/A,FALSE,"TunnG";#N/A,#N/A,FALSE,"CivlG";#N/A,#N/A,FALSE,"NtwkG";#N/A,#N/A,FALSE,"EstgG";#N/A,#N/A,FALSE,"PEngG"}</definedName>
    <definedName name="dfs" hidden="1">{#N/A,#N/A,FALSE,"PERSONAL";#N/A,#N/A,FALSE,"explotación";#N/A,#N/A,FALSE,"generales"}</definedName>
    <definedName name="dfsdafsadfdsafsadfsdafsdafsadfsa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fsdffffffffffffffffffffffffffffffff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fsdfsdfsddddddddddd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fsg" hidden="1">{#N/A,#N/A,FALSE,"voz corporativa";#N/A,#N/A,FALSE,"Transmisión de datos";#N/A,#N/A,FALSE,"Videoconferencia";#N/A,#N/A,FALSE,"Correo electrónico";#N/A,#N/A,FALSE,"Correo de voz";#N/A,#N/A,FALSE,"Megafax";#N/A,#N/A,FALSE,"Edi";#N/A,#N/A,FALSE,"Internet";#N/A,#N/A,FALSE,"VSAT";#N/A,#N/A,FALSE,"ing ult. milla"}</definedName>
    <definedName name="dfsghe" hidden="1">{#N/A,#N/A,FALSE,"voz corporativa";#N/A,#N/A,FALSE,"Transmisión de datos";#N/A,#N/A,FALSE,"Videoconferencia";#N/A,#N/A,FALSE,"Correo electrónico";#N/A,#N/A,FALSE,"Correo de voz";#N/A,#N/A,FALSE,"Megafax";#N/A,#N/A,FALSE,"Edi";#N/A,#N/A,FALSE,"Internet";#N/A,#N/A,FALSE,"VSAT";#N/A,#N/A,FALSE,"ing ult. milla"}</definedName>
    <definedName name="dfwerqwerqwerqwerqwer"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gfd" hidden="1">{#N/A,#N/A,FALSE,"SumG";#N/A,#N/A,FALSE,"ElecG";#N/A,#N/A,FALSE,"MechG";#N/A,#N/A,FALSE,"GeotG";#N/A,#N/A,FALSE,"PrcsG";#N/A,#N/A,FALSE,"TunnG";#N/A,#N/A,FALSE,"CivlG";#N/A,#N/A,FALSE,"NtwkG";#N/A,#N/A,FALSE,"EstgG";#N/A,#N/A,FALSE,"PEngG"}</definedName>
    <definedName name="dgfdsgwdg"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g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DJ" hidden="1">{#N/A,#N/A,FALSE,"SumG";#N/A,#N/A,FALSE,"ElecG";#N/A,#N/A,FALSE,"MechG";#N/A,#N/A,FALSE,"GeotG";#N/A,#N/A,FALSE,"PrcsG";#N/A,#N/A,FALSE,"TunnG";#N/A,#N/A,FALSE,"CivlG";#N/A,#N/A,FALSE,"NtwkG";#N/A,#N/A,FALSE,"EstgG";#N/A,#N/A,FALSE,"PEngG"}</definedName>
    <definedName name="djfkdjfksdjfkjdskjfkdsjfksdjfksdjkfjdkjfkdjf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jfkldsjfjsdafjdsajfadsjfsdafs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jflkjdsfjdsjfsdjfjsadjfsadjfasd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kjldfjklfdsjklfdkjlkdsflkjfd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red" hidden="1">{"DetallexDep",#N/A,FALSE,"Giovanna (x DEPT)"}</definedName>
    <definedName name="d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sadas" hidden="1">{#N/A,#N/A,FALSE,"1";#N/A,#N/A,FALSE,"1a 1b";#N/A,#N/A,FALSE,"2";#N/A,#N/A,FALSE,"3";#N/A,#N/A,FALSE,"4";#N/A,#N/A,FALSE,"5";#N/A,#N/A,FALSE,"5a 5b"}</definedName>
    <definedName name="dsafasdf" hidden="1">{#N/A,#N/A,FALSE,"PERSONAL";#N/A,#N/A,FALSE,"explotación";#N/A,#N/A,FALSE,"generales"}</definedName>
    <definedName name="dsafdsaf" hidden="1">{#N/A,#N/A,FALSE,"voz corporativa";#N/A,#N/A,FALSE,"Transmisión de datos";#N/A,#N/A,FALSE,"Videoconferencia";#N/A,#N/A,FALSE,"Correo electrónico";#N/A,#N/A,FALSE,"Correo de voz";#N/A,#N/A,FALSE,"Megafax";#N/A,#N/A,FALSE,"Edi";#N/A,#N/A,FALSE,"Internet";#N/A,#N/A,FALSE,"VSAT";#N/A,#N/A,FALSE,"ing ult. milla"}</definedName>
    <definedName name="dsaff" hidden="1">{#N/A,#N/A,FALSE,"PERSONAL";#N/A,#N/A,FALSE,"explotación";#N/A,#N/A,FALSE,"generales"}</definedName>
    <definedName name="dsafgh" hidden="1">{#N/A,#N/A,FALSE,"voz corporativa";#N/A,#N/A,FALSE,"Transmisión de datos";#N/A,#N/A,FALSE,"Videoconferencia";#N/A,#N/A,FALSE,"Correo electrónico";#N/A,#N/A,FALSE,"Correo de voz";#N/A,#N/A,FALSE,"Megafax";#N/A,#N/A,FALSE,"Edi";#N/A,#N/A,FALSE,"Internet";#N/A,#N/A,FALSE,"VSAT";#N/A,#N/A,FALSE,"ing ult. milla"}</definedName>
    <definedName name="DSAJDSJADJSAJDFAJSDJSJDSAJDS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sdsafads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sfad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sfdfdsfdsfdsjfdsjklfdsjlkfdsjlkdfsljkfdskfdslkfdskldsfds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sffsdfsdfsdafsdfsdafdsfd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sfghd" hidden="1">{#N/A,#N/A,FALSE,"PERSONAL";#N/A,#N/A,FALSE,"explotación";#N/A,#N/A,FALSE,"generales"}</definedName>
    <definedName name="dsfsadf"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dsfsadfdsa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SS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vbgf" hidden="1">{#N/A,#N/A,FALSE,"SumD";#N/A,#N/A,FALSE,"ElecD";#N/A,#N/A,FALSE,"MechD";#N/A,#N/A,FALSE,"GeotD";#N/A,#N/A,FALSE,"PrcsD";#N/A,#N/A,FALSE,"TunnD";#N/A,#N/A,FALSE,"CivlD";#N/A,#N/A,FALSE,"NtwkD";#N/A,#N/A,FALSE,"EstgD";#N/A,#N/A,FALSE,"PEngD"}</definedName>
    <definedName name="e"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E.RESULTADO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e" hidden="1">{#N/A,#N/A,FALSE,"SumG";#N/A,#N/A,FALSE,"ElecG";#N/A,#N/A,FALSE,"MechG";#N/A,#N/A,FALSE,"GeotG";#N/A,#N/A,FALSE,"PrcsG";#N/A,#N/A,FALSE,"TunnG";#N/A,#N/A,FALSE,"CivlG";#N/A,#N/A,FALSE,"NtwkG";#N/A,#N/A,FALSE,"EstgG";#N/A,#N/A,FALSE,"PEngG"}</definedName>
    <definedName name="ee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eee" hidden="1">{#N/A,#N/A,FALSE,"SumG";#N/A,#N/A,FALSE,"ElecG";#N/A,#N/A,FALSE,"MechG";#N/A,#N/A,FALSE,"GeotG";#N/A,#N/A,FALSE,"PrcsG";#N/A,#N/A,FALSE,"TunnG";#N/A,#N/A,FALSE,"CivlG";#N/A,#N/A,FALSE,"NtwkG";#N/A,#N/A,FALSE,"EstgG";#N/A,#N/A,FALSE,"PEngG"}</definedName>
    <definedName name="e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f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fferefsarerefdsrerererer"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htlkhjldhjoúfjhioúdhf" hidden="1">{#N/A,#N/A,FALSE,"PERSONAL";#N/A,#N/A,FALSE,"explotación";#N/A,#N/A,FALSE,"generales"}</definedName>
    <definedName name="Elim"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eMERGIA"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emi"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rewrwerhwehrkwjehrjkhrkjwhrher"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ricl"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RR234IJ234I23J"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rrrrrrrrrrrrrrrrrrr"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rteytuyteu"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ertherth" hidden="1">{#N/A,#N/A,FALSE,"PERSONAL";#N/A,#N/A,FALSE,"explotación";#N/A,#N/A,FALSE,"generales"}</definedName>
    <definedName name="ertrqyh" hidden="1">{#N/A,#N/A,FALSE,"SumD";#N/A,#N/A,FALSE,"ElecD";#N/A,#N/A,FALSE,"MechD";#N/A,#N/A,FALSE,"GeotD";#N/A,#N/A,FALSE,"PrcsD";#N/A,#N/A,FALSE,"TunnD";#N/A,#N/A,FALSE,"CivlD";#N/A,#N/A,FALSE,"NtwkD";#N/A,#N/A,FALSE,"EstgD";#N/A,#N/A,FALSE,"PEngD"}</definedName>
    <definedName name="ertyerthghr"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rtyyuru" hidden="1">{#N/A,#N/A,FALSE,"SumG";#N/A,#N/A,FALSE,"ElecG";#N/A,#N/A,FALSE,"MechG";#N/A,#N/A,FALSE,"GeotG";#N/A,#N/A,FALSE,"PrcsG";#N/A,#N/A,FALSE,"TunnG";#N/A,#N/A,FALSE,"CivlG";#N/A,#N/A,FALSE,"NtwkG";#N/A,#N/A,FALSE,"EstgG";#N/A,#N/A,FALSE,"PEngG"}</definedName>
    <definedName name="erwtwyw" hidden="1">{#N/A,#N/A,FALSE,"PERSONAL";#N/A,#N/A,FALSE,"explotación";#N/A,#N/A,FALSE,"generales"}</definedName>
    <definedName name="Estafinnacxi2" hidden="1">{"Cuenta 21 (página 1)",#N/A,FALSE,"21 (1)"}</definedName>
    <definedName name="et"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etwyyt" hidden="1">{#N/A,#N/A,FALSE,"SumD";#N/A,#N/A,FALSE,"ElecD";#N/A,#N/A,FALSE,"MechD";#N/A,#N/A,FALSE,"GeotD";#N/A,#N/A,FALSE,"PrcsD";#N/A,#N/A,FALSE,"TunnD";#N/A,#N/A,FALSE,"CivlD";#N/A,#N/A,FALSE,"NtwkD";#N/A,#N/A,FALSE,"EstgD";#N/A,#N/A,FALSE,"PEngD"}</definedName>
    <definedName name="EV__LASTREFTIME__" hidden="1">40126.415150463</definedName>
    <definedName name="ewqtrew"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ewrqwer"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wrtte" hidden="1">{#N/A,#N/A,FALSE,"PERSONAL";#N/A,#N/A,FALSE,"explotación";#N/A,#N/A,FALSE,"generales"}</definedName>
    <definedName name="ewrtwuyturytuiitr"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EWRWERQWERQWEFFFF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wtt"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EXCELL" hidden="1">{#N/A,#N/A,TRUE,"Traffic";#N/A,#N/A,TRUE,"Capex";#N/A,#N/A,TRUE,"P_and_L"}</definedName>
    <definedName name="EXON" hidden="1">{#N/A,#N/A,FALSE,"1";#N/A,#N/A,FALSE,"1a 1b";#N/A,#N/A,FALSE,"2";#N/A,#N/A,FALSE,"3";#N/A,#N/A,FALSE,"4";#N/A,#N/A,FALSE,"5";#N/A,#N/A,FALSE,"5a 5b"}</definedName>
    <definedName name="EXONERADOS" hidden="1">{#N/A,#N/A,FALSE,"1";#N/A,#N/A,FALSE,"1a 1b";#N/A,#N/A,FALSE,"2";#N/A,#N/A,FALSE,"3";#N/A,#N/A,FALSE,"4";#N/A,#N/A,FALSE,"5";#N/A,#N/A,FALSE,"5a 5b"}</definedName>
    <definedName name="fal" hidden="1">{#N/A,#N/A,FALSE,"voz corporativa";#N/A,#N/A,FALSE,"Transmisión de datos";#N/A,#N/A,FALSE,"Videoconferencia";#N/A,#N/A,FALSE,"Correo electrónico";#N/A,#N/A,FALSE,"Correo de voz";#N/A,#N/A,FALSE,"Megafax";#N/A,#N/A,FALSE,"Edi";#N/A,#N/A,FALSE,"Internet";#N/A,#N/A,FALSE,"VSAT";#N/A,#N/A,FALSE,"ing ult. milla"}</definedName>
    <definedName name="fasdfff" hidden="1">{#N/A,#N/A,FALSE,"voz corporativa";#N/A,#N/A,FALSE,"Transmisión de datos";#N/A,#N/A,FALSE,"Videoconferencia";#N/A,#N/A,FALSE,"Correo electrónico";#N/A,#N/A,FALSE,"Correo de voz";#N/A,#N/A,FALSE,"Megafax";#N/A,#N/A,FALSE,"Edi";#N/A,#N/A,FALSE,"Internet";#N/A,#N/A,FALSE,"VSAT";#N/A,#N/A,FALSE,"ing ult. milla"}</definedName>
    <definedName name="fcmensual" hidden="1">{#N/A,#N/A,FALSE,"PERSONAL";#N/A,#N/A,FALSE,"explotación";#N/A,#N/A,FALSE,"generales"}</definedName>
    <definedName name="fcmensualw"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fddfdfdfsadfadsfdsfdsfd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fdnnnnnjdjdjdjjdjdjdjddjdjdj"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fdsfnnnnnnjnjjjjnnnnjnjn"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fdsjjjjjjjjjjjjjjjjjjjj"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FDVVVVVVVVVCCCCC"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ff" hidden="1">{#N/A,#N/A,FALSE,"SumG";#N/A,#N/A,FALSE,"ElecG";#N/A,#N/A,FALSE,"MechG";#N/A,#N/A,FALSE,"GeotG";#N/A,#N/A,FALSE,"PrcsG";#N/A,#N/A,FALSE,"TunnG";#N/A,#N/A,FALSE,"CivlG";#N/A,#N/A,FALSE,"NtwkG";#N/A,#N/A,FALSE,"EstgG";#N/A,#N/A,FALSE,"PEngG"}</definedName>
    <definedName name="FDFFFFFFFFFFFFFFFFFFFFFFFFFFFFF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ffffffffffffffffffffffggggggggggggggggg"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fqwefqwerqwerqwerw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frrewqiorewiorewiuoreiuorewiwreiurewuiewroiwerewr"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ggf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ghet" hidden="1">{#N/A,#N/A,FALSE,"PERSONAL";#N/A,#N/A,FALSE,"explotación";#N/A,#N/A,FALSE,"generales"}</definedName>
    <definedName name="fdhfg"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jfdsjklfdskljfdskljfdskljfdncont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SFDSFJDSKJFLKSDJKFJDSKLFJLSKDJFKLS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sijfdsjkfdsjkldsfkjdsfjkasdfdf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sjfksdjflkjdslñfjldsjfsadfsadfsad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skkkkkkkkkkkkkkk"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e" hidden="1">{#N/A,#N/A,FALSE,"Hip.Bas";#N/A,#N/A,FALSE,"ventas";#N/A,#N/A,FALSE,"ingre-Año";#N/A,#N/A,FALSE,"ventas-Año";#N/A,#N/A,FALSE,"Costepro";#N/A,#N/A,FALSE,"inversion";#N/A,#N/A,FALSE,"personal";#N/A,#N/A,FALSE,"Gastos-V";#N/A,#N/A,FALSE,"Circulante";#N/A,#N/A,FALSE,"CONSOLI";#N/A,#N/A,FALSE,"Es-Fin";#N/A,#N/A,FALSE,"Margen-P"}</definedName>
    <definedName name="FEREWREREREEEE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ewrqwerqwer"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EWTRQWERQWERQ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f" hidden="1">{#N/A,#N/A,FALSE,"PERSONAL";#N/A,#N/A,FALSE,"explotación";#N/A,#N/A,FALSE,"generales"}</definedName>
    <definedName name="ffdsghretye"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fff" hidden="1">{#N/A,#N/A,FALSE,"voz corporativa";#N/A,#N/A,FALSE,"Transmisión de datos";#N/A,#N/A,FALSE,"Videoconferencia";#N/A,#N/A,FALSE,"Correo electrónico";#N/A,#N/A,FALSE,"Correo de voz";#N/A,#N/A,FALSE,"Megafax";#N/A,#N/A,FALSE,"Edi";#N/A,#N/A,FALSE,"Internet";#N/A,#N/A,FALSE,"VSAT";#N/A,#N/A,FALSE,"ing ult. milla"}</definedName>
    <definedName name="ffff"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ffffff" hidden="1">{#N/A,#N/A,FALSE,"voz corporativa";#N/A,#N/A,FALSE,"Transmisión de datos";#N/A,#N/A,FALSE,"Videoconferencia";#N/A,#N/A,FALSE,"Correo electrónico";#N/A,#N/A,FALSE,"Correo de voz";#N/A,#N/A,FALSE,"Megafax";#N/A,#N/A,FALSE,"Edi";#N/A,#N/A,FALSE,"Internet";#N/A,#N/A,FALSE,"VSAT";#N/A,#N/A,FALSE,"ing ult. milla"}</definedName>
    <definedName name="fffffffff"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ffffffffff" hidden="1">{#N/A,#N/A,FALSE,"PERSONAL";#N/A,#N/A,FALSE,"explotación";#N/A,#N/A,FALSE,"generales"}</definedName>
    <definedName name="ffffffffffffddddddddddddd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FFFFFFFFFFFFJJJJJJJJJJJJJJ"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ffffffffffjjjjjjjjjjjjjjjjjddddddddd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g" hidden="1">{#N/A,#N/A,FALSE,"PERSONAL";#N/A,#N/A,FALSE,"explotación";#N/A,#N/A,FALSE,"generales"}</definedName>
    <definedName name="fgdfg" hidden="1">{#N/A,#N/A,FALSE,"SumD";#N/A,#N/A,FALSE,"ElecD";#N/A,#N/A,FALSE,"MechD";#N/A,#N/A,FALSE,"GeotD";#N/A,#N/A,FALSE,"PrcsD";#N/A,#N/A,FALSE,"TunnD";#N/A,#N/A,FALSE,"CivlD";#N/A,#N/A,FALSE,"NtwkD";#N/A,#N/A,FALSE,"EstgD";#N/A,#N/A,FALSE,"PEngD"}</definedName>
    <definedName name="fgdyyertyre" hidden="1">{#N/A,#N/A,FALSE,"PERSONAL";#N/A,#N/A,FALSE,"explotación";#N/A,#N/A,FALSE,"generales"}</definedName>
    <definedName name="fgfdg" hidden="1">{#N/A,#N/A,FALSE,"SumG";#N/A,#N/A,FALSE,"ElecG";#N/A,#N/A,FALSE,"MechG";#N/A,#N/A,FALSE,"GeotG";#N/A,#N/A,FALSE,"PrcsG";#N/A,#N/A,FALSE,"TunnG";#N/A,#N/A,FALSE,"CivlG";#N/A,#N/A,FALSE,"NtwkG";#N/A,#N/A,FALSE,"EstgG";#N/A,#N/A,FALSE,"PEngG"}</definedName>
    <definedName name="fghfg"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kngkljfdskjfdsfdsds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ifi" hidden="1">{#N/A,#N/A,FALSE,"1";#N/A,#N/A,FALSE,"1a 1b";#N/A,#N/A,FALSE,"2";#N/A,#N/A,FALSE,"3";#N/A,#N/A,FALSE,"4";#N/A,#N/A,FALSE,"5";#N/A,#N/A,FALSE,"5a 5b"}</definedName>
    <definedName name="FIJIJFIJFI"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jdsklfjlksdjfasjdfls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kjfdslkfdskfdsnnfnfnfnfnfnfnfnfn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ormato02" hidden="1">{#N/A,#N/A,FALSE,"1";#N/A,#N/A,FALSE,"1a 1b";#N/A,#N/A,FALSE,"2";#N/A,#N/A,FALSE,"3";#N/A,#N/A,FALSE,"4";#N/A,#N/A,FALSE,"5";#N/A,#N/A,FALSE,"5a 5b"}</definedName>
    <definedName name="FRD" hidden="1">{#N/A,#N/A,FALSE,"Hip.Bas";#N/A,#N/A,FALSE,"ventas";#N/A,#N/A,FALSE,"ingre-Año";#N/A,#N/A,FALSE,"ventas-Año";#N/A,#N/A,FALSE,"Costepro";#N/A,#N/A,FALSE,"inversion";#N/A,#N/A,FALSE,"personal";#N/A,#N/A,FALSE,"Gastos-V";#N/A,#N/A,FALSE,"Circulante";#N/A,#N/A,FALSE,"CONSOLI";#N/A,#N/A,FALSE,"Es-Fin";#N/A,#N/A,FALSE,"Margen-P"}</definedName>
    <definedName name="FREDDY" hidden="1">{#N/A,#N/A,FALSE,"MAY96 2260";#N/A,#N/A,FALSE,"system reclass";#N/A,#N/A,FALSE,"Items with no project number"}</definedName>
    <definedName name="fri" hidden="1">{#N/A,#N/A,FALSE,"Hip.Bas";#N/A,#N/A,FALSE,"ventas";#N/A,#N/A,FALSE,"ingre-Año";#N/A,#N/A,FALSE,"ventas-Año";#N/A,#N/A,FALSE,"Costepro";#N/A,#N/A,FALSE,"inversion";#N/A,#N/A,FALSE,"personal";#N/A,#N/A,FALSE,"Gastos-V";#N/A,#N/A,FALSE,"Circulante";#N/A,#N/A,FALSE,"CONSOLI";#N/A,#N/A,FALSE,"Es-Fin";#N/A,#N/A,FALSE,"Margen-P"}</definedName>
    <definedName name="fsagrg" hidden="1">{#N/A,#N/A,FALSE,"SumD";#N/A,#N/A,FALSE,"ElecD";#N/A,#N/A,FALSE,"MechD";#N/A,#N/A,FALSE,"GeotD";#N/A,#N/A,FALSE,"PrcsD";#N/A,#N/A,FALSE,"TunnD";#N/A,#N/A,FALSE,"CivlD";#N/A,#N/A,FALSE,"NtwkD";#N/A,#N/A,FALSE,"EstgD";#N/A,#N/A,FALSE,"PEngD"}</definedName>
    <definedName name="fsdfasdfasdfasdfs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SDFMSDKVMKVMKSMVKMKMKMKMK"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ssdf" hidden="1">{#N/A,#N/A,FALSE,"SumD";#N/A,#N/A,FALSE,"ElecD";#N/A,#N/A,FALSE,"MechD";#N/A,#N/A,FALSE,"GeotD";#N/A,#N/A,FALSE,"PrcsD";#N/A,#N/A,FALSE,"TunnD";#N/A,#N/A,FALSE,"CivlD";#N/A,#N/A,FALSE,"NtwkD";#N/A,#N/A,FALSE,"EstgD";#N/A,#N/A,FALSE,"PEngD"}</definedName>
    <definedName name="ga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asdgfasd" hidden="1">{#N/A,#N/A,FALSE,"PERSONAL";#N/A,#N/A,FALSE,"explotación";#N/A,#N/A,FALSE,"generales"}</definedName>
    <definedName name="gasdgwe" hidden="1">{#N/A,#N/A,FALSE,"voz corporativa";#N/A,#N/A,FALSE,"Transmisión de datos";#N/A,#N/A,FALSE,"Videoconferencia";#N/A,#N/A,FALSE,"Correo electrónico";#N/A,#N/A,FALSE,"Correo de voz";#N/A,#N/A,FALSE,"Megafax";#N/A,#N/A,FALSE,"Edi";#N/A,#N/A,FALSE,"Internet";#N/A,#N/A,FALSE,"VSAT";#N/A,#N/A,FALSE,"ing ult. milla"}</definedName>
    <definedName name="Gastosgescopy"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astosgescop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dfg" hidden="1">{#N/A,#N/A,FALSE,"PERSONAL";#N/A,#N/A,FALSE,"explotación";#N/A,#N/A,FALSE,"generales"}</definedName>
    <definedName name="GF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fddyery"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gfdfgyreyt"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gfdgfdg" hidden="1">{#N/A,#N/A,FALSE,"SumD";#N/A,#N/A,FALSE,"ElecD";#N/A,#N/A,FALSE,"MechD";#N/A,#N/A,FALSE,"GeotD";#N/A,#N/A,FALSE,"PrcsD";#N/A,#N/A,FALSE,"TunnD";#N/A,#N/A,FALSE,"CivlD";#N/A,#N/A,FALSE,"NtwkD";#N/A,#N/A,FALSE,"EstgD";#N/A,#N/A,FALSE,"PEngD"}</definedName>
    <definedName name="gfdgfugfu"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gfdytreye"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gfgfgfgfg" hidden="1">{#N/A,#N/A,FALSE,"SumD";#N/A,#N/A,FALSE,"ElecD";#N/A,#N/A,FALSE,"MechD";#N/A,#N/A,FALSE,"GeotD";#N/A,#N/A,FALSE,"PrcsD";#N/A,#N/A,FALSE,"TunnD";#N/A,#N/A,FALSE,"CivlD";#N/A,#N/A,FALSE,"NtwkD";#N/A,#N/A,FALSE,"EstgD";#N/A,#N/A,FALSE,"PEngD"}</definedName>
    <definedName name="gfgfgfgss" hidden="1">{#N/A,#N/A,FALSE,"SumG";#N/A,#N/A,FALSE,"ElecG";#N/A,#N/A,FALSE,"MechG";#N/A,#N/A,FALSE,"GeotG";#N/A,#N/A,FALSE,"PrcsG";#N/A,#N/A,FALSE,"TunnG";#N/A,#N/A,FALSE,"CivlG";#N/A,#N/A,FALSE,"NtwkG";#N/A,#N/A,FALSE,"EstgG";#N/A,#N/A,FALSE,"PEngG"}</definedName>
    <definedName name="gfhdytry" hidden="1">{#N/A,#N/A,FALSE,"PERSONAL";#N/A,#N/A,FALSE,"explotación";#N/A,#N/A,FALSE,"generales"}</definedName>
    <definedName name="gfhetyetr"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gg" hidden="1">{#N/A,#N/A,FALSE,"SumG";#N/A,#N/A,FALSE,"ElecG";#N/A,#N/A,FALSE,"MechG";#N/A,#N/A,FALSE,"GeotG";#N/A,#N/A,FALSE,"PrcsG";#N/A,#N/A,FALSE,"TunnG";#N/A,#N/A,FALSE,"CivlG";#N/A,#N/A,FALSE,"NtwkG";#N/A,#N/A,FALSE,"EstgG";#N/A,#N/A,FALSE,"PEngG"}</definedName>
    <definedName name="gggggggggggggggggg"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h"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herherty"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hfghgf" hidden="1">{#N/A,#N/A,FALSE,"voz corporativa";#N/A,#N/A,FALSE,"Transmisión de datos";#N/A,#N/A,FALSE,"Videoconferencia";#N/A,#N/A,FALSE,"Correo electrónico";#N/A,#N/A,FALSE,"Correo de voz";#N/A,#N/A,FALSE,"Megafax";#N/A,#N/A,FALSE,"Edi";#N/A,#N/A,FALSE,"Internet";#N/A,#N/A,FALSE,"VSAT";#N/A,#N/A,FALSE,"ing ult. milla"}</definedName>
    <definedName name="ghggg" hidden="1">{#N/A,#N/A,FALSE,"SumG";#N/A,#N/A,FALSE,"ElecG";#N/A,#N/A,FALSE,"MechG";#N/A,#N/A,FALSE,"GeotG";#N/A,#N/A,FALSE,"PrcsG";#N/A,#N/A,FALSE,"TunnG";#N/A,#N/A,FALSE,"CivlG";#N/A,#N/A,FALSE,"NtwkG";#N/A,#N/A,FALSE,"EstgG";#N/A,#N/A,FALSE,"PEngG"}</definedName>
    <definedName name="GST"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tyryry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g" hidden="1">{#N/A,#N/A,FALSE,"voz corporativa";#N/A,#N/A,FALSE,"Transmisión de datos";#N/A,#N/A,FALSE,"Videoconferencia";#N/A,#N/A,FALSE,"Correo electrónico";#N/A,#N/A,FALSE,"Correo de voz";#N/A,#N/A,FALSE,"Megafax";#N/A,#N/A,FALSE,"Edi";#N/A,#N/A,FALSE,"Internet";#N/A,#N/A,FALSE,"VSAT";#N/A,#N/A,FALSE,"ing ult. milla"}</definedName>
    <definedName name="hghjgr" hidden="1">{#N/A,#N/A,FALSE,"voz corporativa";#N/A,#N/A,FALSE,"Transmisión de datos";#N/A,#N/A,FALSE,"Videoconferencia";#N/A,#N/A,FALSE,"Correo electrónico";#N/A,#N/A,FALSE,"Correo de voz";#N/A,#N/A,FALSE,"Megafax";#N/A,#N/A,FALSE,"Edi";#N/A,#N/A,FALSE,"Internet";#N/A,#N/A,FALSE,"VSAT";#N/A,#N/A,FALSE,"ing ult. milla"}</definedName>
    <definedName name="hh" hidden="1">{#N/A,#N/A,FALSE,"SumD";#N/A,#N/A,FALSE,"ElecD";#N/A,#N/A,FALSE,"MechD";#N/A,#N/A,FALSE,"GeotD";#N/A,#N/A,FALSE,"PrcsD";#N/A,#N/A,FALSE,"TunnD";#N/A,#N/A,FALSE,"CivlD";#N/A,#N/A,FALSE,"NtwkD";#N/A,#N/A,FALSE,"EstgD";#N/A,#N/A,FALSE,"PEngD"}</definedName>
    <definedName name="HHH" hidden="1">{#N/A,#N/A,FALSE,"Hip.Bas";#N/A,#N/A,FALSE,"ventas";#N/A,#N/A,FALSE,"ingre-Año";#N/A,#N/A,FALSE,"ventas-Año";#N/A,#N/A,FALSE,"Costepro";#N/A,#N/A,FALSE,"inversion";#N/A,#N/A,FALSE,"personal";#N/A,#N/A,FALSE,"Gastos-V";#N/A,#N/A,FALSE,"Circulante";#N/A,#N/A,FALSE,"CONSOLI";#N/A,#N/A,FALSE,"Es-Fin";#N/A,#N/A,FALSE,"Margen-P"}</definedName>
    <definedName name="hjhj"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kjhjhjjjjjjjjjjjjjjjjjjjjjjjjjdddddddd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ol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Oy"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TML_CodePage" hidden="1">1252</definedName>
    <definedName name="HTML_Control" hidden="1">{"'pres Ah Com'!$A$1:$M$122"}</definedName>
    <definedName name="HTML_Description" hidden="1">""</definedName>
    <definedName name="HTML_Email" hidden="1">""</definedName>
    <definedName name="HTML_Header" hidden="1">"AHORRO MESA COMPRAS"</definedName>
    <definedName name="HTML_LastUpdate" hidden="1">"27/05/98"</definedName>
    <definedName name="HTML_LineAfter" hidden="1">FALSE</definedName>
    <definedName name="HTML_LineBefore" hidden="1">FALSE</definedName>
    <definedName name="HTML_Name" hidden="1">"TELEFONICA"</definedName>
    <definedName name="HTML_OBDlg2" hidden="1">TRUE</definedName>
    <definedName name="HTML_OBDlg4" hidden="1">TRUE</definedName>
    <definedName name="HTML_OS" hidden="1">0</definedName>
    <definedName name="HTML_PathFile" hidden="1">"C:\mesa\mesabuena\HTML.htm"</definedName>
    <definedName name="HTML_Title" hidden="1">"INFORME MESA"</definedName>
    <definedName name="HTR"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Y"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I"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III" hidden="1">{#N/A,#N/A,FALSE,"Hip.Bas";#N/A,#N/A,FALSE,"ventas";#N/A,#N/A,FALSE,"ingre-Año";#N/A,#N/A,FALSE,"ventas-Año";#N/A,#N/A,FALSE,"Costepro";#N/A,#N/A,FALSE,"inversion";#N/A,#N/A,FALSE,"personal";#N/A,#N/A,FALSE,"Gastos-V";#N/A,#N/A,FALSE,"Circulante";#N/A,#N/A,FALSE,"CONSOLI";#N/A,#N/A,FALSE,"Es-Fin";#N/A,#N/A,FALSE,"Margen-P"}</definedName>
    <definedName name="ij"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inmobiliariainmobiliariainmobiliariainmobiliari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inmobiliariapl"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Inte" hidden="1">{#N/A,#N/A,FALSE,"SumG";#N/A,#N/A,FALSE,"ElecG";#N/A,#N/A,FALSE,"MechG";#N/A,#N/A,FALSE,"GeotG";#N/A,#N/A,FALSE,"PrcsG";#N/A,#N/A,FALSE,"TunnG";#N/A,#N/A,FALSE,"CivlG";#N/A,#N/A,FALSE,"NtwkG";#N/A,#N/A,FALSE,"EstgG";#N/A,#N/A,FALSE,"PEngG"}</definedName>
    <definedName name="Intereses" hidden="1">{#N/A,#N/A,FALSE,"SumD";#N/A,#N/A,FALSE,"ElecD";#N/A,#N/A,FALSE,"MechD";#N/A,#N/A,FALSE,"GeotD";#N/A,#N/A,FALSE,"PrcsD";#N/A,#N/A,FALSE,"TunnD";#N/A,#N/A,FALSE,"CivlD";#N/A,#N/A,FALSE,"NtwkD";#N/A,#N/A,FALSE,"EstgD";#N/A,#N/A,FALSE,"PEngD"}</definedName>
    <definedName name="INTEXON">#REF!</definedName>
    <definedName name="ion" hidden="1">{#N/A,#N/A,FALSE,"Hip.Bas";#N/A,#N/A,FALSE,"ventas";#N/A,#N/A,FALSE,"ingre-Año";#N/A,#N/A,FALSE,"ventas-Año";#N/A,#N/A,FALSE,"Costepro";#N/A,#N/A,FALSE,"inversion";#N/A,#N/A,FALSE,"personal";#N/A,#N/A,FALSE,"Gastos-V";#N/A,#N/A,FALSE,"Circulante";#N/A,#N/A,FALSE,"CONSOLI";#N/A,#N/A,FALSE,"Es-Fin";#N/A,#N/A,FALSE,"Margen-P"}</definedName>
    <definedName name="itruoyojmc" hidden="1">{#N/A,#N/A,FALSE,"SumD";#N/A,#N/A,FALSE,"ElecD";#N/A,#N/A,FALSE,"MechD";#N/A,#N/A,FALSE,"GeotD";#N/A,#N/A,FALSE,"PrcsD";#N/A,#N/A,FALSE,"TunnD";#N/A,#N/A,FALSE,"CivlD";#N/A,#N/A,FALSE,"NtwkD";#N/A,#N/A,FALSE,"EstgD";#N/A,#N/A,FALSE,"PEngD"}</definedName>
    <definedName name="iuy"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ajaaaj"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janethjackson"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chajsbcn"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duith" hidden="1">{#N/A,#N/A,FALSE,"Hip.Bas";#N/A,#N/A,FALSE,"ventas";#N/A,#N/A,FALSE,"ingre-Año";#N/A,#N/A,FALSE,"ventas-Año";#N/A,#N/A,FALSE,"Costepro";#N/A,#N/A,FALSE,"inversion";#N/A,#N/A,FALSE,"personal";#N/A,#N/A,FALSE,"Gastos-V";#N/A,#N/A,FALSE,"Circulante";#N/A,#N/A,FALSE,"CONSOLI";#N/A,#N/A,FALSE,"Es-Fin";#N/A,#N/A,FALSE,"Margen-P"}</definedName>
    <definedName name="jesusjesusjesusjesusjesu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ghu"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 hidden="1">{#N/A,#N/A,FALSE,"SumG";#N/A,#N/A,FALSE,"ElecG";#N/A,#N/A,FALSE,"MechG";#N/A,#N/A,FALSE,"GeotG";#N/A,#N/A,FALSE,"PrcsG";#N/A,#N/A,FALSE,"TunnG";#N/A,#N/A,FALSE,"CivlG";#N/A,#N/A,FALSE,"NtwkG";#N/A,#N/A,FALSE,"EstgG";#N/A,#N/A,FALSE,"PEngG"}</definedName>
    <definedName name="jhg"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ijijjjjjjjjjjjjjjjjjjjjjjjjkkkkkkkkkkkkkk"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dsjkjhjhjdssjadsf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ijijijijijjjjjjjjjjjjjjjjjjjjjjjjjjjjjjjjjjjjjjjjjjjjjjjjjjiiiiiiiii"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jjjjjfjfjfjfjfjifififjifififjiiofoijfoijfoifoi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nnnnnnnnnniiiiiijijijij"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kjkjkjjjjjjjjjjjjjjjjjjjjjjjjjjjjjjjjjjjjjjjjjj"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kjkjkjkjjjjjjjjjjjjjjjjjjjjjjjjjjjj"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kjkjkjkjkjkjkjkjkjkjkjkjkjkjk"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kjkjlkjfdjfdsjkjfdkjfdsjfkdsjfid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KL"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kljfkljdskjfklsdjfkjdskfsad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lhljlhljojljlljljijijijjjijijijijjjijijijijijijijjijjiljalslslsl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ljljljljljjjjjjjjjjjjiiiiiijjjjjjjj"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nkvcnklvcxlñkflkfdioerkjfioerw"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nnnndfanfdsandsfnfdsnfdsnfdsndsfdfsdf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os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tjmmjytmtym" hidden="1">{#N/A,#N/A,FALSE,"voz corporativa";#N/A,#N/A,FALSE,"Transmisión de datos";#N/A,#N/A,FALSE,"Videoconferencia";#N/A,#N/A,FALSE,"Correo electrónico";#N/A,#N/A,FALSE,"Correo de voz";#N/A,#N/A,FALSE,"Megafax";#N/A,#N/A,FALSE,"Edi";#N/A,#N/A,FALSE,"Internet";#N/A,#N/A,FALSE,"VSAT";#N/A,#N/A,FALSE,"ing ult. milla"}</definedName>
    <definedName name="JUANITOJUANITOJUANITO"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UANJESU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uanjesusleonjaraalmont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UANJESUSMARTINLEONJARALAMONT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uanjuanjuanjuanjuanjuan"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UDI"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udith" hidden="1">{#N/A,#N/A,FALSE,"Hip.Bas";#N/A,#N/A,FALSE,"ventas";#N/A,#N/A,FALSE,"ingre-Año";#N/A,#N/A,FALSE,"ventas-Año";#N/A,#N/A,FALSE,"Costepro";#N/A,#N/A,FALSE,"inversion";#N/A,#N/A,FALSE,"personal";#N/A,#N/A,FALSE,"Gastos-V";#N/A,#N/A,FALSE,"Circulante";#N/A,#N/A,FALSE,"CONSOLI";#N/A,#N/A,FALSE,"Es-Fin";#N/A,#N/A,FALSE,"Margen-P"}</definedName>
    <definedName name="JUDTHTHT"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udu"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ulio" hidden="1">{#N/A,#N/A,FALSE,"Hip.Bas";#N/A,#N/A,FALSE,"ventas";#N/A,#N/A,FALSE,"ingre-Año";#N/A,#N/A,FALSE,"ventas-Año";#N/A,#N/A,FALSE,"Costepro";#N/A,#N/A,FALSE,"inversion";#N/A,#N/A,FALSE,"personal";#N/A,#N/A,FALSE,"Gastos-V";#N/A,#N/A,FALSE,"Circulante";#N/A,#N/A,FALSE,"CONSOLI";#N/A,#N/A,FALSE,"Es-Fin";#N/A,#N/A,FALSE,"Margen-P"}</definedName>
    <definedName name="juyyy"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2___PARKEDCVW__" hidden="1">"FINANCE;A=CA21200F;C=ACTUAL;UA=CR_TOP;R=LC;UB=D_TOP;E=P007539;UC=TPTOP;UD=F_LOGICO;T=2004.MAY;F=PERIODIC;"</definedName>
    <definedName name="K2_ISWBINITED" hidden="1">TRUE</definedName>
    <definedName name="K2_WBEVMODE" hidden="1">-1</definedName>
    <definedName name="K2_WBHASINITMODE" hidden="1">1</definedName>
    <definedName name="kjg"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jhhkjhhh"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jhkj" hidden="1">{#N/A,#N/A,FALSE,"SumG";#N/A,#N/A,FALSE,"ElecG";#N/A,#N/A,FALSE,"MechG";#N/A,#N/A,FALSE,"GeotG";#N/A,#N/A,FALSE,"PrcsG";#N/A,#N/A,FALSE,"TunnG";#N/A,#N/A,FALSE,"CivlG";#N/A,#N/A,FALSE,"NtwkG";#N/A,#N/A,FALSE,"EstgG";#N/A,#N/A,FALSE,"PEngG"}</definedName>
    <definedName name="kk" hidden="1">{#N/A,#N/A,FALSE,"SumD";#N/A,#N/A,FALSE,"ElecD";#N/A,#N/A,FALSE,"MechD";#N/A,#N/A,FALSE,"GeotD";#N/A,#N/A,FALSE,"PrcsD";#N/A,#N/A,FALSE,"TunnD";#N/A,#N/A,FALSE,"CivlD";#N/A,#N/A,FALSE,"NtwkD";#N/A,#N/A,FALSE,"EstgD";#N/A,#N/A,FALSE,"PEngD"}</definedName>
    <definedName name="kkpkpkpkkpkkkkkkpkkk"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lo" hidden="1">{#N/A,#N/A,FALSE,"Hip.Bas";#N/A,#N/A,FALSE,"ventas";#N/A,#N/A,FALSE,"ingre-Año";#N/A,#N/A,FALSE,"ventas-Año";#N/A,#N/A,FALSE,"Costepro";#N/A,#N/A,FALSE,"inversion";#N/A,#N/A,FALSE,"personal";#N/A,#N/A,FALSE,"Gastos-V";#N/A,#N/A,FALSE,"Circulante";#N/A,#N/A,FALSE,"CONSOLI";#N/A,#N/A,FALSE,"Es-Fin";#N/A,#N/A,FALSE,"Margen-P"}</definedName>
    <definedName name="KOKO" hidden="1">{#N/A,#N/A,FALSE,"Hip.Bas";#N/A,#N/A,FALSE,"ventas";#N/A,#N/A,FALSE,"ingre-Año";#N/A,#N/A,FALSE,"ventas-Año";#N/A,#N/A,FALSE,"Costepro";#N/A,#N/A,FALSE,"inversion";#N/A,#N/A,FALSE,"personal";#N/A,#N/A,FALSE,"Gastos-V";#N/A,#N/A,FALSE,"Circulante";#N/A,#N/A,FALSE,"CONSOLI";#N/A,#N/A,FALSE,"Es-Fin";#N/A,#N/A,FALSE,"Margen-P"}</definedName>
    <definedName name="kokokokokoiok"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 hidden="1">{#N/A,#N/A,FALSE,"PERSONAL";#N/A,#N/A,FALSE,"explotación";#N/A,#N/A,FALSE,"generales"}</definedName>
    <definedName name="LAP" hidden="1">{#N/A,#N/A,FALSE,"SumD";#N/A,#N/A,FALSE,"ElecD";#N/A,#N/A,FALSE,"MechD";#N/A,#N/A,FALSE,"GeotD";#N/A,#N/A,FALSE,"PrcsD";#N/A,#N/A,FALSE,"TunnD";#N/A,#N/A,FALSE,"CivlD";#N/A,#N/A,FALSE,"NtwkD";#N/A,#N/A,FALSE,"EstgD";#N/A,#N/A,FALSE,"PEngD"}</definedName>
    <definedName name="li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ib" hidden="1">#REF!</definedName>
    <definedName name="LIMA" hidden="1">{"Cuenta 21 (página 1)",#N/A,FALSE,"21 (1)"}</definedName>
    <definedName name="limcount" hidden="1">3</definedName>
    <definedName name="lisseth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jklkñlklñklllllllllllllllllllllllllllllllllllllll"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kjh" hidden="1">{#N/A,#N/A,FALSE,"PERSONAL";#N/A,#N/A,FALSE,"explotación";#N/A,#N/A,FALSE,"generales"}</definedName>
    <definedName name="LKL" hidden="1">{#N/A,#N/A,FALSE,"SumG";#N/A,#N/A,FALSE,"ElecG";#N/A,#N/A,FALSE,"MechG";#N/A,#N/A,FALSE,"GeotG";#N/A,#N/A,FALSE,"PrcsG";#N/A,#N/A,FALSE,"TunnG";#N/A,#N/A,FALSE,"CivlG";#N/A,#N/A,FALSE,"NtwkG";#N/A,#N/A,FALSE,"EstgG";#N/A,#N/A,FALSE,"PEngG"}</definedName>
    <definedName name="lklklklklklkñl"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l" hidden="1">{#N/A,#N/A,FALSE,"Hip.Bas";#N/A,#N/A,FALSE,"ventas";#N/A,#N/A,FALSE,"ingre-Año";#N/A,#N/A,FALSE,"ventas-Año";#N/A,#N/A,FALSE,"Costepro";#N/A,#N/A,FALSE,"inversion";#N/A,#N/A,FALSE,"personal";#N/A,#N/A,FALSE,"Gastos-V";#N/A,#N/A,FALSE,"Circulante";#N/A,#N/A,FALSE,"CONSOLI";#N/A,#N/A,FALSE,"Es-Fin";#N/A,#N/A,FALSE,"Margen-P"}</definedName>
    <definedName name="LLL"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o" hidden="1">{#N/A,#N/A,FALSE,"voz corporativa";#N/A,#N/A,FALSE,"Transmisión de datos";#N/A,#N/A,FALSE,"Videoconferencia";#N/A,#N/A,FALSE,"Correo electrónico";#N/A,#N/A,FALSE,"Correo de voz";#N/A,#N/A,FALSE,"Megafax";#N/A,#N/A,FALSE,"Edi";#N/A,#N/A,FALSE,"Internet";#N/A,#N/A,FALSE,"VSAT";#N/A,#N/A,FALSE,"ing ult. milla"}</definedName>
    <definedName name="logísticayserviciosgenerale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ola" hidden="1">{#N/A,#N/A,FALSE,"PERSONAL";#N/A,#N/A,FALSE,"explotación";#N/A,#N/A,FALSE,"generales"}</definedName>
    <definedName name="lola3" hidden="1">{#N/A,#N/A,FALSE,"PERSONAL";#N/A,#N/A,FALSE,"explotación";#N/A,#N/A,FALSE,"generales"}</definedName>
    <definedName name="lolas" hidden="1">{#N/A,#N/A,FALSE,"voz corporativa";#N/A,#N/A,FALSE,"Transmisión de datos";#N/A,#N/A,FALSE,"Videoconferencia";#N/A,#N/A,FALSE,"Correo electrónico";#N/A,#N/A,FALSE,"Correo de voz";#N/A,#N/A,FALSE,"Megafax";#N/A,#N/A,FALSE,"Edi";#N/A,#N/A,FALSE,"Internet";#N/A,#N/A,FALSE,"VSAT";#N/A,#N/A,FALSE,"ing ult. milla"}</definedName>
    <definedName name="lola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o"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uisa" hidden="1">{"Cuenta 21 (página 1)",#N/A,FALSE,"21 (1)"}</definedName>
    <definedName name="luismiguielpeñ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uz" hidden="1">{#N/A,#N/A,FALSE,"Hip.Bas";#N/A,#N/A,FALSE,"ventas";#N/A,#N/A,FALSE,"ingre-Año";#N/A,#N/A,FALSE,"ventas-Año";#N/A,#N/A,FALSE,"Costepro";#N/A,#N/A,FALSE,"inversion";#N/A,#N/A,FALSE,"personal";#N/A,#N/A,FALSE,"Gastos-V";#N/A,#N/A,FALSE,"Circulante";#N/A,#N/A,FALSE,"CONSOLI";#N/A,#N/A,FALSE,"Es-Fin";#N/A,#N/A,FALSE,"Margen-P"}</definedName>
    <definedName name="mac" hidden="1">{#N/A,#N/A,FALSE,"voz corporativa";#N/A,#N/A,FALSE,"Transmisión de datos";#N/A,#N/A,FALSE,"Videoconferencia";#N/A,#N/A,FALSE,"Correo electrónico";#N/A,#N/A,FALSE,"Correo de voz";#N/A,#N/A,FALSE,"Megafax";#N/A,#N/A,FALSE,"Edi";#N/A,#N/A,FALSE,"Internet";#N/A,#N/A,FALSE,"VSAT";#N/A,#N/A,FALSE,"ing ult. milla"}</definedName>
    <definedName name="mantenimiento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ARGIE" hidden="1">{#N/A,#N/A,FALSE,"1";#N/A,#N/A,FALSE,"1a 1b";#N/A,#N/A,FALSE,"2";#N/A,#N/A,FALSE,"3";#N/A,#N/A,FALSE,"4";#N/A,#N/A,FALSE,"5";#N/A,#N/A,FALSE,"5a 5b"}</definedName>
    <definedName name="Marzo04" hidden="1">{#N/A,#N/A,FALSE,"SumD";#N/A,#N/A,FALSE,"ElecD";#N/A,#N/A,FALSE,"MechD";#N/A,#N/A,FALSE,"GeotD";#N/A,#N/A,FALSE,"PrcsD";#N/A,#N/A,FALSE,"TunnD";#N/A,#N/A,FALSE,"CivlD";#N/A,#N/A,FALSE,"NtwkD";#N/A,#N/A,FALSE,"EstgD";#N/A,#N/A,FALSE,"PEngD"}</definedName>
    <definedName name="MAYI" hidden="1">{#N/A,#N/A,FALSE,"1";#N/A,#N/A,FALSE,"1a 1b";#N/A,#N/A,FALSE,"2";#N/A,#N/A,FALSE,"3";#N/A,#N/A,FALSE,"4";#N/A,#N/A,FALSE,"5";#N/A,#N/A,FALSE,"5a 5b"}</definedName>
    <definedName name="MAYITA" hidden="1">{#N/A,#N/A,FALSE,"1";#N/A,#N/A,FALSE,"1a 1b";#N/A,#N/A,FALSE,"2";#N/A,#N/A,FALSE,"3";#N/A,#N/A,FALSE,"4";#N/A,#N/A,FALSE,"5";#N/A,#N/A,FALSE,"5a 5b"}</definedName>
    <definedName name="MECH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hxgaksj"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ijiojojiijoioiooiioio"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ilagrosmejiazorill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kmklmklmkmklmkmlmklmkmkmkmk"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kmkmkmkmkmkmkmkmkmkmk"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m"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mmkmkmkmkmkmkmdkmdkmdkmdkmdkdmkdm"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mmmmkkkkkkkkkkkk"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mmmmmmmnnnnkkknnnkknknk"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mmmnvnvnvnvnvnv"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orosida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s" hidden="1">{#N/A,#N/A,FALSE,"Hip.Bas";#N/A,#N/A,FALSE,"ventas";#N/A,#N/A,FALSE,"ingre-Año";#N/A,#N/A,FALSE,"ventas-Año";#N/A,#N/A,FALSE,"Costepro";#N/A,#N/A,FALSE,"inversion";#N/A,#N/A,FALSE,"personal";#N/A,#N/A,FALSE,"Gastos-V";#N/A,#N/A,FALSE,"Circulante";#N/A,#N/A,FALSE,"CONSOLI";#N/A,#N/A,FALSE,"Es-Fin";#N/A,#N/A,FALSE,"Margen-P"}</definedName>
    <definedName name="multas" hidden="1">{#N/A,#N/A,FALSE,"1";#N/A,#N/A,FALSE,"1a 1b";#N/A,#N/A,FALSE,"2";#N/A,#N/A,FALSE,"3";#N/A,#N/A,FALSE,"4";#N/A,#N/A,FALSE,"5";#N/A,#N/A,FALSE,"5a 5b"}</definedName>
    <definedName name="multas1" hidden="1">{#N/A,#N/A,FALSE,"1";#N/A,#N/A,FALSE,"1a 1b";#N/A,#N/A,FALSE,"2";#N/A,#N/A,FALSE,"3";#N/A,#N/A,FALSE,"4";#N/A,#N/A,FALSE,"5";#N/A,#N/A,FALSE,"5a 5b"}</definedName>
    <definedName name="mvkcmvkcmkvckvmkcvk"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 hidden="1">{#N/A,#N/A,FALSE,"Balances";#N/A,#N/A,FALSE,"ANEX-1";#N/A,#N/A,FALSE,"ANEX.2";#N/A,#N/A,FALSE,"ANEX-3";#N/A,#N/A,FALSE,"ANEX.4";#N/A,#N/A,FALSE,"ANEX-5";#N/A,#N/A,FALSE,"ANEX-7 (último)";#N/A,#N/A,FALSE,"ANEX-6"}</definedName>
    <definedName name="nadamasnadamasnadama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bnbnbnbnbbbbbbb"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bvcncv" hidden="1">{#N/A,#N/A,FALSE,"voz corporativa";#N/A,#N/A,FALSE,"Transmisión de datos";#N/A,#N/A,FALSE,"Videoconferencia";#N/A,#N/A,FALSE,"Correo electrónico";#N/A,#N/A,FALSE,"Correo de voz";#N/A,#N/A,FALSE,"Megafax";#N/A,#N/A,FALSE,"Edi";#N/A,#N/A,FALSE,"Internet";#N/A,#N/A,FALSE,"VSAT";#N/A,#N/A,FALSE,"ing ult. milla"}</definedName>
    <definedName name="nbvmbvnm" hidden="1">{#N/A,#N/A,FALSE,"voz corporativa";#N/A,#N/A,FALSE,"Transmisión de datos";#N/A,#N/A,FALSE,"Videoconferencia";#N/A,#N/A,FALSE,"Correo electrónico";#N/A,#N/A,FALSE,"Correo de voz";#N/A,#N/A,FALSE,"Megafax";#N/A,#N/A,FALSE,"Edi";#N/A,#N/A,FALSE,"Internet";#N/A,#N/A,FALSE,"VSAT";#N/A,#N/A,FALSE,"ing ult. milla"}</definedName>
    <definedName name="nmfklfdsjldfsjkldfsdsfdsfdsd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mmfkfkjjdfjfdfdskfdssfdfd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n"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nh"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ni"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nn"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nnklfklfdskljdsoirekjfsiorewe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nnnjjjjjjnnnnjjn"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nnnnkkkkknnnnkknknkknnk"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nnnnnjjdjdjdjdjdjdjdjdcxjdjdjdj"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nnnnnnnjjjjjjjinnn"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nnnnnnnnnn"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NNNNNNNNNNJJJJJJJJJJJKK"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o"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o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os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ossi"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ossiv"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ossiv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ossivei"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ossiveis" hidden="1">{#N/A,#N/A,FALSE,"CARATULA GENERAL";#N/A,#N/A,FALSE,"GSxDIRECCION";#N/A,#N/A,FALSE,"Caratula";#N/A,#N/A,FALSE,"GSxCTRO";#N/A,#N/A,FALSE,"GsAdm.Centr";#N/A,#N/A,FALSE,"Dir.Gral";#N/A,#N/A,FALSE,"AdmyFzas";#N/A,#N/A,FALSE,"Sistemas";#N/A,#N/A,FALSE,"RRHH"}</definedName>
    <definedName name="noepossiveis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ossivel"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ossivell"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p"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viembre" hidden="1">{#N/A,#N/A,FALSE,"Hip.Bas";#N/A,#N/A,FALSE,"ventas";#N/A,#N/A,FALSE,"ingre-Año";#N/A,#N/A,FALSE,"ventas-Año";#N/A,#N/A,FALSE,"Costepro";#N/A,#N/A,FALSE,"inversion";#N/A,#N/A,FALSE,"personal";#N/A,#N/A,FALSE,"Gastos-V";#N/A,#N/A,FALSE,"Circulante";#N/A,#N/A,FALSE,"CONSOLI";#N/A,#N/A,FALSE,"Es-Fin";#N/A,#N/A,FALSE,"Margen-P"}</definedName>
    <definedName name="Noviembre02" hidden="1">{#N/A,#N/A,FALSE,"Hip.Bas";#N/A,#N/A,FALSE,"ventas";#N/A,#N/A,FALSE,"ingre-Año";#N/A,#N/A,FALSE,"ventas-Año";#N/A,#N/A,FALSE,"Costepro";#N/A,#N/A,FALSE,"inversion";#N/A,#N/A,FALSE,"personal";#N/A,#N/A,FALSE,"Gastos-V";#N/A,#N/A,FALSE,"Circulante";#N/A,#N/A,FALSE,"CONSOLI";#N/A,#N/A,FALSE,"Es-Fin";#N/A,#N/A,FALSE,"Margen-P"}</definedName>
    <definedName name="nuevo"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uevo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uevoii" hidden="1">#REF!</definedName>
    <definedName name="nvnvnvvvvvvvv"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ñlñlñ"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ññ" hidden="1">{#N/A,#N/A,FALSE,"PERSONAL";#N/A,#N/A,FALSE,"explotación";#N/A,#N/A,FALSE,"generales"}</definedName>
    <definedName name="ÑÑÑ" hidden="1">#REF!</definedName>
    <definedName name="ññññ" hidden="1">{#N/A,#N/A,FALSE,"voz corporativa";#N/A,#N/A,FALSE,"Transmisión de datos";#N/A,#N/A,FALSE,"Videoconferencia";#N/A,#N/A,FALSE,"Correo electrónico";#N/A,#N/A,FALSE,"Correo de voz";#N/A,#N/A,FALSE,"Megafax";#N/A,#N/A,FALSE,"Edi";#N/A,#N/A,FALSE,"Internet";#N/A,#N/A,FALSE,"VSAT";#N/A,#N/A,FALSE,"ing ult. milla"}</definedName>
    <definedName name="Octubre" hidden="1">{#N/A,#N/A,FALSE,"Hip.Bas";#N/A,#N/A,FALSE,"ventas";#N/A,#N/A,FALSE,"ingre-Año";#N/A,#N/A,FALSE,"ventas-Año";#N/A,#N/A,FALSE,"Costepro";#N/A,#N/A,FALSE,"inversion";#N/A,#N/A,FALSE,"personal";#N/A,#N/A,FALSE,"Gastos-V";#N/A,#N/A,FALSE,"Circulante";#N/A,#N/A,FALSE,"CONSOLI";#N/A,#N/A,FALSE,"Es-Fin";#N/A,#N/A,FALSE,"Margen-P"}</definedName>
    <definedName name="oiuytuy" hidden="1">{#N/A,#N/A,FALSE,"PERSONAL";#N/A,#N/A,FALSE,"explotación";#N/A,#N/A,FALSE,"generales"}</definedName>
    <definedName name="OKIK"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ooo"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OT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p"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parangaracutirimucuaro" hidden="1">{#N/A,#N/A,FALSE,"1";#N/A,#N/A,FALSE,"1a 1b";#N/A,#N/A,FALSE,"2";#N/A,#N/A,FALSE,"3";#N/A,#N/A,FALSE,"4";#N/A,#N/A,FALSE,"5";#N/A,#N/A,FALSE,"5a 5b"}</definedName>
    <definedName name="Patrimonio"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pk" hidden="1">{#N/A,#N/A,FALSE,"1";#N/A,#N/A,FALSE,"1a 1b";#N/A,#N/A,FALSE,"2";#N/A,#N/A,FALSE,"3";#N/A,#N/A,FALSE,"4";#N/A,#N/A,FALSE,"5";#N/A,#N/A,FALSE,"5a 5b"}</definedName>
    <definedName name="pojh9uyguyt"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pop"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pop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popo"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porr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PP"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PPPP"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PPPPP"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tiupouo" hidden="1">{#N/A,#N/A,FALSE,"SumD";#N/A,#N/A,FALSE,"ElecD";#N/A,#N/A,FALSE,"MechD";#N/A,#N/A,FALSE,"GeotD";#N/A,#N/A,FALSE,"PrcsD";#N/A,#N/A,FALSE,"TunnD";#N/A,#N/A,FALSE,"CivlD";#N/A,#N/A,FALSE,"NtwkD";#N/A,#N/A,FALSE,"EstgD";#N/A,#N/A,FALSE,"PEngD"}</definedName>
    <definedName name="pudretepudretepudretepudretepudret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 hidden="1">{#N/A,#N/A,FALSE,"voz corporativa";#N/A,#N/A,FALSE,"Transmisión de datos";#N/A,#N/A,FALSE,"Videoconferencia";#N/A,#N/A,FALSE,"Correo electrónico";#N/A,#N/A,FALSE,"Correo de voz";#N/A,#N/A,FALSE,"Megafax";#N/A,#N/A,FALSE,"Edi";#N/A,#N/A,FALSE,"Internet";#N/A,#N/A,FALSE,"VSAT";#N/A,#N/A,FALSE,"ing ult. milla"}</definedName>
    <definedName name="q.flujo" hidden="1">{#N/A,#N/A,FALSE,"Hip.Bas";#N/A,#N/A,FALSE,"ventas";#N/A,#N/A,FALSE,"ingre-Año";#N/A,#N/A,FALSE,"ventas-Año";#N/A,#N/A,FALSE,"Costepro";#N/A,#N/A,FALSE,"inversion";#N/A,#N/A,FALSE,"personal";#N/A,#N/A,FALSE,"Gastos-V";#N/A,#N/A,FALSE,"Circulante";#N/A,#N/A,FALSE,"CONSOLI";#N/A,#N/A,FALSE,"Es-Fin";#N/A,#N/A,FALSE,"Margen-P"}</definedName>
    <definedName name="q3wreeq"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aa" hidden="1">{#N/A,#N/A,FALSE,"Hip.Bas";#N/A,#N/A,FALSE,"ventas";#N/A,#N/A,FALSE,"ingre-Año";#N/A,#N/A,FALSE,"ventas-Año";#N/A,#N/A,FALSE,"Costepro";#N/A,#N/A,FALSE,"inversion";#N/A,#N/A,FALSE,"personal";#N/A,#N/A,FALSE,"Gastos-V";#N/A,#N/A,FALSE,"Circulante";#N/A,#N/A,FALSE,"CONSOLI";#N/A,#N/A,FALSE,"Es-Fin";#N/A,#N/A,FALSE,"Margen-P"}</definedName>
    <definedName name="qafgf" hidden="1">{#N/A,#N/A,FALSE,"Hip.Bas";#N/A,#N/A,FALSE,"ventas";#N/A,#N/A,FALSE,"ingre-Año";#N/A,#N/A,FALSE,"ventas-Año";#N/A,#N/A,FALSE,"Costepro";#N/A,#N/A,FALSE,"inversion";#N/A,#N/A,FALSE,"personal";#N/A,#N/A,FALSE,"Gastos-V";#N/A,#N/A,FALSE,"Circulante";#N/A,#N/A,FALSE,"CONSOLI";#N/A,#N/A,FALSE,"Es-Fin";#N/A,#N/A,FALSE,"Margen-P"}</definedName>
    <definedName name="qaz" hidden="1">{#N/A,#N/A,FALSE,"Hip.Bas";#N/A,#N/A,FALSE,"ventas";#N/A,#N/A,FALSE,"ingre-Año";#N/A,#N/A,FALSE,"ventas-Año";#N/A,#N/A,FALSE,"Costepro";#N/A,#N/A,FALSE,"inversion";#N/A,#N/A,FALSE,"personal";#N/A,#N/A,FALSE,"Gastos-V";#N/A,#N/A,FALSE,"Circulante";#N/A,#N/A,FALSE,"CONSOLI";#N/A,#N/A,FALSE,"Es-Fin";#N/A,#N/A,FALSE,"Margen-P"}</definedName>
    <definedName name="qazxc" hidden="1">{#N/A,#N/A,FALSE,"Hip.Bas";#N/A,#N/A,FALSE,"ventas";#N/A,#N/A,FALSE,"ingre-Año";#N/A,#N/A,FALSE,"ventas-Año";#N/A,#N/A,FALSE,"Costepro";#N/A,#N/A,FALSE,"inversion";#N/A,#N/A,FALSE,"personal";#N/A,#N/A,FALSE,"Gastos-V";#N/A,#N/A,FALSE,"Circulante";#N/A,#N/A,FALSE,"CONSOLI";#N/A,#N/A,FALSE,"Es-Fin";#N/A,#N/A,FALSE,"Margen-P"}</definedName>
    <definedName name="qdgggggggggggg"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ettttttttttttttttttttt"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fqwfw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q" hidden="1">{#N/A,#N/A,FALSE,"PERSONAL";#N/A,#N/A,FALSE,"explotación";#N/A,#N/A,FALSE,"generales"}</definedName>
    <definedName name="qqq"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QQQQ"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q" hidden="1">{#N/A,#N/A,FALSE,"voz corporativa";#N/A,#N/A,FALSE,"Transmisión de datos";#N/A,#N/A,FALSE,"Videoconferencia";#N/A,#N/A,FALSE,"Correo electrónico";#N/A,#N/A,FALSE,"Correo de voz";#N/A,#N/A,FALSE,"Megafax";#N/A,#N/A,FALSE,"Edi";#N/A,#N/A,FALSE,"Internet";#N/A,#N/A,FALSE,"VSAT";#N/A,#N/A,FALSE,"ing ult. milla"}</definedName>
    <definedName name="qqqqqqq" hidden="1">{#N/A,#N/A,FALSE,"PERSONAL";#N/A,#N/A,FALSE,"explotación";#N/A,#N/A,FALSE,"generales"}</definedName>
    <definedName name="qqqqqqqqq" hidden="1">{#N/A,#N/A,FALSE,"voz corporativa";#N/A,#N/A,FALSE,"Transmisión de datos";#N/A,#N/A,FALSE,"Videoconferencia";#N/A,#N/A,FALSE,"Correo electrónico";#N/A,#N/A,FALSE,"Correo de voz";#N/A,#N/A,FALSE,"Megafax";#N/A,#N/A,FALSE,"Edi";#N/A,#N/A,FALSE,"Internet";#N/A,#N/A,FALSE,"VSAT";#N/A,#N/A,FALSE,"ing ult. milla"}</definedName>
    <definedName name="qre" hidden="1">{#N/A,#N/A,FALSE,"voz corporativa";#N/A,#N/A,FALSE,"Transmisión de datos";#N/A,#N/A,FALSE,"Videoconferencia";#N/A,#N/A,FALSE,"Correo electrónico";#N/A,#N/A,FALSE,"Correo de voz";#N/A,#N/A,FALSE,"Megafax";#N/A,#N/A,FALSE,"Edi";#N/A,#N/A,FALSE,"Internet";#N/A,#N/A,FALSE,"VSAT";#N/A,#N/A,FALSE,"ing ult. milla"}</definedName>
    <definedName name="qrttttttttt"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UBHAHGASHGSGSGSDGD" hidden="1">{"DetallexDep",#N/A,FALSE,"Giovanna (x DEPT)"}</definedName>
    <definedName name="qwe" hidden="1">{#N/A,#N/A,FALSE,"voz corporativa";#N/A,#N/A,FALSE,"Transmisión de datos";#N/A,#N/A,FALSE,"Videoconferencia";#N/A,#N/A,FALSE,"Correo electrónico";#N/A,#N/A,FALSE,"Correo de voz";#N/A,#N/A,FALSE,"Megafax";#N/A,#N/A,FALSE,"Edi";#N/A,#N/A,FALSE,"Internet";#N/A,#N/A,FALSE,"VSAT";#N/A,#N/A,FALSE,"ing ult. milla"}</definedName>
    <definedName name="qweqw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weqwewq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weret"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wert01" hidden="1">{#N/A,#N/A,FALSE,"Hip.Bas";#N/A,#N/A,FALSE,"ventas";#N/A,#N/A,FALSE,"ingre-Año";#N/A,#N/A,FALSE,"ventas-Año";#N/A,#N/A,FALSE,"Costepro";#N/A,#N/A,FALSE,"inversion";#N/A,#N/A,FALSE,"personal";#N/A,#N/A,FALSE,"Gastos-V";#N/A,#N/A,FALSE,"Circulante";#N/A,#N/A,FALSE,"CONSOLI";#N/A,#N/A,FALSE,"Es-Fin";#N/A,#N/A,FALSE,"Margen-P"}</definedName>
    <definedName name="qwert02" hidden="1">{#N/A,#N/A,FALSE,"Hip.Bas";#N/A,#N/A,FALSE,"ventas";#N/A,#N/A,FALSE,"ingre-Año";#N/A,#N/A,FALSE,"ventas-Año";#N/A,#N/A,FALSE,"Costepro";#N/A,#N/A,FALSE,"inversion";#N/A,#N/A,FALSE,"personal";#N/A,#N/A,FALSE,"Gastos-V";#N/A,#N/A,FALSE,"Circulante";#N/A,#N/A,FALSE,"CONSOLI";#N/A,#N/A,FALSE,"Es-Fin";#N/A,#N/A,FALSE,"Margen-P"}</definedName>
    <definedName name="qwert03" hidden="1">{#N/A,#N/A,FALSE,"Hip.Bas";#N/A,#N/A,FALSE,"ventas";#N/A,#N/A,FALSE,"ingre-Año";#N/A,#N/A,FALSE,"ventas-Año";#N/A,#N/A,FALSE,"Costepro";#N/A,#N/A,FALSE,"inversion";#N/A,#N/A,FALSE,"personal";#N/A,#N/A,FALSE,"Gastos-V";#N/A,#N/A,FALSE,"Circulante";#N/A,#N/A,FALSE,"CONSOLI";#N/A,#N/A,FALSE,"Es-Fin";#N/A,#N/A,FALSE,"Margen-P"}</definedName>
    <definedName name="qwerttttttttt"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werty" hidden="1">{#N/A,#N/A,FALSE,"Hip.Bas";#N/A,#N/A,FALSE,"ventas";#N/A,#N/A,FALSE,"ingre-Año";#N/A,#N/A,FALSE,"ventas-Año";#N/A,#N/A,FALSE,"Costepro";#N/A,#N/A,FALSE,"inversion";#N/A,#N/A,FALSE,"personal";#N/A,#N/A,FALSE,"Gastos-V";#N/A,#N/A,FALSE,"Circulante";#N/A,#N/A,FALSE,"CONSOLI";#N/A,#N/A,FALSE,"Es-Fin";#N/A,#N/A,FALSE,"Margen-P"}</definedName>
    <definedName name="qwet" hidden="1">{#N/A,#N/A,FALSE,"Hip.Bas";#N/A,#N/A,FALSE,"ventas";#N/A,#N/A,FALSE,"ingre-Año";#N/A,#N/A,FALSE,"ventas-Año";#N/A,#N/A,FALSE,"Costepro";#N/A,#N/A,FALSE,"inversion";#N/A,#N/A,FALSE,"personal";#N/A,#N/A,FALSE,"Gastos-V";#N/A,#N/A,FALSE,"Circulante";#N/A,#N/A,FALSE,"CONSOLI";#N/A,#N/A,FALSE,"Es-Fin";#N/A,#N/A,FALSE,"Margen-P"}</definedName>
    <definedName name="qwetewtewqt"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wewqewqe" hidden="1">{#N/A,#N/A,FALSE,"PERSONAL";#N/A,#N/A,FALSE,"explotación";#N/A,#N/A,FALSE,"generales"}</definedName>
    <definedName name="qwrttttttt"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wryyyyyyyyyyyyyyy"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wttt" hidden="1">{#N/A,#N/A,FALSE,"Hip.Bas";#N/A,#N/A,FALSE,"ventas";#N/A,#N/A,FALSE,"ingre-Año";#N/A,#N/A,FALSE,"ventas-Año";#N/A,#N/A,FALSE,"Costepro";#N/A,#N/A,FALSE,"inversion";#N/A,#N/A,FALSE,"personal";#N/A,#N/A,FALSE,"Gastos-V";#N/A,#N/A,FALSE,"Circulante";#N/A,#N/A,FALSE,"CONSOLI";#N/A,#N/A,FALSE,"Es-Fin";#N/A,#N/A,FALSE,"Margen-P"}</definedName>
    <definedName name="RatiosJunio"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recursoshumanosrecursoshumano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RED" hidden="1">{#N/A,#N/A,FALSE,"Hip.Bas";#N/A,#N/A,FALSE,"ventas";#N/A,#N/A,FALSE,"ingre-Año";#N/A,#N/A,FALSE,"ventas-Año";#N/A,#N/A,FALSE,"Costepro";#N/A,#N/A,FALSE,"inversion";#N/A,#N/A,FALSE,"personal";#N/A,#N/A,FALSE,"Gastos-V";#N/A,#N/A,FALSE,"Circulante";#N/A,#N/A,FALSE,"CONSOLI";#N/A,#N/A,FALSE,"Es-Fin";#N/A,#N/A,FALSE,"Margen-P"}</definedName>
    <definedName name="rerwerwer"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retretret" hidden="1">{#N/A,#N/A,FALSE,"voz corporativa";#N/A,#N/A,FALSE,"Transmisión de datos";#N/A,#N/A,FALSE,"Videoconferencia";#N/A,#N/A,FALSE,"Correo electrónico";#N/A,#N/A,FALSE,"Correo de voz";#N/A,#N/A,FALSE,"Megafax";#N/A,#N/A,FALSE,"Edi";#N/A,#N/A,FALSE,"Internet";#N/A,#N/A,FALSE,"VSAT";#N/A,#N/A,FALSE,"ing ult. milla"}</definedName>
    <definedName name="retyfgdhdfgh" hidden="1">{#N/A,#N/A,FALSE,"voz corporativa";#N/A,#N/A,FALSE,"Transmisión de datos";#N/A,#N/A,FALSE,"Videoconferencia";#N/A,#N/A,FALSE,"Correo electrónico";#N/A,#N/A,FALSE,"Correo de voz";#N/A,#N/A,FALSE,"Megafax";#N/A,#N/A,FALSE,"Edi";#N/A,#N/A,FALSE,"Internet";#N/A,#N/A,FALSE,"VSAT";#N/A,#N/A,FALSE,"ing ult. milla"}</definedName>
    <definedName name="retyrethgfreh" hidden="1">{#N/A,#N/A,FALSE,"voz corporativa";#N/A,#N/A,FALSE,"Transmisión de datos";#N/A,#N/A,FALSE,"Videoconferencia";#N/A,#N/A,FALSE,"Correo electrónico";#N/A,#N/A,FALSE,"Correo de voz";#N/A,#N/A,FALSE,"Megafax";#N/A,#N/A,FALSE,"Edi";#N/A,#N/A,FALSE,"Internet";#N/A,#N/A,FALSE,"VSAT";#N/A,#N/A,FALSE,"ing ult. milla"}</definedName>
    <definedName name="rihfdshiufdshjfiufewkjreiuwuireyureyuyrewreuureuirere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rr"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rrrrr" hidden="1">#N/A</definedName>
    <definedName name="rth" hidden="1">{#N/A,#N/A,FALSE,"PERSONAL";#N/A,#N/A,FALSE,"explotación";#N/A,#N/A,FALSE,"generales"}</definedName>
    <definedName name="rti"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rttreuterutureutertwert"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rty"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RUBROS">'[1]B.D.'!$A$3:$C$8</definedName>
    <definedName name="RUTH" hidden="1">{#N/A,#N/A,FALSE,"Resultados_is";#N/A,#N/A,FALSE,"IngresosG_is";#N/A,#N/A,FALSE,"Ingresosp_is";#N/A,#N/A,FALSE,"Financiero_is";#N/A,#N/A,FALSE,"Estructura_is";#N/A,#N/A,FALSE,"EstructuraG_is";#N/A,#N/A,FALSE,"FComercio_is";#N/A,#N/A,FALSE,"Pbeneficios_is";#N/A,#N/A,FALSE,"Gerenciamiento_is";#N/A,#N/A,FALSE,"Desinv_is"}</definedName>
    <definedName name="RV" hidden="1">{#N/A,#N/A,FALSE,"1";#N/A,#N/A,FALSE,"1a 1b";#N/A,#N/A,FALSE,"2";#N/A,#N/A,FALSE,"3";#N/A,#N/A,FALSE,"4";#N/A,#N/A,FALSE,"5";#N/A,#N/A,FALSE,"5a 5b"}</definedName>
    <definedName name="rwh"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rwt" hidden="1">{#N/A,#N/A,FALSE,"voz corporativa";#N/A,#N/A,FALSE,"Transmisión de datos";#N/A,#N/A,FALSE,"Videoconferencia";#N/A,#N/A,FALSE,"Correo electrónico";#N/A,#N/A,FALSE,"Correo de voz";#N/A,#N/A,FALSE,"Megafax";#N/A,#N/A,FALSE,"Edi";#N/A,#N/A,FALSE,"Internet";#N/A,#N/A,FALSE,"VSAT";#N/A,#N/A,FALSE,"ing ult. milla"}</definedName>
    <definedName name="rwthrtwh" hidden="1">{#N/A,#N/A,FALSE,"voz corporativa";#N/A,#N/A,FALSE,"Transmisión de datos";#N/A,#N/A,FALSE,"Videoconferencia";#N/A,#N/A,FALSE,"Correo electrónico";#N/A,#N/A,FALSE,"Correo de voz";#N/A,#N/A,FALSE,"Megafax";#N/A,#N/A,FALSE,"Edi";#N/A,#N/A,FALSE,"Internet";#N/A,#N/A,FALSE,"VSAT";#N/A,#N/A,FALSE,"ing ult. milla"}</definedName>
    <definedName name="s" hidden="1">{#N/A,#N/A,FALSE,"Hip.Bas";#N/A,#N/A,FALSE,"ventas";#N/A,#N/A,FALSE,"ingre-Año";#N/A,#N/A,FALSE,"ventas-Año";#N/A,#N/A,FALSE,"Costepro";#N/A,#N/A,FALSE,"inversion";#N/A,#N/A,FALSE,"personal";#N/A,#N/A,FALSE,"Gastos-V";#N/A,#N/A,FALSE,"Circulante";#N/A,#N/A,FALSE,"CONSOLI";#N/A,#N/A,FALSE,"Es-Fin";#N/A,#N/A,FALSE,"Margen-P"}</definedName>
    <definedName name="s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SADADADA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sadfdsff" hidden="1">{#N/A,#N/A,FALSE,"voz corporativa";#N/A,#N/A,FALSE,"Transmisión de datos";#N/A,#N/A,FALSE,"Videoconferencia";#N/A,#N/A,FALSE,"Correo electrónico";#N/A,#N/A,FALSE,"Correo de voz";#N/A,#N/A,FALSE,"Megafax";#N/A,#N/A,FALSE,"Edi";#N/A,#N/A,FALSE,"Internet";#N/A,#N/A,FALSE,"VSAT";#N/A,#N/A,FALSE,"ing ult. milla"}</definedName>
    <definedName name="sadsadsadsad" hidden="1">{#N/A,#N/A,FALSE,"voz corporativa";#N/A,#N/A,FALSE,"Transmisión de datos";#N/A,#N/A,FALSE,"Videoconferencia";#N/A,#N/A,FALSE,"Correo electrónico";#N/A,#N/A,FALSE,"Correo de voz";#N/A,#N/A,FALSE,"Megafax";#N/A,#N/A,FALSE,"Edi";#N/A,#N/A,FALSE,"Internet";#N/A,#N/A,FALSE,"VSAT";#N/A,#N/A,FALSE,"ing ult. milla"}</definedName>
    <definedName name="safsaf" hidden="1">{#N/A,#N/A,FALSE,"voz corporativa";#N/A,#N/A,FALSE,"Transmisión de datos";#N/A,#N/A,FALSE,"Videoconferencia";#N/A,#N/A,FALSE,"Correo electrónico";#N/A,#N/A,FALSE,"Correo de voz";#N/A,#N/A,FALSE,"Megafax";#N/A,#N/A,FALSE,"Edi";#N/A,#N/A,FALSE,"Internet";#N/A,#N/A,FALSE,"VSAT";#N/A,#N/A,FALSE,"ing ult. milla"}</definedName>
    <definedName name="salva" hidden="1">{#N/A,#N/A,FALSE,"Resultados_is";#N/A,#N/A,FALSE,"IngresosG_is";#N/A,#N/A,FALSE,"Ingresosp_is";#N/A,#N/A,FALSE,"Financiero_is";#N/A,#N/A,FALSE,"Estructura_is";#N/A,#N/A,FALSE,"EstructuraG_is";#N/A,#N/A,FALSE,"FComercio_is";#N/A,#N/A,FALSE,"Pbeneficios_is";#N/A,#N/A,FALSE,"Gerenciamiento_is";#N/A,#N/A,FALSE,"Desinv_is"}</definedName>
    <definedName name="SAPBEXrevision" hidden="1">14</definedName>
    <definedName name="SAPBEXsysID" hidden="1">"BW3"</definedName>
    <definedName name="SAPBEXwbID" hidden="1">"3SO04G3IWYENSZLK6QOKKYLB2"</definedName>
    <definedName name="sd" hidden="1">{#N/A,#N/A,FALSE,"PERSONAL";#N/A,#N/A,FALSE,"explotación";#N/A,#N/A,FALSE,"generales"}</definedName>
    <definedName name="sda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sdafdsaf" hidden="1">{#N/A,#N/A,FALSE,"PERSONAL";#N/A,#N/A,FALSE,"explotación";#N/A,#N/A,FALSE,"generales"}</definedName>
    <definedName name="sdas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sdasdsadsad" hidden="1">{#N/A,#N/A,FALSE,"PERSONAL";#N/A,#N/A,FALSE,"explotación";#N/A,#N/A,FALSE,"generales"}</definedName>
    <definedName name="sdf" hidden="1">{"Resumen",#N/A,FALSE,"Sheet1";"Detalle",#N/A,FALSE,"Sheet1"}</definedName>
    <definedName name="sdff" hidden="1">{#N/A,#N/A,FALSE,"PERSONAL";#N/A,#N/A,FALSE,"explotación";#N/A,#N/A,FALSE,"generales"}</definedName>
    <definedName name="sdfg" hidden="1">{#N/A,#N/A,FALSE,"Balances";#N/A,#N/A,FALSE,"ANEX-1";#N/A,#N/A,FALSE,"ANEX.2";#N/A,#N/A,FALSE,"ANEX-3";#N/A,#N/A,FALSE,"ANEX.4";#N/A,#N/A,FALSE,"ANEX-5";#N/A,#N/A,FALSE,"ANEX-7 (último)";#N/A,#N/A,FALSE,"ANEX-6"}</definedName>
    <definedName name="sdfs" hidden="1">{#N/A,#N/A,FALSE,"SumD";#N/A,#N/A,FALSE,"ElecD";#N/A,#N/A,FALSE,"MechD";#N/A,#N/A,FALSE,"GeotD";#N/A,#N/A,FALSE,"PrcsD";#N/A,#N/A,FALSE,"TunnD";#N/A,#N/A,FALSE,"CivlD";#N/A,#N/A,FALSE,"NtwkD";#N/A,#N/A,FALSE,"EstgD";#N/A,#N/A,FALSE,"PEngD"}</definedName>
    <definedName name="sdfxvbbvcbv" hidden="1">{#N/A,#N/A,FALSE,"voz corporativa";#N/A,#N/A,FALSE,"Transmisión de datos";#N/A,#N/A,FALSE,"Videoconferencia";#N/A,#N/A,FALSE,"Correo electrónico";#N/A,#N/A,FALSE,"Correo de voz";#N/A,#N/A,FALSE,"Megafax";#N/A,#N/A,FALSE,"Edi";#N/A,#N/A,FALSE,"Internet";#N/A,#N/A,FALSE,"VSAT";#N/A,#N/A,FALSE,"ing ult. milla"}</definedName>
    <definedName name="sds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sdsdd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sec"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sencount" hidden="1">3</definedName>
    <definedName name="Services2" hidden="1">{#N/A,#N/A,FALSE,"Pricing";#N/A,#N/A,FALSE,"Summary";#N/A,#N/A,FALSE,"CompProd";#N/A,#N/A,FALSE,"CompJobhrs";#N/A,#N/A,FALSE,"Escalation";#N/A,#N/A,FALSE,"Contingency";#N/A,#N/A,FALSE,"GM";#N/A,#N/A,FALSE,"CompWage";#N/A,#N/A,FALSE,"costSum"}</definedName>
    <definedName name="sffff" hidden="1">{#N/A,#N/A,FALSE,"SumD";#N/A,#N/A,FALSE,"ElecD";#N/A,#N/A,FALSE,"MechD";#N/A,#N/A,FALSE,"GeotD";#N/A,#N/A,FALSE,"PrcsD";#N/A,#N/A,FALSE,"TunnD";#N/A,#N/A,FALSE,"CivlD";#N/A,#N/A,FALSE,"NtwkD";#N/A,#N/A,FALSE,"EstgD";#N/A,#N/A,FALSE,"PEngD"}</definedName>
    <definedName name="sfs" hidden="1">{#N/A,#N/A,FALSE,"1";#N/A,#N/A,FALSE,"1a 1b";#N/A,#N/A,FALSE,"2";#N/A,#N/A,FALSE,"3";#N/A,#N/A,FALSE,"4";#N/A,#N/A,FALSE,"5";#N/A,#N/A,FALSE,"5a 5b"}</definedName>
    <definedName name="s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ssd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ssshhh" hidden="1">{#N/A,#N/A,FALSE,"SumG";#N/A,#N/A,FALSE,"ElecG";#N/A,#N/A,FALSE,"MechG";#N/A,#N/A,FALSE,"GeotG";#N/A,#N/A,FALSE,"PrcsG";#N/A,#N/A,FALSE,"TunnG";#N/A,#N/A,FALSE,"CivlG";#N/A,#N/A,FALSE,"NtwkG";#N/A,#N/A,FALSE,"EstgG";#N/A,#N/A,FALSE,"PEngG"}</definedName>
    <definedName name="sssss" hidden="1">{#N/A,#N/A,FALSE,"SumD";#N/A,#N/A,FALSE,"ElecD";#N/A,#N/A,FALSE,"MechD";#N/A,#N/A,FALSE,"GeotD";#N/A,#N/A,FALSE,"PrcsD";#N/A,#N/A,FALSE,"TunnD";#N/A,#N/A,FALSE,"CivlD";#N/A,#N/A,FALSE,"NtwkD";#N/A,#N/A,FALSE,"EstgD";#N/A,#N/A,FALSE,"PEngD"}</definedName>
    <definedName name="sssssss" hidden="1">{#N/A,#N/A,FALSE,"PERSONAL";#N/A,#N/A,FALSE,"explotación";#N/A,#N/A,FALSE,"generales"}</definedName>
    <definedName name="sw"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taradotaradotaradotaradotarado"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tedetestoquedateconanamariavceramerecontrallega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tedetestotedetestotedetestotedetestotedetestotedetestotedetesto"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terrerre" hidden="1">{#N/A,#N/A,FALSE,"voz corporativa";#N/A,#N/A,FALSE,"Transmisión de datos";#N/A,#N/A,FALSE,"Videoconferencia";#N/A,#N/A,FALSE,"Correo electrónico";#N/A,#N/A,FALSE,"Correo de voz";#N/A,#N/A,FALSE,"Megafax";#N/A,#N/A,FALSE,"Edi";#N/A,#N/A,FALSE,"Internet";#N/A,#N/A,FALSE,"VSAT";#N/A,#N/A,FALSE,"ing ult. milla"}</definedName>
    <definedName name="test" hidden="1">{#N/A,#N/A,FALSE,"Pricing";#N/A,#N/A,FALSE,"Summary";#N/A,#N/A,FALSE,"CompProd";#N/A,#N/A,FALSE,"CompJobhrs";#N/A,#N/A,FALSE,"Escalation";#N/A,#N/A,FALSE,"Contingency";#N/A,#N/A,FALSE,"GM";#N/A,#N/A,FALSE,"CompWage";#N/A,#N/A,FALSE,"costSum"}</definedName>
    <definedName name="TextRefCopyRangeCount" hidden="1">4</definedName>
    <definedName name="t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tiritaspaestecorazonpartio"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treydfgytrey" hidden="1">{#N/A,#N/A,FALSE,"voz corporativa";#N/A,#N/A,FALSE,"Transmisión de datos";#N/A,#N/A,FALSE,"Videoconferencia";#N/A,#N/A,FALSE,"Correo electrónico";#N/A,#N/A,FALSE,"Correo de voz";#N/A,#N/A,FALSE,"Megafax";#N/A,#N/A,FALSE,"Edi";#N/A,#N/A,FALSE,"Internet";#N/A,#N/A,FALSE,"VSAT";#N/A,#N/A,FALSE,"ing ult. milla"}</definedName>
    <definedName name="trgyetrtertertretertertwer"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trhgfd7ytyre" hidden="1">{#N/A,#N/A,FALSE,"voz corporativa";#N/A,#N/A,FALSE,"Transmisión de datos";#N/A,#N/A,FALSE,"Videoconferencia";#N/A,#N/A,FALSE,"Correo electrónico";#N/A,#N/A,FALSE,"Correo de voz";#N/A,#N/A,FALSE,"Megafax";#N/A,#N/A,FALSE,"Edi";#N/A,#N/A,FALSE,"Internet";#N/A,#N/A,FALSE,"VSAT";#N/A,#N/A,FALSE,"ing ult. milla"}</definedName>
    <definedName name="trrty" hidden="1">{#N/A,#N/A,FALSE,"voz corporativa";#N/A,#N/A,FALSE,"Transmisión de datos";#N/A,#N/A,FALSE,"Videoconferencia";#N/A,#N/A,FALSE,"Correo electrónico";#N/A,#N/A,FALSE,"Correo de voz";#N/A,#N/A,FALSE,"Megafax";#N/A,#N/A,FALSE,"Edi";#N/A,#N/A,FALSE,"Internet";#N/A,#N/A,FALSE,"VSAT";#N/A,#N/A,FALSE,"ing ult. milla"}</definedName>
    <definedName name="TSComerciale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TSComerciales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tttgt" hidden="1">{#N/A,#N/A,FALSE,"Hip.Bas";#N/A,#N/A,FALSE,"ventas";#N/A,#N/A,FALSE,"ingre-Año";#N/A,#N/A,FALSE,"ventas-Año";#N/A,#N/A,FALSE,"Costepro";#N/A,#N/A,FALSE,"inversion";#N/A,#N/A,FALSE,"personal";#N/A,#N/A,FALSE,"Gastos-V";#N/A,#N/A,FALSE,"Circulante";#N/A,#N/A,FALSE,"CONSOLI";#N/A,#N/A,FALSE,"Es-Fin";#N/A,#N/A,FALSE,"Margen-P"}</definedName>
    <definedName name="tuytyui" hidden="1">{#N/A,#N/A,FALSE,"voz corporativa";#N/A,#N/A,FALSE,"Transmisión de datos";#N/A,#N/A,FALSE,"Videoconferencia";#N/A,#N/A,FALSE,"Correo electrónico";#N/A,#N/A,FALSE,"Correo de voz";#N/A,#N/A,FALSE,"Megafax";#N/A,#N/A,FALSE,"Edi";#N/A,#N/A,FALSE,"Internet";#N/A,#N/A,FALSE,"VSAT";#N/A,#N/A,FALSE,"ing ult. milla"}</definedName>
    <definedName name="uhuhihiuhiiuuiuiuiuiiuiuiiiiiiiioooooo"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uj" hidden="1">{#N/A,#N/A,FALSE,"SumG";#N/A,#N/A,FALSE,"ElecG";#N/A,#N/A,FALSE,"MechG";#N/A,#N/A,FALSE,"GeotG";#N/A,#N/A,FALSE,"PrcsG";#N/A,#N/A,FALSE,"TunnG";#N/A,#N/A,FALSE,"CivlG";#N/A,#N/A,FALSE,"NtwkG";#N/A,#N/A,FALSE,"EstgG";#N/A,#N/A,FALSE,"PEngG"}</definedName>
    <definedName name="ursla2" hidden="1">{#N/A,#N/A,FALSE,"1";#N/A,#N/A,FALSE,"1a 1b";#N/A,#N/A,FALSE,"2";#N/A,#N/A,FALSE,"3";#N/A,#N/A,FALSE,"4";#N/A,#N/A,FALSE,"5";#N/A,#N/A,FALSE,"5a 5b"}</definedName>
    <definedName name="ursula" hidden="1">{#N/A,#N/A,FALSE,"1";#N/A,#N/A,FALSE,"1a 1b";#N/A,#N/A,FALSE,"2";#N/A,#N/A,FALSE,"3";#N/A,#N/A,FALSE,"4";#N/A,#N/A,FALSE,"5";#N/A,#N/A,FALSE,"5a 5b"}</definedName>
    <definedName name="ursula1" hidden="1">{#N/A,#N/A,FALSE,"1";#N/A,#N/A,FALSE,"1a 1b";#N/A,#N/A,FALSE,"2";#N/A,#N/A,FALSE,"3";#N/A,#N/A,FALSE,"4";#N/A,#N/A,FALSE,"5";#N/A,#N/A,FALSE,"5a 5b"}</definedName>
    <definedName name="uytotyuti" hidden="1">{#N/A,#N/A,FALSE,"voz corporativa";#N/A,#N/A,FALSE,"Transmisión de datos";#N/A,#N/A,FALSE,"Videoconferencia";#N/A,#N/A,FALSE,"Correo electrónico";#N/A,#N/A,FALSE,"Correo de voz";#N/A,#N/A,FALSE,"Megafax";#N/A,#N/A,FALSE,"Edi";#N/A,#N/A,FALSE,"Internet";#N/A,#N/A,FALSE,"VSAT";#N/A,#N/A,FALSE,"ing ult. milla"}</definedName>
    <definedName name="uytre" hidden="1">{#N/A,#N/A,FALSE,"PERSONAL";#N/A,#N/A,FALSE,"explotación";#N/A,#N/A,FALSE,"generales"}</definedName>
    <definedName name="uytutyu"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VANIABITI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VARIACION"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vasvsdvsdvsdvsdvsadvasdvsadvsdvsdvsdvsdv"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VCSDFDSAFSDFSDFSDAFSDAFSD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vczxvcxcczv"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vero"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VERO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vnvnvjnvjvnjvnjvnjvnjvnvjnjnvj"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vnvnvnvnvbnbnbnbbbbb"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vovo"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w" hidden="1">{#N/A,#N/A,FALSE,"voz corporativa";#N/A,#N/A,FALSE,"Transmisión de datos";#N/A,#N/A,FALSE,"Videoconferencia";#N/A,#N/A,FALSE,"Correo electrónico";#N/A,#N/A,FALSE,"Correo de voz";#N/A,#N/A,FALSE,"Megafax";#N/A,#N/A,FALSE,"Edi";#N/A,#N/A,FALSE,"Internet";#N/A,#N/A,FALSE,"VSAT";#N/A,#N/A,FALSE,"ing ult. milla"}</definedName>
    <definedName name="wacc1" hidden="1">{#N/A,#N/A,FALSE,"voz corporativa";#N/A,#N/A,FALSE,"Transmisión de datos";#N/A,#N/A,FALSE,"Videoconferencia";#N/A,#N/A,FALSE,"Correo electrónico";#N/A,#N/A,FALSE,"Correo de voz";#N/A,#N/A,FALSE,"Megafax";#N/A,#N/A,FALSE,"Edi";#N/A,#N/A,FALSE,"Internet";#N/A,#N/A,FALSE,"VSAT";#N/A,#N/A,FALSE,"ing ult. milla"}</definedName>
    <definedName name="weq" hidden="1">{#N/A,#N/A,FALSE,"SumD";#N/A,#N/A,FALSE,"ElecD";#N/A,#N/A,FALSE,"MechD";#N/A,#N/A,FALSE,"GeotD";#N/A,#N/A,FALSE,"PrcsD";#N/A,#N/A,FALSE,"TunnD";#N/A,#N/A,FALSE,"CivlD";#N/A,#N/A,FALSE,"NtwkD";#N/A,#N/A,FALSE,"EstgD";#N/A,#N/A,FALSE,"PEngD"}</definedName>
    <definedName name="wer"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wert"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wert.123" hidden="1">{#N/A,#N/A,FALSE,"Hip.Bas";#N/A,#N/A,FALSE,"ventas";#N/A,#N/A,FALSE,"ingre-Año";#N/A,#N/A,FALSE,"ventas-Año";#N/A,#N/A,FALSE,"Costepro";#N/A,#N/A,FALSE,"inversion";#N/A,#N/A,FALSE,"personal";#N/A,#N/A,FALSE,"Gastos-V";#N/A,#N/A,FALSE,"Circulante";#N/A,#N/A,FALSE,"CONSOLI";#N/A,#N/A,FALSE,"Es-Fin";#N/A,#N/A,FALSE,"Margen-P"}</definedName>
    <definedName name="wertewtrewtrewt"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WETWRTYA" hidden="1">{#N/A,#N/A,FALSE,"SumD";#N/A,#N/A,FALSE,"ElecD";#N/A,#N/A,FALSE,"MechD";#N/A,#N/A,FALSE,"GeotD";#N/A,#N/A,FALSE,"PrcsD";#N/A,#N/A,FALSE,"TunnD";#N/A,#N/A,FALSE,"CivlD";#N/A,#N/A,FALSE,"NtwkD";#N/A,#N/A,FALSE,"EstgD";#N/A,#N/A,FALSE,"PEngD"}</definedName>
    <definedName name="wqeq"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wqrewqtewq"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wregggggggggggg"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wreywreyweryt" hidden="1">{#N/A,#N/A,FALSE,"voz corporativa";#N/A,#N/A,FALSE,"Transmisión de datos";#N/A,#N/A,FALSE,"Videoconferencia";#N/A,#N/A,FALSE,"Correo electrónico";#N/A,#N/A,FALSE,"Correo de voz";#N/A,#N/A,FALSE,"Megafax";#N/A,#N/A,FALSE,"Edi";#N/A,#N/A,FALSE,"Internet";#N/A,#N/A,FALSE,"VSAT";#N/A,#N/A,FALSE,"ing ult. milla"}</definedName>
    <definedName name="wrht" hidden="1">{#N/A,#N/A,FALSE,"voz corporativa";#N/A,#N/A,FALSE,"Transmisión de datos";#N/A,#N/A,FALSE,"Videoconferencia";#N/A,#N/A,FALSE,"Correo electrónico";#N/A,#N/A,FALSE,"Correo de voz";#N/A,#N/A,FALSE,"Megafax";#N/A,#N/A,FALSE,"Edi";#N/A,#N/A,FALSE,"Internet";#N/A,#N/A,FALSE,"VSAT";#N/A,#N/A,FALSE,"ing ult. milla"}</definedName>
    <definedName name="wrn.administracion." hidden="1">{#N/A,#N/A,FALSE,"CARATULA GENERAL";#N/A,#N/A,FALSE,"GSxDIRECCION";#N/A,#N/A,FALSE,"Caratula";#N/A,#N/A,FALSE,"GSxCTRO";#N/A,#N/A,FALSE,"GsAdm.Centr";#N/A,#N/A,FALSE,"Dir.Gral";#N/A,#N/A,FALSE,"AdmyFzas";#N/A,#N/A,FALSE,"Sistemas";#N/A,#N/A,FALSE,"RRHH"}</definedName>
    <definedName name="wrn.Aging._.and._.Trend._.Analysis." hidden="1">{#N/A,#N/A,FALSE,"Aging Summary";#N/A,#N/A,FALSE,"Ratio Analysis";#N/A,#N/A,FALSE,"Test 120 Day Accts";#N/A,#N/A,FALSE,"Tickmarks"}</definedName>
    <definedName name="wrn.all." hidden="1">{#N/A,#N/A,FALSE,"Pricing";#N/A,#N/A,FALSE,"Summary";#N/A,#N/A,FALSE,"CompProd";#N/A,#N/A,FALSE,"CompJobhrs";#N/A,#N/A,FALSE,"Escalation";#N/A,#N/A,FALSE,"Contingency";#N/A,#N/A,FALSE,"GM";#N/A,#N/A,FALSE,"CompWage";#N/A,#N/A,FALSE,"costSum"}</definedName>
    <definedName name="wrn.ANALISIS._.SENSIBILIDAD." hidden="1">{#N/A,#N/A,FALSE,"BALANCE";#N/A,#N/A,FALSE,"CUENTA DE PYG";#N/A,#N/A,FALSE,"RATIOS"}</definedName>
    <definedName name="wrn.Anexo4." hidden="1">{"Resumen",#N/A,FALSE,"Sheet1";"Detalle",#N/A,FALSE,"Sheet1"}</definedName>
    <definedName name="wrn.BONITO1." hidden="1">{#N/A,#N/A,FALSE,"Rtdos. Extraordinarios";#N/A,#N/A,FALSE,"Aportación Rtdos. I.Global";#N/A,#N/A,FALSE,"Participación en Beneficios";#N/A,#N/A,FALSE,"Rtdos. Puesta Equivalencia";#N/A,#N/A,FALSE,"Ingr. y Gtos. Empresas Grupo";#N/A,#N/A,FALSE,"Sociedades Apéndice";#N/A,#N/A,FALSE,"Fondo de Comercio"}</definedName>
    <definedName name="wrn.BONITO2." hidden="1">{#N/A,#N/A,FALSE,"Préstamos a Largo Plazo";#N/A,#N/A,FALSE,"Cuentas con Emp. del Grupo";#N/A,#N/A,FALSE,"Inmov. Material";#N/A,#N/A,FALSE,"Inv. Financieras Temporales";#N/A,#N/A,FALSE,"Movimiento de Reservas";#N/A,#N/A,FALSE,"Obligaciones";#N/A,#N/A,FALSE,"Socios Externos";#N/A,#N/A,FALSE,"Inmovilizado inmaterial";#N/A,#N/A,FALSE,"Fondos Própios"}</definedName>
    <definedName name="wrn.consejo." hidden="1">{#N/A,#N/A,FALSE,"Rdos_96_97 (N)";#N/A,#N/A,FALSE,"Rdos_96_97";#N/A,#N/A,FALSE,"Gestión Agosto 97 Abv.";#N/A,#N/A,FALSE,"Resultados Agosto 97 (2)";#N/A,#N/A,FALSE,"Margenes Agost97  Abv sin prov.";#N/A,#N/A,FALSE,"Margenes Agosto97 Abv.";#N/A,#N/A,FALSE,"Carat Balance (2)";#N/A,#N/A,FALSE,"Bal Consol Agosto  97";#N/A,#N/A,FALSE,"Carat EE.FF";#N/A,#N/A,FALSE,"Carat Balance";#N/A,#N/A,FALSE,"Carat Cascada";#N/A,#N/A,FALSE,"Carat Margenes";#N/A,#N/A,FALSE,"Balance Agosto  97";#N/A,#N/A,FALSE,"Margenes Agosto 97"}</definedName>
    <definedName name="wrn.Consejo._.Santillana." hidden="1">{#N/A,#N/A,FALSE,"Resultados_is";#N/A,#N/A,FALSE,"IngresosG_is";#N/A,#N/A,FALSE,"Ingresosp_is";#N/A,#N/A,FALSE,"Financiero_is";#N/A,#N/A,FALSE,"Estructura_is";#N/A,#N/A,FALSE,"EstructuraG_is";#N/A,#N/A,FALSE,"FComercio_is";#N/A,#N/A,FALSE,"Pbeneficios_is";#N/A,#N/A,FALSE,"Gerenciamiento_is";#N/A,#N/A,FALSE,"Desinv_is"}</definedName>
    <definedName name="wrn.CONSOLIDADO." hidden="1">{#N/A,#N/A,FALSE,"CONSOLIDADO"}</definedName>
    <definedName name="wrn.COST_SHEETS." hidden="1">{#N/A,#N/A,FALSE,"WBS 1.06";#N/A,#N/A,FALSE,"WBS 1.14";#N/A,#N/A,FALSE,"WBS 1.17";#N/A,#N/A,FALSE,"WBS 1.18"}</definedName>
    <definedName name="wrn.CUADROD._.TESA." hidden="1">{#N/A,#N/A,FALSE,"Participaciones";#N/A,#N/A,FALSE,"Gastos Distribuir";#N/A,#N/A,FALSE,"Fondo de Comercio";#N/A,#N/A,FALSE,"Cuentas deudoras y acreedoras";#N/A,#N/A,FALSE,"Prov. Riesgos y gastos";#N/A,#N/A,FALSE,"Préstamos Vencimientos";#N/A,#N/A,FALSE,"Préstamos formato TESA";#N/A,#N/A,FALSE,"Información Swap´s";#N/A,#N/A,FALSE,"Tipos de prestamos";#N/A,#N/A,FALSE,"Obligaciones Vencimientos";#N/A,#N/A,FALSE,"Obligaciones Movimiento";#N/A,#N/A,FALSE,"Coste Financiero Obligaciones";#N/A,#N/A,FALSE,"Coef. Amortizacion";#N/A,#N/A,FALSE,"Venta de Participaciones";#N/A,#N/A,FALSE,"Admones. Pcas.";#N/A,#N/A,FALSE,"Acreedores diversos";#N/A,#N/A,FALSE,"Ingresos y Gastos emp. grupo";#N/A,#N/A,FALSE,"Invovilizado Amortizado";#N/A,#N/A,FALSE,"Ingresos y gastos extraord.";#N/A,#N/A,FALSE,"Personal Categorías y Lineas";#N/A,#N/A,FALSE,"Cotizaciones";#N/A,#N/A,FALSE,"Desglose Inst. Telefónicas";#N/A,#N/A,FALSE,"Inmovilizado Inmaterial";#N/A,#N/A,FALSE,"Inmovilizado Material";#N/A,#N/A,FALSE,"Impuestos antic. y diferidos";#N/A,#N/A,FALSE,"Diferencias de cambio"}</definedName>
    <definedName name="wrn.DetallexDEP." hidden="1">{"DetallexDep",#N/A,FALSE,"Giovanna (x DEPT)"}</definedName>
    <definedName name="wrn.ESTADOS._.FINANCIEROS." hidden="1">{"Cuenta 21 (página 1)",#N/A,FALSE,"21 (1)"}</definedName>
    <definedName name="wrn.gastos." hidden="1">{#N/A,#N/A,FALSE,"PERSONAL";#N/A,#N/A,FALSE,"explotación";#N/A,#N/A,FALSE,"generales"}</definedName>
    <definedName name="wrn.imp_flx." hidden="1">{#N/A,#N/A,FALSE,"CONSOLID";#N/A,#N/A,FALSE,"CIMENTO";#N/A,#N/A,FALSE,"METALURGIA";#N/A,#N/A,FALSE,"PAPEL";#N/A,#N/A,FALSE,"QUÍMICA";#N/A,#N/A,FALSE,"AGROINDL";#N/A,#N/A,FALSE,"OUTROS";#N/A,#N/A,FALSE,"REAL_ORCADO"}</definedName>
    <definedName name="wrn.INFORME._.0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wrn.Informe._.mensual." hidden="1">{#N/A,#N/A,FALSE,"Carátula Rtados. Gestión (2)";#N/A,#N/A,FALSE,"Carátula EE.FF.  (1)";#N/A,#N/A,FALSE,"Gestión Marzo'98 Abv (3)";#N/A,#N/A,FALSE,"Rtdos. Cías. 97 - 98 (4)";#N/A,#N/A,FALSE,"Resultados Gestión Marzo'98 (5)";#N/A,#N/A,FALSE,"Carátula Rtados. Margenes (6)";#N/A,#N/A,FALSE,"Márgenes Marzo'98 Abv. (7)";#N/A,#N/A,FALSE,"Carátula Balance  (8)";#N/A,#N/A,FALSE,"B. P. Equivalencia Marzo'98 (9)";#N/A,#N/A,FALSE,"Carátula Balance  (10)";#N/A,#N/A,FALSE,"B. Consolidado Marzo'98 (11)";#N/A,#N/A,FALSE,"Márgenes Marzo'98 (12)"}</definedName>
    <definedName name="wrn.INFORME._.NOVIEMBRE."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FORME._.PPTO97." hidden="1">{#N/A,#N/A,FALSE,"P_97Ppto";#N/A,#N/A,FALSE,"Resultados_97Ppto";#N/A,#N/A,FALSE,"CTC_97Ppt";#N/A,#N/A,FALSE,"TASA_97Ppt";#N/A,#N/A,FALSE,"PERU_97Ppt";#N/A,#N/A,FALSE,"CANTV_97Ppt";#N/A,#N/A,FALSE,"TLD_97Ppt";#N/A,#N/A,FALSE,"ROMANIA_97Ppt";#N/A,#N/A,FALSE,"RParticipadas_97Ppt";#N/A,#N/A,FALSE,"Gerenciamiento_97Ppt";#N/A,#N/A,FALSE,"Financiero_97Ppt";#N/A,#N/A,FALSE,"Estructura_97Ppt";#N/A,#N/A,FALSE,"INetos_97Ppt";#N/A,#N/A,FALSE,"Desinv_97Ppt";#N/A,#N/A,FALSE,"FComercio_97Ppt"}</definedName>
    <definedName name="wrn.INFORME._.SEPA_P." hidden="1">{#N/A,#N/A,FALSE,"PR_09_P";#N/A,#N/A,FALSE,"P_09_P3";#N/A,#N/A,FALSE,"PR_09_P1";#N/A,#N/A,FALSE,"Res_márgenes_09_P";#N/A,#N/A,FALSE,"PR_09";#N/A,#N/A,FALSE,"Resultados_09_P";#N/A,#N/A,FALSE,"Pbeneficios_09_P";#N/A,#N/A,FALSE,"CTC_09_P";#N/A,#N/A,FALSE,"TASA_09_P";#N/A,#N/A,FALSE,"TPerú_09_P";#N/A,#N/A,FALSE,"CANTV_09_P";#N/A,#N/A,FALSE,"TLD_09_P";#N/A,#N/A,FALSE,"RUMANIA_09_P";#N/A,#N/A,FALSE,"Gerenciamiento_09_P";#N/A,#N/A,FALSE,"Financiero_09_P";#N/A,#N/A,FALSE,"Estructura_09_P";#N/A,#N/A,FALSE,"Desinv_09_P";#N/A,#N/A,FALSE,"FComercio_09_P"}</definedName>
    <definedName name="wrn.ingresos" hidden="1">{#N/A,#N/A,FALSE,"voz corporativa";#N/A,#N/A,FALSE,"Transmisión de datos";#N/A,#N/A,FALSE,"Videoconferencia";#N/A,#N/A,FALSE,"Correo electrónico";#N/A,#N/A,FALSE,"Correo de voz";#N/A,#N/A,FALSE,"Megafax";#N/A,#N/A,FALSE,"Edi";#N/A,#N/A,FALSE,"Internet";#N/A,#N/A,FALSE,"VSAT";#N/A,#N/A,FALSE,"ing ult. milla"}</definedName>
    <definedName name="wrn.ingresos." hidden="1">{#N/A,#N/A,FALSE,"voz corporativa";#N/A,#N/A,FALSE,"Transmisión de datos";#N/A,#N/A,FALSE,"Videoconferencia";#N/A,#N/A,FALSE,"Correo electrónico";#N/A,#N/A,FALSE,"Correo de voz";#N/A,#N/A,FALSE,"Megafax";#N/A,#N/A,FALSE,"Edi";#N/A,#N/A,FALSE,"Internet";#N/A,#N/A,FALSE,"VSAT";#N/A,#N/A,FALSE,"ing ult. milla"}</definedName>
    <definedName name="wrn.Memoria97."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TESA."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MENSUAL." hidden="1">{#N/A,#N/A,FALSE,"Carátula EE.FF.  (1)";#N/A,#N/A,FALSE,"Carátula Rtados. Gestión (2)";#N/A,#N/A,FALSE,"Resultados Gestión Junio'98 (3)";#N/A,#N/A,FALSE,"Carátula Rtados. Margenes (4)";#N/A,#N/A,FALSE,"Márgenes Junio'98 Abv.TASA (5)";#N/A,#N/A,FALSE,"Márgenes Junio'98 TASA (6)";#N/A,#N/A,FALSE,"Carátula Balance  (7)";#N/A,#N/A,FALSE,"B. P. Equivalencia Junio'98 (8)";#N/A,#N/A,FALSE,"Carátula Balance  (9)";#N/A,#N/A,FALSE,"B.Consolidado Junio'98 TASA(10)"}</definedName>
    <definedName name="wrn.MI._.BANCO." hidden="1">{#N/A,#N/A,FALSE,"1";#N/A,#N/A,FALSE,"1a 1b";#N/A,#N/A,FALSE,"2";#N/A,#N/A,FALSE,"3";#N/A,#N/A,FALSE,"4";#N/A,#N/A,FALSE,"5";#N/A,#N/A,FALSE,"5a 5b"}</definedName>
    <definedName name="wrn.Print._.All." hidden="1">{#N/A,#N/A,FALSE,"MAY96 2260";#N/A,#N/A,FALSE,"system reclass";#N/A,#N/A,FALSE,"Items with no project number"}</definedName>
    <definedName name="wrn.Print_all_sections." hidden="1">{#N/A,#N/A,TRUE,"Title";#N/A,#N/A,TRUE,"CC-Summary";#N/A,#N/A,TRUE,"CapitalCost";#N/A,#N/A,TRUE,"Revenue and cost analysis";#N/A,#N/A,TRUE,"DCF";#N/A,#N/A,TRUE,"DCF-APV";#N/A,#N/A,TRUE,"DCF-WACC"}</definedName>
    <definedName name="wrn.Print_all_sheets." hidden="1">{#N/A,#N/A,TRUE,"Traffic";#N/A,#N/A,TRUE,"Capex";#N/A,#N/A,TRUE,"P_and_L"}</definedName>
    <definedName name="wrn.Print_full." hidden="1">{#N/A,#N/A,TRUE,"Isa Cu";#N/A,#N/A,TRUE,"Isa Pb-Zn";#N/A,#N/A,TRUE,"Isa Major";#N/A,#N/A,TRUE,"Isa Other";#N/A,#N/A,TRUE,"EHM";#N/A,#N/A,TRUE,"MRM";#N/A,#N/A,TRUE,"OCB";#N/A,#N/A,TRUE,"NCP";#N/A,#N/A,TRUE,"CCP";#N/A,#N/A,TRUE,"CRL";#N/A,#N/A,TRUE,"MSS";#N/A,#N/A,TRUE,"Gold";#N/A,#N/A,TRUE,"Exploration";#N/A,#N/A,TRUE,"S.America";#N/A,#N/A,TRUE,"BRM";#N/A,#N/A,TRUE,"BZL";#N/A,#N/A,TRUE,"MHD";#N/A,#N/A,TRUE,"HQ"}</definedName>
    <definedName name="wrn.PrintallD." hidden="1">{#N/A,#N/A,FALSE,"SumD";#N/A,#N/A,FALSE,"ElecD";#N/A,#N/A,FALSE,"MechD";#N/A,#N/A,FALSE,"GeotD";#N/A,#N/A,FALSE,"PrcsD";#N/A,#N/A,FALSE,"TunnD";#N/A,#N/A,FALSE,"CivlD";#N/A,#N/A,FALSE,"NtwkD";#N/A,#N/A,FALSE,"EstgD";#N/A,#N/A,FALSE,"PEngD"}</definedName>
    <definedName name="wrn.PrintallG." hidden="1">{#N/A,#N/A,FALSE,"SumG";#N/A,#N/A,FALSE,"ElecG";#N/A,#N/A,FALSE,"MechG";#N/A,#N/A,FALSE,"GeotG";#N/A,#N/A,FALSE,"PrcsG";#N/A,#N/A,FALSE,"TunnG";#N/A,#N/A,FALSE,"CivlG";#N/A,#N/A,FALSE,"NtwkG";#N/A,#N/A,FALSE,"EstgG";#N/A,#N/A,FALSE,"PEngG"}</definedName>
    <definedName name="wrn.ROADSHOW." hidden="1">{#N/A,#N/A,FALSE,"Rdos_96_97  Abv.";#N/A,#N/A,FALSE,"Rdos_96_97";#N/A,#N/A,FALSE,"Gestión Julio 97 Abv.";#N/A,#N/A,FALSE,"Gestión Julio 97 Abv.";#N/A,#N/A,FALSE,"Margenes Julio97  Abv sin prov.";#N/A,#N/A,FALSE,"Margenes Julio 97 Abv.";#N/A,#N/A,FALSE,"Carat Balance (2)";#N/A,#N/A,FALSE,"Bal Consol Julio  97";#N/A,#N/A,FALSE,"Carat EE.FF";#N/A,#N/A,FALSE,"Carat Balance";#N/A,#N/A,FALSE,"Carat Cascada";#N/A,#N/A,FALSE,"Carat Margenes";#N/A,#N/A,FALSE,"Balance Julio  97";#N/A,#N/A,FALSE,"Margenes Julio 97";#N/A,#N/A,FALSE,"Resultados Julio 97 (2)"}</definedName>
    <definedName name="wrn.sdofinanceiro." hidden="1">{#N/A,#N/A,FALSE,"CONSOLIDADO";#N/A,#N/A,FALSE,"CIMENTO";#N/A,#N/A,FALSE,"METALURGIA";#N/A,#N/A,FALSE,"PAPEL";#N/A,#N/A,FALSE,"QUIMICA";#N/A,#N/A,FALSE,"AGROINDÚSTRIA";#N/A,#N/A,FALSE,"VINTERNACIONAL"}</definedName>
    <definedName name="wrn.TELEFONICA." hidden="1">{#N/A,#N/A,FALSE,"Balances";#N/A,#N/A,FALSE,"ANEX-1";#N/A,#N/A,FALSE,"ANEX.2";#N/A,#N/A,FALSE,"ANEX-3";#N/A,#N/A,FALSE,"ANEX.4";#N/A,#N/A,FALSE,"ANEX-5";#N/A,#N/A,FALSE,"ANEX-7 (último)";#N/A,#N/A,FALSE,"ANEX-6"}</definedName>
    <definedName name="wrn.Telefonica1." hidden="1">{#N/A,#N/A,FALSE,"Balances";#N/A,#N/A,FALSE,"ANEX-3";#N/A,#N/A,FALSE,"ANEX-7 (último)";#N/A,#N/A,FALSE,"CTC-96";#N/A,#N/A,FALSE,"PERU-96";#N/A,#N/A,FALSE,"TLD-96";#N/A,#N/A,FALSE,"TISA-96";#N/A,#N/A,FALSE,"Inversiones 1996";#N/A,#N/A,FALSE,"ANEX.2";#N/A,#N/A,FALSE,"ANEX-5"}</definedName>
    <definedName name="wrn.TESA." hidden="1">{#N/A,#N/A,FALSE,"Diferencias de cambio";#N/A,#N/A,FALSE,"Personal Categorías y Lineas";#N/A,#N/A,FALSE,"Impuestos antic. y diferidos";#N/A,#N/A,FALSE,"Inmovilizado Material";#N/A,#N/A,FALSE,"Inmovilizado Inmaterial";#N/A,#N/A,FALSE,"Desglose Inst. Telefónicas";#N/A,#N/A,FALSE,"Cotizaciones";#N/A,#N/A,FALSE,"Ingresos y Gastos emp. grupo";#N/A,#N/A,FALSE,"Acreedores diversos";#N/A,#N/A,FALSE,"Admones. Pcas.";#N/A,#N/A,FALSE,"Venta de Participaciones";#N/A,#N/A,FALSE,"Coef. Amortizacion";#N/A,#N/A,FALSE,"Ingresos distribuir";#N/A,#N/A,FALSE,"Clientes";#N/A,#N/A,FALSE,"Socios Externos Movimiento";#N/A,#N/A,FALSE,"Coste Financiero Obligaciones";#N/A,#N/A,FALSE,"Obligaciones Movimiento";#N/A,#N/A,FALSE,"Obligaciones Vencimientos";#N/A,#N/A,FALSE,"Tipos de prestamos";#N/A,#N/A,FALSE,"Información Swap´s";#N/A,#N/A,FALSE,"Préstamos formato TESA";#N/A,#N/A,FALSE,"Préstamos Vencimientos";#N/A,#N/A,FALSE,"Prov. Riesgos y gastos";#N/A,#N/A,FALSE,"Cuentas deudoras y acreedoras";#N/A,#N/A,FALSE,"Fondo de Comercio";#N/A,#N/A,FALSE,"Gastos Distribuir";#N/A,#N/A,FALSE,"Participaciones";#N/A,#N/A,FALSE,"Ingresos y gastos extraord.";#N/A,#N/A,FALSE,"Invovilizado Amortizado";#N/A,#N/A,FALSE,"Fondos Própios";#N/A,#N/A,FALSE,"Movimiento de Reservas";#N/A,#N/A,FALSE,"Diferencias de cambio";#N/A,#N/A,FALSE,"Socios Externos"}</definedName>
    <definedName name="wrn.todo." hidden="1">{#N/A,#N/A,FALSE,"Hip.Bas";#N/A,#N/A,FALSE,"ventas";#N/A,#N/A,FALSE,"ingre-Año";#N/A,#N/A,FALSE,"ventas-Año";#N/A,#N/A,FALSE,"Costepro";#N/A,#N/A,FALSE,"inversion";#N/A,#N/A,FALSE,"personal";#N/A,#N/A,FALSE,"Gastos-V";#N/A,#N/A,FALSE,"Circulante";#N/A,#N/A,FALSE,"CONSOLI";#N/A,#N/A,FALSE,"Es-Fin";#N/A,#N/A,FALSE,"Margen-P"}</definedName>
    <definedName name="wrn.TOTAL." hidden="1">{#N/A,#N/A,FALSE,"INVERSIONES Y AMORTIZ";#N/A,#N/A,FALSE,"BALANCE";#N/A,#N/A,FALSE,"CUENTA DE PYG";#N/A,#N/A,FALSE,"CUENTA DE PYG (2)";#N/A,#N/A,FALSE,"RATIOS";#N/A,#N/A,FALSE,"G. PERSONAL";#N/A,#N/A,FALSE,"G. SOCIALES";#N/A,#N/A,FALSE,"G. GENERALES";#N/A,#N/A,FALSE,"LINEAS DE PRODUCTOS"}</definedName>
    <definedName name="wrn.TUDO." hidden="1">{#N/A,#N/A,FALSE,"CONSMET";#N/A,#N/A,FALSE,"CBA";#N/A,#N/A,FALSE,"CMM";#N/A,#N/A,FALSE,"NIQUELTO";#N/A,#N/A,FALSE,"SBMANSA";#N/A,#N/A,FALSE,"ATLAS";#N/A,#N/A,FALSE,"STACRUZ";#N/A,#N/A,FALSE,"PIRAT"}</definedName>
    <definedName name="wrt"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th" hidden="1">{#N/A,#N/A,FALSE,"PERSONAL";#N/A,#N/A,FALSE,"explotación";#N/A,#N/A,FALSE,"generales"}</definedName>
    <definedName name="wsd"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THWERH"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wtrutrewywreywer" hidden="1">{#N/A,#N/A,FALSE,"PERSONAL";#N/A,#N/A,FALSE,"explotación";#N/A,#N/A,FALSE,"generales"}</definedName>
    <definedName name="ww"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ww"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wwwe"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WWW"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x"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xc" hidden="1">{#N/A,#N/A,FALSE,"SumD";#N/A,#N/A,FALSE,"ElecD";#N/A,#N/A,FALSE,"MechD";#N/A,#N/A,FALSE,"GeotD";#N/A,#N/A,FALSE,"PrcsD";#N/A,#N/A,FALSE,"TunnD";#N/A,#N/A,FALSE,"CivlD";#N/A,#N/A,FALSE,"NtwkD";#N/A,#N/A,FALSE,"EstgD";#N/A,#N/A,FALSE,"PEngD"}</definedName>
    <definedName name="XREF_COLUMN_1" hidden="1">'[2]Revisión IR {3-3}'!$G$1:$G$65536</definedName>
    <definedName name="XRefActiveRow" hidden="1">#REF!</definedName>
    <definedName name="XRefColumnsCount" hidden="1">5</definedName>
    <definedName name="XRefCopy1Row" hidden="1">#REF!</definedName>
    <definedName name="XRefCopy2Row" hidden="1">#REF!</definedName>
    <definedName name="XRefCopy3Row" hidden="1">#REF!</definedName>
    <definedName name="XRefCopy4Row" hidden="1">#REF!</definedName>
    <definedName name="XRefCopyRangeCount" hidden="1">4</definedName>
    <definedName name="XRefPaste10Row" hidden="1">#REF!</definedName>
    <definedName name="XRefPaste13Row" hidden="1">#REF!</definedName>
    <definedName name="XRefPaste14Row" hidden="1">#REF!</definedName>
    <definedName name="XRefPaste1Row" hidden="1">#REF!</definedName>
    <definedName name="XRefPaste2Row" hidden="1">#REF!</definedName>
    <definedName name="XRefPaste3Row" hidden="1">#REF!</definedName>
    <definedName name="XRefPaste4Row" hidden="1">#REF!</definedName>
    <definedName name="XRefPaste5Row" hidden="1">#REF!</definedName>
    <definedName name="XRefPaste6Row" hidden="1">#REF!</definedName>
    <definedName name="XRefPaste7Row" hidden="1">#REF!</definedName>
    <definedName name="XRefPaste8Row" hidden="1">#REF!</definedName>
    <definedName name="XRefPaste9Row" hidden="1">#REF!</definedName>
    <definedName name="XRefPasteRangeCount" hidden="1">14</definedName>
    <definedName name="xx" hidden="1">{#N/A,#N/A,FALSE,"SumD";#N/A,#N/A,FALSE,"ElecD";#N/A,#N/A,FALSE,"MechD";#N/A,#N/A,FALSE,"GeotD";#N/A,#N/A,FALSE,"PrcsD";#N/A,#N/A,FALSE,"TunnD";#N/A,#N/A,FALSE,"CivlD";#N/A,#N/A,FALSE,"NtwkD";#N/A,#N/A,FALSE,"EstgD";#N/A,#N/A,FALSE,"PEngD"}</definedName>
    <definedName name="xxx" hidden="1">{#N/A,#N/A,FALSE,"Hip.Bas";#N/A,#N/A,FALSE,"ventas";#N/A,#N/A,FALSE,"ingre-Año";#N/A,#N/A,FALSE,"ventas-Año";#N/A,#N/A,FALSE,"Costepro";#N/A,#N/A,FALSE,"inversion";#N/A,#N/A,FALSE,"personal";#N/A,#N/A,FALSE,"Gastos-V";#N/A,#N/A,FALSE,"Circulante";#N/A,#N/A,FALSE,"CONSOLI";#N/A,#N/A,FALSE,"Es-Fin";#N/A,#N/A,FALSE,"Margen-P"}</definedName>
    <definedName name="xxxnom"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xxxnom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xxxx"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xxxxx"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xxxxxx" hidden="1">{#N/A,#N/A,FALSE,"Hip.Bas";#N/A,#N/A,FALSE,"ventas";#N/A,#N/A,FALSE,"ingre-Año";#N/A,#N/A,FALSE,"ventas-Año";#N/A,#N/A,FALSE,"Costepro";#N/A,#N/A,FALSE,"inversion";#N/A,#N/A,FALSE,"personal";#N/A,#N/A,FALSE,"Gastos-V";#N/A,#N/A,FALSE,"Circulante";#N/A,#N/A,FALSE,"CONSOLI";#N/A,#N/A,FALSE,"Es-Fin";#N/A,#N/A,FALSE,"Margen-P"}</definedName>
    <definedName name="yrtere"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ytruer"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ytruytur" hidden="1">{#N/A,#N/A,FALSE,"voz corporativa";#N/A,#N/A,FALSE,"Transmisión de datos";#N/A,#N/A,FALSE,"Videoconferencia";#N/A,#N/A,FALSE,"Correo electrónico";#N/A,#N/A,FALSE,"Correo de voz";#N/A,#N/A,FALSE,"Megafax";#N/A,#N/A,FALSE,"Edi";#N/A,#N/A,FALSE,"Internet";#N/A,#N/A,FALSE,"VSAT";#N/A,#N/A,FALSE,"ing ult. milla"}</definedName>
    <definedName name="ytutrytryui" hidden="1">{#N/A,#N/A,FALSE,"voz corporativa";#N/A,#N/A,FALSE,"Transmisión de datos";#N/A,#N/A,FALSE,"Videoconferencia";#N/A,#N/A,FALSE,"Correo electrónico";#N/A,#N/A,FALSE,"Correo de voz";#N/A,#N/A,FALSE,"Megafax";#N/A,#N/A,FALSE,"Edi";#N/A,#N/A,FALSE,"Internet";#N/A,#N/A,FALSE,"VSAT";#N/A,#N/A,FALSE,"ing ult. milla"}</definedName>
    <definedName name="YU" hidden="1">{#N/A,#N/A,FALSE,"SumG";#N/A,#N/A,FALSE,"ElecG";#N/A,#N/A,FALSE,"MechG";#N/A,#N/A,FALSE,"GeotG";#N/A,#N/A,FALSE,"PrcsG";#N/A,#N/A,FALSE,"TunnG";#N/A,#N/A,FALSE,"CivlG";#N/A,#N/A,FALSE,"NtwkG";#N/A,#N/A,FALSE,"EstgG";#N/A,#N/A,FALSE,"PEngG"}</definedName>
    <definedName name="yy" hidden="1">{#N/A,#N/A,FALSE,"SumD";#N/A,#N/A,FALSE,"ElecD";#N/A,#N/A,FALSE,"MechD";#N/A,#N/A,FALSE,"GeotD";#N/A,#N/A,FALSE,"PrcsD";#N/A,#N/A,FALSE,"TunnD";#N/A,#N/A,FALSE,"CivlD";#N/A,#N/A,FALSE,"NtwkD";#N/A,#N/A,FALSE,"EstgD";#N/A,#N/A,FALSE,"PEngD"}</definedName>
    <definedName name="yyy"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z"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Z_3BE2DB87_D51A_11D5_A33F_0020AFF6F33B_.wvu.PrintArea" hidden="1">#REF!</definedName>
    <definedName name="Z_83735BA2_3A7D_11D6_9B9F_00D0B77E00E4_.wvu.PrintArea" hidden="1">#REF!</definedName>
    <definedName name="Z_D5C988D1_D523_11D5_9BAD_00D0B77E00A4_.wvu.PrintArea" hidden="1">#REF!</definedName>
    <definedName name="Z_F48C08DA_FABB_4B05_B76D_35A2AC7CD959_.wvu.Cols" hidden="1">#REF!</definedName>
    <definedName name="Z_F7159613_4C53_44D3_95EA_7831A99AAB36_.wvu.Cols" hidden="1">#REF!</definedName>
    <definedName name="Z_F7159613_4C53_44D3_95EA_7831A99AAB36_.wvu.PrintArea" hidden="1">#REF!</definedName>
    <definedName name="z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za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zc"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zse" hidden="1">{#N/A,#N/A,FALSE,"SumG";#N/A,#N/A,FALSE,"ElecG";#N/A,#N/A,FALSE,"MechG";#N/A,#N/A,FALSE,"GeotG";#N/A,#N/A,FALSE,"PrcsG";#N/A,#N/A,FALSE,"TunnG";#N/A,#N/A,FALSE,"CivlG";#N/A,#N/A,FALSE,"NtwkG";#N/A,#N/A,FALSE,"EstgG";#N/A,#N/A,FALSE,"PEngG"}</definedName>
    <definedName name="zx"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ZXC" hidden="1">#REF!</definedName>
    <definedName name="ZXFG" hidden="1">{#N/A,#N/A,FALSE,"SumD";#N/A,#N/A,FALSE,"ElecD";#N/A,#N/A,FALSE,"MechD";#N/A,#N/A,FALSE,"GeotD";#N/A,#N/A,FALSE,"PrcsD";#N/A,#N/A,FALSE,"TunnD";#N/A,#N/A,FALSE,"CivlD";#N/A,#N/A,FALSE,"NtwkD";#N/A,#N/A,FALSE,"EstgD";#N/A,#N/A,FALSE,"PEngD"}</definedName>
    <definedName name="zxvcxzvc" hidden="1">{#N/A,#N/A,FALSE,"PERSONAL";#N/A,#N/A,FALSE,"explotación";#N/A,#N/A,FALSE,"generales"}</definedName>
    <definedName name="zz"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zzz"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zzzz" hidden="1">{#N/A,#N/A,FALSE,"voz corporativa";#N/A,#N/A,FALSE,"Transmisión de datos";#N/A,#N/A,FALSE,"Videoconferencia";#N/A,#N/A,FALSE,"Correo electrónico";#N/A,#N/A,FALSE,"Correo de voz";#N/A,#N/A,FALSE,"Megafax";#N/A,#N/A,FALSE,"Edi";#N/A,#N/A,FALSE,"Internet";#N/A,#N/A,FALSE,"VSAT";#N/A,#N/A,FALSE,"ing ult. milla"}</definedName>
    <definedName name="zzzzzz" hidden="1">{#N/A,#N/A,FALSE,"SumD";#N/A,#N/A,FALSE,"ElecD";#N/A,#N/A,FALSE,"MechD";#N/A,#N/A,FALSE,"GeotD";#N/A,#N/A,FALSE,"PrcsD";#N/A,#N/A,FALSE,"TunnD";#N/A,#N/A,FALSE,"CivlD";#N/A,#N/A,FALSE,"NtwkD";#N/A,#N/A,FALSE,"EstgD";#N/A,#N/A,FALSE,"PEngD"}</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782" i="4" l="1"/>
  <c r="Q783" i="4"/>
  <c r="Q784" i="4"/>
  <c r="Q785" i="4"/>
  <c r="Q786" i="4"/>
  <c r="Q787" i="4"/>
  <c r="Q781" i="4"/>
  <c r="P789" i="4"/>
  <c r="Q788" i="4"/>
  <c r="P785" i="4"/>
  <c r="P787" i="4"/>
  <c r="P786" i="4"/>
  <c r="P781" i="4"/>
  <c r="P788" i="4" s="1"/>
  <c r="O31" i="6"/>
  <c r="O24" i="6"/>
  <c r="O788" i="4"/>
  <c r="O778" i="4"/>
  <c r="O1270" i="3"/>
  <c r="O1167" i="3"/>
  <c r="F11" i="1" s="1"/>
  <c r="O1147" i="3"/>
  <c r="F10" i="1" s="1"/>
  <c r="O1075" i="3"/>
  <c r="F9" i="1" s="1"/>
  <c r="O995" i="3"/>
  <c r="F6" i="1" s="1"/>
  <c r="O990" i="3"/>
  <c r="F5" i="1" s="1"/>
  <c r="O1211" i="3"/>
  <c r="O1268" i="3"/>
  <c r="O968" i="3"/>
  <c r="E11" i="1" s="1"/>
  <c r="O958" i="3"/>
  <c r="E10" i="1" s="1"/>
  <c r="O841" i="3"/>
  <c r="E9" i="1" s="1"/>
  <c r="O822" i="3"/>
  <c r="E6" i="1" s="1"/>
  <c r="O814" i="3"/>
  <c r="O803" i="3"/>
  <c r="D11" i="1" s="1"/>
  <c r="O793" i="3"/>
  <c r="D10" i="1" s="1"/>
  <c r="O695" i="3"/>
  <c r="D9" i="1" s="1"/>
  <c r="O679" i="3"/>
  <c r="D6" i="1" s="1"/>
  <c r="O676" i="3"/>
  <c r="D5" i="1" s="1"/>
  <c r="O662" i="3"/>
  <c r="C11" i="1" s="1"/>
  <c r="O631" i="3"/>
  <c r="O139" i="3"/>
  <c r="C9" i="1" s="1"/>
  <c r="O96" i="3"/>
  <c r="C6" i="1" s="1"/>
  <c r="O86" i="3"/>
  <c r="O5" i="3"/>
  <c r="C3" i="1" s="1"/>
  <c r="G3" i="1" s="1"/>
  <c r="M141" i="2"/>
  <c r="L60" i="2"/>
  <c r="D10" i="2"/>
  <c r="E12" i="2" s="1"/>
  <c r="C10" i="1" l="1"/>
  <c r="O1272" i="3"/>
  <c r="D12" i="2"/>
  <c r="G10" i="1"/>
  <c r="G6" i="1"/>
  <c r="G9" i="1"/>
  <c r="F7" i="1"/>
  <c r="G11" i="1"/>
  <c r="O1169" i="3"/>
  <c r="F12" i="1"/>
  <c r="O969" i="3"/>
  <c r="O663" i="3"/>
  <c r="O804" i="3"/>
  <c r="E5" i="1"/>
  <c r="E7" i="1" s="1"/>
  <c r="C5" i="1"/>
  <c r="G5" i="1" s="1"/>
  <c r="E12" i="1"/>
  <c r="D12" i="1"/>
  <c r="C12" i="1"/>
  <c r="D7" i="1"/>
  <c r="G7" i="1" l="1"/>
  <c r="C7" i="1"/>
  <c r="C13" i="1" s="1"/>
  <c r="D3" i="1" s="1"/>
  <c r="D13" i="1" s="1"/>
  <c r="E3" i="1" s="1"/>
  <c r="E13" i="1" s="1"/>
  <c r="F3" i="1" s="1"/>
  <c r="F13" i="1" s="1"/>
  <c r="G12" i="1"/>
  <c r="G13"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A1" authorId="0" shapeId="0" xr:uid="{1F59047C-C947-49FA-9D9F-63B2C54E817F}">
      <text>
        <r>
          <rPr>
            <b/>
            <sz val="9"/>
            <color indexed="81"/>
            <rFont val="Tahoma"/>
            <family val="2"/>
          </rPr>
          <t>Enero - Marzo</t>
        </r>
        <r>
          <rPr>
            <sz val="9"/>
            <color indexed="81"/>
            <rFont val="Tahoma"/>
            <family val="2"/>
          </rPr>
          <t xml:space="preserve">
</t>
        </r>
      </text>
    </comment>
    <comment ref="A665" authorId="0" shapeId="0" xr:uid="{B86A9312-C415-4BD4-889E-482BFA21E3E0}">
      <text>
        <r>
          <rPr>
            <b/>
            <sz val="9"/>
            <color indexed="81"/>
            <rFont val="Tahoma"/>
            <family val="2"/>
          </rPr>
          <t>Abril</t>
        </r>
      </text>
    </comment>
    <comment ref="A806" authorId="0" shapeId="0" xr:uid="{4000557A-1D83-4209-A4E9-5AB303516E6D}">
      <text>
        <r>
          <rPr>
            <b/>
            <sz val="9"/>
            <color indexed="81"/>
            <rFont val="Tahoma"/>
            <family val="2"/>
          </rPr>
          <t>Mayo</t>
        </r>
        <r>
          <rPr>
            <sz val="9"/>
            <color indexed="81"/>
            <rFont val="Tahoma"/>
            <family val="2"/>
          </rPr>
          <t xml:space="preserve">
</t>
        </r>
      </text>
    </comment>
    <comment ref="A972" authorId="0" shapeId="0" xr:uid="{1F02C5FF-45B4-44D4-917D-771286ECFB30}">
      <text>
        <r>
          <rPr>
            <b/>
            <sz val="9"/>
            <color indexed="81"/>
            <rFont val="Tahoma"/>
            <family val="2"/>
          </rPr>
          <t>Junio</t>
        </r>
        <r>
          <rPr>
            <sz val="9"/>
            <color indexed="81"/>
            <rFont val="Tahoma"/>
            <family val="2"/>
          </rPr>
          <t xml:space="preserve">
</t>
        </r>
      </text>
    </comment>
    <comment ref="N993" authorId="0" shapeId="0" xr:uid="{07DF310E-DB1D-4040-9586-FFEC6084CE20}">
      <text>
        <r>
          <rPr>
            <b/>
            <sz val="9"/>
            <color indexed="81"/>
            <rFont val="Tahoma"/>
            <family val="2"/>
          </rPr>
          <t>Neteando TR 107 con DP 035 , es la devolución de PR de CMO a IC - cta adm</t>
        </r>
      </text>
    </comment>
    <comment ref="A1172" authorId="0" shapeId="0" xr:uid="{3ABC89E1-DC45-4CE6-BC8F-92C91D63091B}">
      <text>
        <r>
          <rPr>
            <b/>
            <sz val="9"/>
            <color indexed="81"/>
            <rFont val="Tahoma"/>
            <family val="2"/>
          </rPr>
          <t xml:space="preserve">Transferencias entre cuentas
</t>
        </r>
      </text>
    </comment>
    <comment ref="A1213" authorId="0" shapeId="0" xr:uid="{14DE884F-10D3-4B19-8742-8100FE2FA7EA}">
      <text>
        <r>
          <rPr>
            <b/>
            <sz val="9"/>
            <color indexed="81"/>
            <rFont val="Tahoma"/>
            <family val="2"/>
          </rPr>
          <t>Caja Chica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A1" authorId="0" shapeId="0" xr:uid="{02769A1C-A146-4BE8-B2ED-F701CAB94139}">
      <text>
        <r>
          <rPr>
            <b/>
            <sz val="9"/>
            <color indexed="81"/>
            <rFont val="Tahoma"/>
            <family val="2"/>
          </rPr>
          <t>Enero - Marzo</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A1" authorId="0" shapeId="0" xr:uid="{D8134B01-50EC-424E-BCAC-E3317285AA59}">
      <text>
        <r>
          <rPr>
            <b/>
            <sz val="9"/>
            <color indexed="81"/>
            <rFont val="Tahoma"/>
            <family val="2"/>
          </rPr>
          <t>Enero - Marzo</t>
        </r>
        <r>
          <rPr>
            <sz val="9"/>
            <color indexed="81"/>
            <rFont val="Tahoma"/>
            <family val="2"/>
          </rPr>
          <t xml:space="preserve">
</t>
        </r>
      </text>
    </comment>
    <comment ref="N22" authorId="0" shapeId="0" xr:uid="{E2932A57-B1C3-46D6-939E-A96FA303353A}">
      <text>
        <r>
          <rPr>
            <b/>
            <sz val="9"/>
            <color indexed="81"/>
            <rFont val="Tahoma"/>
            <family val="2"/>
          </rPr>
          <t>Neteando TR 107 con DP 035 , es la devolución de PR de CMO a IC - cta adm</t>
        </r>
      </text>
    </comment>
  </commentList>
</comments>
</file>

<file path=xl/sharedStrings.xml><?xml version="1.0" encoding="utf-8"?>
<sst xmlns="http://schemas.openxmlformats.org/spreadsheetml/2006/main" count="32506" uniqueCount="3397">
  <si>
    <t>Q1 (ENE-MAR)</t>
  </si>
  <si>
    <t>ABR</t>
  </si>
  <si>
    <t>MAY</t>
  </si>
  <si>
    <t>SALDO INICIAL DEL PERIODO</t>
  </si>
  <si>
    <t>ENTRADAS DE CAJA</t>
  </si>
  <si>
    <t>COBROS A CLIENTES / FACTURAS</t>
  </si>
  <si>
    <t>ANTICIPOS Y OTROS INGRESOS</t>
  </si>
  <si>
    <t>TOTAL ENTRADAS</t>
  </si>
  <si>
    <t>SALIDAS DE CAJA</t>
  </si>
  <si>
    <t>REMUNERACIONES Y HONORARIOS (LOCADORES)</t>
  </si>
  <si>
    <t>PROVEEDORES, ARRIENDO, SERVICIOS Y OTROS</t>
  </si>
  <si>
    <t>SUNAT / IMPUESTOS</t>
  </si>
  <si>
    <t>TOTAL SALIDAS</t>
  </si>
  <si>
    <t>SALDO FINAL</t>
  </si>
  <si>
    <t>a</t>
  </si>
  <si>
    <t>b</t>
  </si>
  <si>
    <t>c</t>
  </si>
  <si>
    <t>d</t>
  </si>
  <si>
    <t>e</t>
  </si>
  <si>
    <t>a + b</t>
  </si>
  <si>
    <t>c + d + e</t>
  </si>
  <si>
    <t>x</t>
  </si>
  <si>
    <t>z</t>
  </si>
  <si>
    <t>INTEGRAL CONSULTORES</t>
  </si>
  <si>
    <t>Al 31 de Mayo de 2026</t>
  </si>
  <si>
    <t>CAJA Y BANCOS</t>
  </si>
  <si>
    <t>TC Compra</t>
  </si>
  <si>
    <t>DESCRIPCION</t>
  </si>
  <si>
    <t>US$</t>
  </si>
  <si>
    <t>S/</t>
  </si>
  <si>
    <t>Total 10100021 Caja Chica MN</t>
  </si>
  <si>
    <t xml:space="preserve">Total 10410013 BBVA CONTINENTAL MN </t>
  </si>
  <si>
    <t xml:space="preserve">Total 10410014 BBVA CONTINENTAL ME </t>
  </si>
  <si>
    <t>Total 10710021 BANCO NACIÓN - CTA DETRACCION</t>
  </si>
  <si>
    <t>SALDO  AL 30 DE SETIEMBRE</t>
  </si>
  <si>
    <t>no la tomamos para reporte</t>
  </si>
  <si>
    <t>Importe S10</t>
  </si>
  <si>
    <t>Item</t>
  </si>
  <si>
    <t>Cuenta Contable</t>
  </si>
  <si>
    <t>RUC Socio de Negocio</t>
  </si>
  <si>
    <t>Socio de Negocio</t>
  </si>
  <si>
    <t>Procedencia</t>
  </si>
  <si>
    <t>N° Asiento</t>
  </si>
  <si>
    <t>Libro</t>
  </si>
  <si>
    <t>Mes</t>
  </si>
  <si>
    <t>Periodo Contable</t>
  </si>
  <si>
    <t>Fecha de Transacción</t>
  </si>
  <si>
    <t>N° Documento</t>
  </si>
  <si>
    <t>N° Documento Pago</t>
  </si>
  <si>
    <t>MO</t>
  </si>
  <si>
    <t>Saldo Origen</t>
  </si>
  <si>
    <t>Saldo ( S/ )</t>
  </si>
  <si>
    <t>Observación Documento</t>
  </si>
  <si>
    <t>Observación</t>
  </si>
  <si>
    <t>Año</t>
  </si>
  <si>
    <t>F.Emisión</t>
  </si>
  <si>
    <t>o</t>
  </si>
  <si>
    <t xml:space="preserve">10410013 BBVA CONTINENTAL MN </t>
  </si>
  <si>
    <t>16. Asiento de Apertura</t>
  </si>
  <si>
    <t>0000000001</t>
  </si>
  <si>
    <t>Libro Diario</t>
  </si>
  <si>
    <t>202600 Apertura  2026</t>
  </si>
  <si>
    <t>01/01/2026</t>
  </si>
  <si>
    <t>Asiento de Apertura</t>
  </si>
  <si>
    <t>2026</t>
  </si>
  <si>
    <t xml:space="preserve">10710021 BANCO NACION - CTA DETRACCION </t>
  </si>
  <si>
    <t xml:space="preserve">10410014 BBVA CONTINENTAL ME </t>
  </si>
  <si>
    <t>U$</t>
  </si>
  <si>
    <t>Total o</t>
  </si>
  <si>
    <t xml:space="preserve">20613390996         </t>
  </si>
  <si>
    <t>CONSORCIO HEALTH BERNALES</t>
  </si>
  <si>
    <t>02. Transferencia a cuenta bancaria</t>
  </si>
  <si>
    <t>0000001823</t>
  </si>
  <si>
    <t>Caja y Bancos</t>
  </si>
  <si>
    <t>202601 Enero 2026</t>
  </si>
  <si>
    <t>23/01/2026</t>
  </si>
  <si>
    <t>FE E001-00000016</t>
  </si>
  <si>
    <t xml:space="preserve">SERVICIO DE ASESORIA INTEGRAL EN LA ADMINISTRACION CONTRACTUAL PARA EL PROCESO: DISEÑO CONSTRUCCION Y EQUIPAMIENTO DEL NUEVO HOSPITAL NACIONAL SERGIO BERNALES, LOCALIDAD DE COLLIQUE, DISTRITO DE COMAS, PROVINCIA DE LIMA - ANTICIPO  </t>
  </si>
  <si>
    <t>COBRANZA DE FACTURA E001-16</t>
  </si>
  <si>
    <t>30/12/2024</t>
  </si>
  <si>
    <t xml:space="preserve">20608830392         </t>
  </si>
  <si>
    <t>CONSORCIO STILER - RIPCONCIV - TECNOEDIL</t>
  </si>
  <si>
    <t>0000001820</t>
  </si>
  <si>
    <t>24/01/2026</t>
  </si>
  <si>
    <t>FE E001-00000267</t>
  </si>
  <si>
    <t>SERVICIO DE ACOMPANAMIENTO Y ASESORIA TECNICO-LEGAL Y GESTIÓN DE RECLAMO PARA LA ORDEN DE CAMBIO 3 EN EL PROYECTO: MEJORAMIENTO DE LA CAPACIDAD RESOLUTIVA DE LOS SERVICIOS DE SALUD DEL HOSPITAL ANTONIO LORENA NIVEL III - CUSCO ETAPA 2. - OBS: CUOTA 13 DE 115</t>
  </si>
  <si>
    <t>COBRANZA DE FACTURA E001-267</t>
  </si>
  <si>
    <t>05/01/2026</t>
  </si>
  <si>
    <t xml:space="preserve">20614395789         </t>
  </si>
  <si>
    <t>CONSORCIO SALUD HUANCA SANCOS II</t>
  </si>
  <si>
    <t>0000001811</t>
  </si>
  <si>
    <t>15/01/2026</t>
  </si>
  <si>
    <t>FE E001-00000138</t>
  </si>
  <si>
    <t>SERVICIO DE GERENCIAMIENTO TECNICO CONTRACTUAL EN EL PROYECTO: MEJORAMIENTO DE LOS SERVICIOS DEL ESTABLECIMIENTO DE SALUD ESTRATEGICOS HUANCA SANCOS, DISTRITO DE SANCOS - PROVINCIA DE HUANCA SANCOS -DEPARTAMENTO DE AYACUCHO.</t>
  </si>
  <si>
    <t>COBRANZA DE FACTURA E001-138</t>
  </si>
  <si>
    <t>31/07/2025</t>
  </si>
  <si>
    <t xml:space="preserve">20607900052         </t>
  </si>
  <si>
    <t>CONSORCIO SAN MIGUEL</t>
  </si>
  <si>
    <t>0000001814</t>
  </si>
  <si>
    <t>19/01/2026</t>
  </si>
  <si>
    <t>FE E001-00000257</t>
  </si>
  <si>
    <t>SERVICIO DE ASESORIA TECNICO LEGAL ESPECIALIZADA EN ADMINISTRACION CONTRACTUAL EN EL PROY:AMPLIACION Y MEJORAMIENTO DE SISTEMAS AGUA POTABLE Y ALCANTARILLADO EN SECTORES 311,313,330,310,312,314,300,307,319,324 Y 301,DE SJM,VMT Y VES-ETAPA 1 FRENTE 2 - VALORIZACION DE MAYORES GASTOS GENERALES VARIABLES- AMPLIACION DE PLAZO N°28.</t>
  </si>
  <si>
    <t>COBRANZA DE FACTURA E001-257</t>
  </si>
  <si>
    <t>16/12/2025</t>
  </si>
  <si>
    <t xml:space="preserve">20513250445         </t>
  </si>
  <si>
    <t>INMAC PERU S.A.C.</t>
  </si>
  <si>
    <t>0000001806</t>
  </si>
  <si>
    <t>08/01/2026</t>
  </si>
  <si>
    <t>FE E001-00000266</t>
  </si>
  <si>
    <t xml:space="preserve">SERVICIOS TECNICO-LEGALES QUE COMPRENDEN LA ASESORIA Y PATROCINIO EN LA GESTION DE CONTROVERSIAS FRENTE A LA ANIN EN PROYECTO CHICAMA. </t>
  </si>
  <si>
    <t>COBRANZA DE FACTURA E001-266</t>
  </si>
  <si>
    <t>31/12/2025</t>
  </si>
  <si>
    <t xml:space="preserve">20517562158         </t>
  </si>
  <si>
    <t>CONSTRUCTORA &amp; INMOBILIARIA SAGITARIO Y ASOCIADOS S.A.C. - SAGITARIO &amp; ASOCIADOS S.A.C.</t>
  </si>
  <si>
    <t>0000001865</t>
  </si>
  <si>
    <t>09/01/2026</t>
  </si>
  <si>
    <t>FE E001-00000194</t>
  </si>
  <si>
    <t>SERVICIO DE ACOMPANAMIENTO Y ASESORIA TECNICO-LEGAL EN EL PROYECTO: EJECUCION DEL SALDO DE OBRA:MEJORAMIENTO DE LOS SERVICIOS DE SALUD DEL CENTRO DE SALUD MACHUPICCHU,DISTRITO DE MACHUPICCHU,PROVINCIA DE URUBAMBA,DEPARTAMENTO DE CUSCO.CUI 2343148. ACORDE CON ADENDA N° 01 AL CONTRATO N° 12-2024-MACHU. </t>
  </si>
  <si>
    <t>Transferencia a Cuenta Bancaria</t>
  </si>
  <si>
    <t>15/10/2025</t>
  </si>
  <si>
    <t>0000001913</t>
  </si>
  <si>
    <t>FE E001-00000247</t>
  </si>
  <si>
    <t>15/12/2025</t>
  </si>
  <si>
    <t>0000001862</t>
  </si>
  <si>
    <t>FE E001-00000193</t>
  </si>
  <si>
    <t>SERVICIO DE ACOMPANAMIENTO Y ASESORIA TECNICO-LEGAL EN EL PROYECTO: MEJORAMIENTO Y AMPLIACION DE LOS SERVICIOS DE SALUD DEL ESTABLECIMIENTO DE SALUD TUPAC AMARU,DISTRITO DE TUPAC AMARU,PROV PISCO,DEPARTAMENTO DE ICA. ACORDE CON ADENDA N° 01 AL CONTRATO N° 11-2024-TUPAC. </t>
  </si>
  <si>
    <t>0000001910</t>
  </si>
  <si>
    <t>FE E001-00000246</t>
  </si>
  <si>
    <t>0000001871</t>
  </si>
  <si>
    <t>FE E001-00000196</t>
  </si>
  <si>
    <t>SERVICIO DE ACOMPANAMIENTO Y ASESORIA TECNICO-LEGAL EN EL PROYECTO: MEJORAMIENTO Y AMPLIACION E LOS SERVICIOS DE SALUD DEL ESTABLECIMIENTO DE SALUD APOYO PALPA,DISTRITO DE PALPA, PROV DE PALPA,DEPARTAMENTO DE ICA. ACORDE CON ADENDA N° 01 AL CONTRATO N° 14-2024-PALPA. </t>
  </si>
  <si>
    <t>0000001919</t>
  </si>
  <si>
    <t>FE E001-00000249</t>
  </si>
  <si>
    <t>0000001877</t>
  </si>
  <si>
    <t>FE E001-00000198</t>
  </si>
  <si>
    <t>SERVICIO DE ACOMPANAMIENTO Y ASESORIA TECNICO-LEGAL EN PROY: CONTRAT.DE LA EJECUCION DE LA OBRA:MEJORAMIENTO DE LA CAPACIDAD RESOLUTIVA DE LOS SERVICIOS DE SALUD DEL HOSPITAL DE FERREÑAFE,DIST. FERREÑAFE,PROV.FERREÑAFE,REGION LAMBAYEQUE.CUI 2310820. ACORDE AL CONTRATO DE PRESTACION DE SERVICIOS DE ASESORIA TECNICO-LEGAL N° 16- 2025-FERREÑAFE. </t>
  </si>
  <si>
    <t>0000001925</t>
  </si>
  <si>
    <t>FE E001-00000251</t>
  </si>
  <si>
    <t>0000001883</t>
  </si>
  <si>
    <t>FE E001-00000219</t>
  </si>
  <si>
    <t>SERVICIO DE ACOMPANAMIENTO Y ASESORIA TECNICO-LEGAL EN PROY: CONTRATACION DE EJECUCION DE OBRA DEL PLAN DE CONTINGENCIA Y OBRA PRINCIPAL DEL PROY: MEJORAMIENTO Y AMPL. DE SERV. SALUD DEL HOSP. APOYO CELENDIN, CAJAMARCA, CUI 2534855 - CONTRATO DE PRESTACION DE SERVICIOS DE ASESORIA TECNICO-LEGAL N°10-2025-CELENDIN.</t>
  </si>
  <si>
    <t>15/11/2025</t>
  </si>
  <si>
    <t>0000001901</t>
  </si>
  <si>
    <t>FE E001-00000225</t>
  </si>
  <si>
    <t>SERVICIO DE ACOMPANAMIENTO Y ASESORIA TECNICO-LEGAL EN PROY: CONTRATO DE LA EJECUCION DE LA OBRA: MEJOR. DE LA CAPACIDAD RESOLUTIVA DE LOS SERV. SALUD DEL HOSPITAL FERRENAFE, DIST. FERRENAFE, PROV. FERRENAFE, REGION LAMBAYEQUE, CUI 2310820 - CONT. PREST. SERV. ASESORIA TECNICO-LEGAL N°16-2025-FERREÑAFE.</t>
  </si>
  <si>
    <t>0000001880</t>
  </si>
  <si>
    <t>FE E001-00000218</t>
  </si>
  <si>
    <t>SERVICIO DE ACOMPANAMIENTO Y ASESORIA TECNICO-LEGAL EN PROY: EJEC. OBRA: MEJORAM. CARRETERA SANCOS-SACCSAMARCA-PUTACCASA-OSCCONTA-EMP PE-32A EN PROV. DE HUANCASANCOS, LUCANAS, SACSAMARCA, PUTACCASA, DIST.CABANA, CCERONTA, PUQUIO, LUCANAS, DPTO AYACUCHO - ADENDA N° 01 CONTRATO N°09-2024-LUCANAS.</t>
  </si>
  <si>
    <t>0000001892</t>
  </si>
  <si>
    <t>FE E001-00000222</t>
  </si>
  <si>
    <t>SERVICIO DE ACOMPANAMIENTO Y ASESORIA TECNICO-LEGAL EN PROY: EJECUCION DE OBRA: MEJORAMIENTO SERV. SALUD DEL HOSPITAL II PASCO DE LA RED ASISTENCIAL PASCO, EN DIST. DE FUNDICION DE TINYAHUARCO, PROV. PASCO, DPTO PASCO, CUI 2268036 - CONTRATO DE PRESTACION DE SERV. DE ASESORIA TECNICO-LEGAL N°13-2025-PASCO.</t>
  </si>
  <si>
    <t>0000001898</t>
  </si>
  <si>
    <t>FE E001-00000224</t>
  </si>
  <si>
    <t>SERVICIO DE ACOMPANAMIENTO Y ASESORIA TECNICO-LEGAL EN PROY: EJECUCION DEL PLAN DE CONTINGENCIA Y OBRA PRINCIPAL DEL PROY: MEJORAM. Y AMPL. SERV. SALUD DEL ESTABLECIMIENTO SALUD SIMON BOLIVAR, CAJAMARCA, CAJAMARCA, CAJAMARCA, CUI 2502679 - CONTRATO DE PREST. SERV. DE ASESORIA TECNICO-LEGAL N° 15-2025-BOLIVAR.</t>
  </si>
  <si>
    <t>0000001889</t>
  </si>
  <si>
    <t>FE E001-00000221</t>
  </si>
  <si>
    <t>SERVICIO DE ACOMPANAMIENTO Y ASESORIA TECNICO-LEGAL EN PROY: EJECUCION DEL SALDO DE OBRA: MEJORAMIENTO DE SERV. DE SALUD DEL CENTRO DE SALUD MACHUPICCHU, DIST. MACHUPICCHU, PROV. URUBAMBA, DEPART. CUSCO, CUI 2343148 - ADENDA N° 01 CONTRATO N°12-2024-MACHUPICCHU.</t>
  </si>
  <si>
    <t>0000001895</t>
  </si>
  <si>
    <t>FE E001-00000223</t>
  </si>
  <si>
    <t>SERVICIO DE ACOMPANAMIENTO Y ASESORIA TECNICO-LEGAL EN PROY: MEJORAMIENTO Y AMPL. DE LOS SERV. SALUD DEL ESTABLECIMIENTO DE SALUD - APOYO PALPA, DIST. PALPA, DIST. PALPA, PROV. PALPA, DPTO. ICA - ADENDA N° 01 CONTRATO N°14-2024-PALPA.</t>
  </si>
  <si>
    <t>0000001886</t>
  </si>
  <si>
    <t>FE E001-00000220</t>
  </si>
  <si>
    <t>SERVICIO DE ACOMPANAMIENTO Y ASESORIA TECNICO-LEGAL EN PROY: MEJORAMIENTO Y AMPLIACIÓN DE LOS SERV. SALUD DEL ESTABLECIMIENTO DE SALUD TUPAC AMARU, DIST. TUPAC AMARU, PROV. PISCO, DEPARTAMENTO DE ICA - ADENDA N° 01 CONTRATO N°11-2024-TUPAC.</t>
  </si>
  <si>
    <t>0000001907</t>
  </si>
  <si>
    <t>FE E001-00000245</t>
  </si>
  <si>
    <t>SERVICIO DE ACOMPANAMIENTO Y ASESORÍA TECNICO-LEGAL EN PROYECTO: CONTRATACION DE EJECUCION DE OBRA DEL PLAN DE CONTINGENCIA Y OBRA PRINCIPAL DEL PROY:MEJORAMIENTO Y AMPLIACION DE SERV.SALUD DEL HOSP.APOYO CELENDIN,CELENDIN,CAJAMARCA,CUI 2534855. - ACORDE AL CONTRATO DE PRESTACION DE SERVICIOS DE ASESORIA TECNICO-LEGAL N° 10- 2025-CELENDIN. </t>
  </si>
  <si>
    <t>0000001859</t>
  </si>
  <si>
    <t>FE E001-00000192</t>
  </si>
  <si>
    <t>SERVICIO DE ACOMPANAMIENTO Y ASESORÍA TECNICO-LEGAL EN PROYECTO: CONTRATACION DE EJECUCION DE OBRA DEL PLAN DE CONTINGENCIA Y OBRA PRINCIPAL DEL PROY:MEJORAMIENTO Y AMPLIACION DE SERV.SALUD DEL HOSP.APOYO CELENDIN,CELENDIN,CAJAMARCA,CUI 2534855. ACORDE AL CONTRATO DE PRESTACION DE SERVICIOS DE ASESORIA TECNICO-LEGAL N° 10- 2025-CELENDIN. </t>
  </si>
  <si>
    <t>0000001856</t>
  </si>
  <si>
    <t>FE E001-00000191</t>
  </si>
  <si>
    <t>SERVICIO DE ACOMPANAMIENTO Y ASESORIA TECNICO-LEGAL EN PROYECTO: EJEC. OBRA:MEJORAM. CARRETERA SANCOS- SACCSAMARCA-PUTACCASA-OSCCONTA-EMP PE-32A EN PROV.DE HUANCASANCOS,LUCANAS,SACSAMARCA,PUTACCASA ,DIST.CABANA,CCERONTA,PUQUIO,LUCANAS,DPTO AYACUCHO. ACORDE CON ADENDA N° 01 AL CONTRATO N° 09-2024-LUCANAS. </t>
  </si>
  <si>
    <t>0000001904</t>
  </si>
  <si>
    <t>FE E001-00000244</t>
  </si>
  <si>
    <t>0000001874</t>
  </si>
  <si>
    <t>FE E001-00000197</t>
  </si>
  <si>
    <t>SERVICIO DE ACOMPANAMIENTO Y ASESORIA TECNICO-LEGAL EN PROYECTO:EJECUCION DEL PLAN DE CONTINGENCIA Y OBRA PRINCIPAL DEL PROY:MEJORAM.Y AMPLIACION DE SERVICIOS DE SALUD DEL ESTABLECIMIENTO SALUD SIMON BOLIVAR,CAJAMARCA,CAJAMARCA,CAJAMARCA.CUI 2502679. ACORDE AL CONTRATO DE PRESTACION DE SERVICIOS DE ASESORIA TECNICO-LEGAL N° 15- 2025-BOLIVAR. </t>
  </si>
  <si>
    <t>0000001922</t>
  </si>
  <si>
    <t>FE E001-00000250</t>
  </si>
  <si>
    <t>0000001934</t>
  </si>
  <si>
    <t>27/01/2026</t>
  </si>
  <si>
    <t>0000001916</t>
  </si>
  <si>
    <t>FE E001-00000248</t>
  </si>
  <si>
    <t>SERVICIO DE ACOMPAÑAMIENTO Y ASESORÍA TECNICO-LEGAL EN PROYECTO: EJECUCION DE OBRA:MEJORAMIENTO DE LOS SERVICIOS DE SALUD DEL HOSPITAL II PASCO DE LA RED ASISTENCIAL PASCO, EN DIST.DE FUNDICION DE TINYAHUARCO, PROV PASCO,DPTO PASCO.CUI 2268036. - ACORDE AL CONTRATO DE PRESTACION DE SERVICIOS DE ASESORIA TECNICO-LEGAL N° 13- 2025-PASCO. </t>
  </si>
  <si>
    <t>0000001868</t>
  </si>
  <si>
    <t>FE E001-00000195</t>
  </si>
  <si>
    <t>SERVICIO DE ACOMPAÑAMIENTO Y ASESORÍA TECNICO-LEGAL EN PROYECTO: EJECUCION DE OBRA:MEJORAMIENTO DE LOS SERVICIOS DE SALUD DEL HOSPITAL II PASCO DE LA RED ASISTENCIAL PASCO, EN DIST.DE FUNDICION DE TINYAHUARCO, PROV PASCO,DPTO PASCO.CUI 2268036. ACORDE AL CONTRATO DE PRESTACION DE SERVICIOS DE ASESORIA TECNICO-LEGAL N° 13- 2025-PASCO. </t>
  </si>
  <si>
    <t xml:space="preserve">20605171941         </t>
  </si>
  <si>
    <t>CHINA ROAD AND BRIDGE CORPORATION SUCURSAL PERU</t>
  </si>
  <si>
    <t>0000001827</t>
  </si>
  <si>
    <t>29/01/2026</t>
  </si>
  <si>
    <t>FE E001-00000263</t>
  </si>
  <si>
    <t>SERVICIO DE ASESORIA TECNICO - LEGAL ESPECIALIZADA  EN ADMINISTRACION CONTRACTUAL EN EL PROYECTO: CREACIÓN DE LOS SERVICIOS DE SALUD DEL HOSPITAL PARA FRANCISCO DE MANCHAY - PROV. LIMA - DPTO. LIMA-CUI 2525722.</t>
  </si>
  <si>
    <t>COBRANZA DE  FACTURA E001-263</t>
  </si>
  <si>
    <t>30/12/2025</t>
  </si>
  <si>
    <t>0000001826</t>
  </si>
  <si>
    <t>FE E001-00000262</t>
  </si>
  <si>
    <t>SERVICIO DE ASESORIA TECNICO - LEGAL ESPECIALIZADA  EN ADMINISTRACION CONTRACTUAL EN EL PROYECTO: HOSPITAL DOCENTE REGIONAL DE TRUJILLO.</t>
  </si>
  <si>
    <t>COBRANZA DE FACTURA E001-262</t>
  </si>
  <si>
    <t>0000001805</t>
  </si>
  <si>
    <t>FE E001-00000233</t>
  </si>
  <si>
    <t>SERVICIO DE ASESORIA TECNICO - LEGAL ESPECIALIZADA  EN ADMINISTRACION CONTRACTUAL EN EL PROYECTO: MEJORAMIENTO Y AMPLIACIÓN SERV. SALUD DEL HOSPITAL JOSE SOTO CADENILLAS DE CHOTA - CHOTA - CAJAMARCA.</t>
  </si>
  <si>
    <t>COBRANZA DE FACTURA E001-233</t>
  </si>
  <si>
    <t>30/11/2025</t>
  </si>
  <si>
    <t>0000001828</t>
  </si>
  <si>
    <t>FE E001-00000264</t>
  </si>
  <si>
    <t>COBRANZA DE FACTURA E001-264</t>
  </si>
  <si>
    <t>0000001931</t>
  </si>
  <si>
    <t>13/01/2026</t>
  </si>
  <si>
    <t>0000001937</t>
  </si>
  <si>
    <t>30/01/2026</t>
  </si>
  <si>
    <t>FE E001-00000288</t>
  </si>
  <si>
    <t>SERVICIO DE ASESORIA TECNICO - LEGAL ESPECIALIZADA  EN ADMINISTRACION CONTRACTUAL EN EL PROYECTO: RECONSTRUCCIÓN Y CULMINACIÓN DE LA OBRA: REHABILITACIÓN Y MEJORAMIENTO DE LA CERRETERA LIMA CANTA UNISH, TRAMO: LIMA-CANTA, PROV. LIMA, DPTO. LIMA</t>
  </si>
  <si>
    <t>COBRANZA DE FACTURA E001-288</t>
  </si>
  <si>
    <t>22/01/2026</t>
  </si>
  <si>
    <t>0000001928</t>
  </si>
  <si>
    <t>FE E001-00000230</t>
  </si>
  <si>
    <t>0000001853</t>
  </si>
  <si>
    <t>0000001815</t>
  </si>
  <si>
    <t>FE E001-00000258</t>
  </si>
  <si>
    <t>SERVICIO DE ASESORIA TECNICO LEGAL ESPECIALIZADA EN ADMINISTRACION CONTRACTUAL EN EL PROY:AMPLIACION Y MEJORAMIENTO DE SISTEMAS AGUA POTABLE Y ALCANTARILLADO EN SECTORES 311,313,330,310,312,314,300,307,319,324 Y 301,DE SJM,VMT Y VES-ETAPA 1 FRENTE 2 - VALORIZACION DE MAYORES GASTOS GENERALES VARIABLES- AMPLIACION DE PLAZO N°30.</t>
  </si>
  <si>
    <t>COBRANZA DE FACTURA E001-258</t>
  </si>
  <si>
    <t>0000001850</t>
  </si>
  <si>
    <t>FE E001-00000256</t>
  </si>
  <si>
    <t>SERVICIO DE ASESORIA TECNICO LEGAL ESPECIALIZADA EN ADMINISTRACION CONTRACTUAL EN EL PROY:AMPLIACION Y MEJORAMIENTO DE SISTEMAS AGUA POTABLE Y ALCANTARILLADO EN SECTORES 311,313,330,310,312,314,300,307,319,324 Y 301,DE SJM,VMT Y VES-ETAPA 1 FRENTE 2 - VALORIZACION DE MAYORES GASTOS GENERALES VARIABLES- AMPLIACION DE PLAZO N°20.</t>
  </si>
  <si>
    <t>0000001847</t>
  </si>
  <si>
    <t>FE E001-00000259</t>
  </si>
  <si>
    <t>SERVICIO DE ASESORIA TECNICO LEGAL ESPECIALIZADA EN ADMINISTRACION CONTRACTUAL EN EL PROY:AMPLIACION Y MEJORAMIENTO DE SISTEMAS AGUA POTABLE Y ALCANTARILLADO EN SECTORES 311,313,330,310,312,314,300,307,319,324 Y 301,DE SJM,VMT Y VES-ETAPA 1 FRENTE 2 - VALORIZACION DE MAYORES GASTOS GENERALES VARIABLES- AMPLIACION DE PLAZO N°31.</t>
  </si>
  <si>
    <t>0000001841</t>
  </si>
  <si>
    <t>0000001844</t>
  </si>
  <si>
    <t>0000000396</t>
  </si>
  <si>
    <t>202602 Febrero 2026</t>
  </si>
  <si>
    <t>03/02/2026</t>
  </si>
  <si>
    <t>COBRANZA DE FACTURA  E001-16</t>
  </si>
  <si>
    <t>0000000408</t>
  </si>
  <si>
    <t>20/02/2026</t>
  </si>
  <si>
    <t>FE E001-00000294</t>
  </si>
  <si>
    <t>SERVICIO DE ACOMPANAMIENTO Y ASESORIA TECNICO-LEGAL Y GESTIÓN DE RECLAMO PARA LA ORDEN DE CAMBIO 3 EN EL PROYECTO: MEJORAMIENTO DE LA CAPACIDAD RESOLUTIVA DE LOS SERVICIOS DE SALUD DEL HOSPITAL ANTONIO LORENA NIVEL III - CUSCO ETAPA 2. - OBS: CUOTA 14 DE 15</t>
  </si>
  <si>
    <t>COBRANZA DE FACTURA E0001-294</t>
  </si>
  <si>
    <t>11/02/2026</t>
  </si>
  <si>
    <t>0000000411</t>
  </si>
  <si>
    <t>26/02/2026</t>
  </si>
  <si>
    <t>FE E001-00000017</t>
  </si>
  <si>
    <t xml:space="preserve">SERVICIO DE ASESORIA INTEGRAL EN LA ADMINISTRACION CONTRACTUAL PARA EL PROCESO: DISEÑO CONSTRUCCION Y EQUIPAMIENTO DEL NUEVO HOSPITAL NACIONAL SERGIO BERNALES, LOCALIDAD DE COLLIQUE, DISTRITO DE COMAS, PROVINCIA DE LIMA - ANTICIPO   </t>
  </si>
  <si>
    <t>0000000412</t>
  </si>
  <si>
    <t>0000000441</t>
  </si>
  <si>
    <t>24/02/2026</t>
  </si>
  <si>
    <t>0000000438</t>
  </si>
  <si>
    <t>FE E001-00000232</t>
  </si>
  <si>
    <t>0000000423</t>
  </si>
  <si>
    <t>09/02/2026</t>
  </si>
  <si>
    <t>0000000426</t>
  </si>
  <si>
    <t>0000000400</t>
  </si>
  <si>
    <t>13/02/2026</t>
  </si>
  <si>
    <t>FE E001-00000291</t>
  </si>
  <si>
    <t>SERVICIO DE ASESORIA TECNICO - LEGAL ESPECIALIZADA EN ADMINISTRACION CONTRACTUAL EN EL PROYECTO : CREACION DE LOS SERVICIOS DE SALUD DEL HOSPITAL PAPA FRANCISCO DE MANCHAY -PROV LIMA- DPTO LIMA-CUI 2525722.</t>
  </si>
  <si>
    <t>COBRANZA DE FACTURA E001-291</t>
  </si>
  <si>
    <t>0000000432</t>
  </si>
  <si>
    <t>0000000399</t>
  </si>
  <si>
    <t>FE E001-00000290</t>
  </si>
  <si>
    <t>SERVICIO DE ASESORIA TECNICO - LEGAL ESPECIALIZADA EN ADMINISTRACION CONTRACTUAL EN EL PROYECTO : HOSPITAL DOCENTE REGIONAL DE TRUJILLO</t>
  </si>
  <si>
    <t>COBRANZA DE FACTURA E001-290</t>
  </si>
  <si>
    <t>0000000429</t>
  </si>
  <si>
    <t>0000000401</t>
  </si>
  <si>
    <t>FE E001-00000292</t>
  </si>
  <si>
    <t>SERVICIO DE ASESORIA TECNICO - LEGAL ESPECIALIZADA EN ADMINISTRACION CONTRACTUAL EN EL PROYECTO : MEJORAMIENTO Y AMPLIACION SERV. SALUD DEL HOSPITAL JOSE SOTO CADENILLAS DE CHOTA - CHOTA - CAJAMARCA</t>
  </si>
  <si>
    <t>COBRANZA DE FACTURA E001-292</t>
  </si>
  <si>
    <t>0000000435</t>
  </si>
  <si>
    <t xml:space="preserve">20602842330         </t>
  </si>
  <si>
    <t>CONSULTORIA &amp; CONSTRUCCION GRUPO PERGOLA S.A.C.</t>
  </si>
  <si>
    <t>0000000921</t>
  </si>
  <si>
    <t>202603 Marzo 2026</t>
  </si>
  <si>
    <t>09/03/2026</t>
  </si>
  <si>
    <t>FE E001-00000210</t>
  </si>
  <si>
    <t xml:space="preserve">SERVICIO DE ACOMPANAMIENTO Y ASESORIA TECNICO-LEGAL EN EL PROYECTO: CONTRATO DE LA EJECUCION DE LA OBRA:MEJORAMIENTO DE LOS SERVICIOS DE SALUD DEL ESTABLECIMIENTO DE SALUD ESTRATEGICO DE BANOS,DISTRITO DE BANOS,PROV.LAURICOCHA,HUANUCO. ACORDE CON ADENDA N° 1-2024 LAURICOCHA </t>
  </si>
  <si>
    <t>0000000929</t>
  </si>
  <si>
    <t>11/03/2026</t>
  </si>
  <si>
    <t>FE E001-00000216</t>
  </si>
  <si>
    <t>SERVICIO DE ACOMPAÑAMIENTO Y ASESORIA TECNICO-LEGAL EN PROY: COMPONENTE INFRAESTRUCTURA Y EQUIPAMIENTO DEL PROYECTO: MEJORAMIENTO Y AMPLIACION DE SERV. SALUD DEL HOSP. APOYO DE PUQUIO FELIPE HUAMAN POMA DE AYALA, DIST. PUQUIO, PROV. LUCANAS, DPTO. AYACUCHO - CONTRATO DE PRESTACION DE SERVICIOS DE ASESORIA TECNICO LEGAL N°07-2025-PUQUIO.</t>
  </si>
  <si>
    <t>0000000930</t>
  </si>
  <si>
    <t>FE E001-00000217</t>
  </si>
  <si>
    <t>SERVICIO DE ACOMPAÑAMIENTO Y ASESORIA TECNICO-LEGAL EN PROY: CONTRATACION PARA EJEC. DE OBRA: MEJORAMIENTO Y AMPLIACION DE LA PRESTACION DE SERV. DEPORTIVOS EN EL ESTADO CUNA DE LA LIBERTAD AMERICAS DEL COMPLEJO DEPORTIVO VENEZUELA, AYACUCHO, HUAMANGA, AYACUCHO - CONTRATO DE PRESTACION DE SERVICIO DE ASESORIA TECNICO LEGAL N°08-2025-DEPORTIVO.</t>
  </si>
  <si>
    <t>0000000925</t>
  </si>
  <si>
    <t>FE E001-00000212</t>
  </si>
  <si>
    <t>SERVICIO DE ACOMPAÑAMIENTO Y ASESORIA TECNICO-LEGAL EN PROY: CULMINACION DE LA OBRA: REHABILITACION Y MEJORAMIENTO DE LA CARRETERA HUAURA-SAYAN-CHURIN, TRAMO:SAYAN-PUENTE TINGO - ADENDA N°1 AL CONTRATO N° 03-2024-SAYAN.</t>
  </si>
  <si>
    <t>0000000928</t>
  </si>
  <si>
    <t>FE E001-00000215</t>
  </si>
  <si>
    <t>SERVICIO DE ACOMPAÑAMIENTO Y ASESORIA TECNICO-LEGAL EN PROY: EJECUCION DE OBRA MEJORAMIENTO DE LOS SERVICIOS DE SOLUCIONES DE TECNOLOGIAS DE INFORMACION PARA LA ATENCION DE USUARIOS DE LA SUNAT, DIST. LIMA, PROV. LIMA, CUI 2300104 - ADENDA N° 01 CONTRATO N°06-2024-SUNAT.</t>
  </si>
  <si>
    <t>0000000927</t>
  </si>
  <si>
    <t>FE E001-00000214</t>
  </si>
  <si>
    <t>SERVICIO DE ACOMPAÑAMIENTO Y ASESORIA TECNICO-LEGAL EN PROY: EJECUCION DE OBRA MEJORAMIENTO Y AMPLIACION DE SERV. SALUD DEL HOSPITAL DE CHINCHEROS II-1 RED DE SALUD VIRGEN DE COCHARCAS,DIST CHINCHEROS, PROV CHINCHEROS,DPTO APURIMAC,CUI 2344910 - ADENDA N° 1 CONTRATO N° 05-2024-CHINCHEROS.</t>
  </si>
  <si>
    <t>0000000926</t>
  </si>
  <si>
    <t>FE E001-00000213</t>
  </si>
  <si>
    <t>SERVICIO DE ACOMPAÑAMIENTO Y ASESORIA TECNICO-LEGAL EN PROY: EJECUCION DE OBRA: SALDO DE OBRA REFORMULADO OBRA PRINCIPAL: MEJORAMIENTO SERVICIOS DE SALUD DEL ESTABLECIMIENTO DE SALUD PROGRESO, DIST. CHIMBOTE, PROV. SANTA, DPTO ANCASH, CUI 2285573 - ADENDA N° 1 CONTRATO N° 04-2024-PROGRESO.</t>
  </si>
  <si>
    <t>0000000924</t>
  </si>
  <si>
    <t>FE E001-00000211</t>
  </si>
  <si>
    <t>SERVICIO DE ACOMPAÑAMIENTO Y ASESORIA TECNICO-LEGAL EN PROY: EJECUCIÓN PLAN CONTINGENCIA Y OBRA PRINCIPAL PROY. MEJORAMIENTO Y AMPLIACION SERV.SALUD HOSPITAL APOYO TOMAS LAFORA GUADALUPE, DIST GUADALUPE, PROV. PACASMAYO, DPTO LA LIBERTAD, CUI 2427376 - ADENDA N° 1 AL CONTRATO N° 02-2024-LAFORA.</t>
  </si>
  <si>
    <t>0000000329</t>
  </si>
  <si>
    <t>04/03/2026</t>
  </si>
  <si>
    <t>0000000332</t>
  </si>
  <si>
    <t>FE E001-00000318</t>
  </si>
  <si>
    <t>28/02/2026</t>
  </si>
  <si>
    <t>0000000948</t>
  </si>
  <si>
    <t>24/03/2026</t>
  </si>
  <si>
    <t>FE E001-00000320</t>
  </si>
  <si>
    <t>SERVICIO DE ACOMPAÑAMIENTO,DESARROLLO TECNICO,ASESORIA LEGAL Y GESTION DE RECLAMO PARA LA ORDEN DE CAMBIO 3 EN EL PROYECTO:MEJORAMIENTO DE CAPACIDAD RESOLUTIVA DE SERVICIOS DE SALUD DEL HOSPITAL ANTONIO LORENA NIVEL III-CUSCO ETAPA 2.</t>
  </si>
  <si>
    <t>03/03/2026</t>
  </si>
  <si>
    <t>0000000313</t>
  </si>
  <si>
    <t>0000000312</t>
  </si>
  <si>
    <t>0000000326</t>
  </si>
  <si>
    <t>FE E001-00000315</t>
  </si>
  <si>
    <t>SERVICIO DE ASESORIA INTEGRAL EN LA ADMINISTRACION CONTRACTUAL PARA EL PROCESO: DISEÑO CONSTRUCCION Y EQUIPAMIENTO DEL NUEVO HOSPITAL NACIONAL SERGIO BERNALES, LOCALIDAD DE COLLIQUE, DISTRITO DE COMAS, PROVINCIA DE LIMA - SEGUN ADENDA AL CONTRATO 003.2024/CH-1 // SERVICIO CORRESPONDIENTE AL MES DE ENERO 2026.</t>
  </si>
  <si>
    <t>18/02/2026</t>
  </si>
  <si>
    <t>0000000951</t>
  </si>
  <si>
    <t>30/03/2026</t>
  </si>
  <si>
    <t>FE E001-00000331</t>
  </si>
  <si>
    <t>SERVICIO DE ASESORIA INTEGRAL EN LA ADMINISTRACION CONTRACTUAL PARA EL PROCESO:DISEÑO CONSTRUCCION Y EQUIPAMIENTO DEL NUEVO HOSPITAL NACIONAL SERGIO BERNALES, LOCALIDAD DE COLLIQUE, DISTRITO:COMAS, PROVINCIA:LIMA, SEGUN ADENDA AL CONTRATO 003.2024/CHB-1 // SERVICIO CORRESPONDIENTE AL MES DE MARZO 2026.</t>
  </si>
  <si>
    <t>20/03/2026</t>
  </si>
  <si>
    <t>0000000945</t>
  </si>
  <si>
    <t>13/03/2026</t>
  </si>
  <si>
    <t>FE E001-00000322</t>
  </si>
  <si>
    <t>SERVICIO DE ASESORIA INTEGRAL EN LA ADMINISTRACION CONTRACTUAL PARA EL PROCESO:DISEÑO CONSTRUCCION Y EQUIPAMIENTO DEL NUEVO HOSPITAL NACIONAL SERGIO BERNALES,LOCALIDAD DE COLLIQUE,DISTRITO:COMAS, PROVINCIA:LIMA;SEGUN ADENDA AL CONTRATO 003.2024/CHB-1 - SERVICIO CORRESPONDIENTE AL MES DE FEBRERO 2026</t>
  </si>
  <si>
    <t>0000000871</t>
  </si>
  <si>
    <t>12/03/2026</t>
  </si>
  <si>
    <t>0000000319</t>
  </si>
  <si>
    <t>10/03/2026</t>
  </si>
  <si>
    <t>FE E001-00000317</t>
  </si>
  <si>
    <t>COBRANZA DE FACTURA E001-317</t>
  </si>
  <si>
    <t>0000000874</t>
  </si>
  <si>
    <t>FE E001-00000319</t>
  </si>
  <si>
    <t>0000000885</t>
  </si>
  <si>
    <t>0000000875</t>
  </si>
  <si>
    <t>0000000882</t>
  </si>
  <si>
    <t>27/03/2026</t>
  </si>
  <si>
    <t>0000001002</t>
  </si>
  <si>
    <t>01/03/2026</t>
  </si>
  <si>
    <t>FECHA VALOR  28/02 EECC REFLEJADO EN MARZO</t>
  </si>
  <si>
    <t>Total a</t>
  </si>
  <si>
    <t>YUPANQUI ARTADI, REYNALDO RICARDO</t>
  </si>
  <si>
    <t>0000002098</t>
  </si>
  <si>
    <t>26/01/2026</t>
  </si>
  <si>
    <t>PR 0000000607</t>
  </si>
  <si>
    <t xml:space="preserve">PRESTAMO DE REYNALDO A INTEGRAL  </t>
  </si>
  <si>
    <t>0000002099</t>
  </si>
  <si>
    <t>PR 0000000608</t>
  </si>
  <si>
    <t>0000002090</t>
  </si>
  <si>
    <t>PR 0000000589</t>
  </si>
  <si>
    <t>PRESTAMO DE RY ( ICYS)</t>
  </si>
  <si>
    <t>PRESTAMO DE ICYS RY</t>
  </si>
  <si>
    <t xml:space="preserve">20100130204         </t>
  </si>
  <si>
    <t xml:space="preserve">BANCO CONTINENTAL </t>
  </si>
  <si>
    <t>0000001983</t>
  </si>
  <si>
    <t>TR 0000000084</t>
  </si>
  <si>
    <t>TRANSFERENCIA DE FONDOS A CUENTA ADMINISTRADA</t>
  </si>
  <si>
    <t>0000001986</t>
  </si>
  <si>
    <t>TR 0000000085</t>
  </si>
  <si>
    <t>0000000609</t>
  </si>
  <si>
    <t>07/02/2026</t>
  </si>
  <si>
    <t>PR 0000000639</t>
  </si>
  <si>
    <t>PRESTAMO DE RY</t>
  </si>
  <si>
    <t xml:space="preserve">10415120911         </t>
  </si>
  <si>
    <t>GUTIERREZ ACQUARONE, GUSTAVO</t>
  </si>
  <si>
    <t>0000000605</t>
  </si>
  <si>
    <t>17/02/2026</t>
  </si>
  <si>
    <t>DEV 0000000018</t>
  </si>
  <si>
    <t>DEVOLUCION DE ER GG</t>
  </si>
  <si>
    <t xml:space="preserve">DEVOLUCION DE ER </t>
  </si>
  <si>
    <t>14. Diferencia de cambio - Cuentas</t>
  </si>
  <si>
    <t>0000000380</t>
  </si>
  <si>
    <t>Diferencia de Cambio</t>
  </si>
  <si>
    <t>Diferencia de cambio - Por Cuenta</t>
  </si>
  <si>
    <t xml:space="preserve">10074121395         </t>
  </si>
  <si>
    <t>JONES PATRONI, GUILLERMO AUGUSTO</t>
  </si>
  <si>
    <t>0000000876</t>
  </si>
  <si>
    <t>DEV 0000000019</t>
  </si>
  <si>
    <t>DEVOLUCION DE ER WILLY JONES</t>
  </si>
  <si>
    <t xml:space="preserve">20536612972         </t>
  </si>
  <si>
    <t>CMO GROUP S.A.</t>
  </si>
  <si>
    <t>0000000822</t>
  </si>
  <si>
    <t>DP 0000000030</t>
  </si>
  <si>
    <t>INGRESOS DE CMO  SEGUN EECC  (O.PAGO REC EXT LIQ:9675785)</t>
  </si>
  <si>
    <t>INGRESOS CMO</t>
  </si>
  <si>
    <t>0000000485</t>
  </si>
  <si>
    <t>31/03/2026</t>
  </si>
  <si>
    <t>Total b</t>
  </si>
  <si>
    <t xml:space="preserve">10443226350         </t>
  </si>
  <si>
    <t>PACHECO CHUQUILIN, JEANETH CRISTY</t>
  </si>
  <si>
    <t>03. Pago</t>
  </si>
  <si>
    <t>0000000124</t>
  </si>
  <si>
    <t>RH E001-0000000009</t>
  </si>
  <si>
    <t>CAPACITACION EN SISTEMA ERP S10 POR LOS MESES DE NOVIEMBRE Y DICIEMBRE DEL 2025.</t>
  </si>
  <si>
    <t xml:space="preserve">PAGO DE SERV. HONORARIOS JP </t>
  </si>
  <si>
    <t xml:space="preserve">15608157376         </t>
  </si>
  <si>
    <t>VELASQUEZ PEREZ, JUAN PABLO</t>
  </si>
  <si>
    <t>0000000139</t>
  </si>
  <si>
    <t>RH E001-0000000033</t>
  </si>
  <si>
    <t>SERVICIO DE  REVISION Y EDICION DE VIDEO EN TEMPORADA NAVIDEÑA 2025</t>
  </si>
  <si>
    <t>30/01 PAGO DE SERV. HONORARIOS ENERO 2026</t>
  </si>
  <si>
    <t xml:space="preserve">10103167154         </t>
  </si>
  <si>
    <t>INDACOCHEA CACEDA, FELIX ALEJANDRO</t>
  </si>
  <si>
    <t>0000000146</t>
  </si>
  <si>
    <t>RH E001-0000000048</t>
  </si>
  <si>
    <t>ASESORIA DE ESTRUCTURACIÓN FINANCIERA - DICIEMBRE 2025</t>
  </si>
  <si>
    <t>PAGO DE SERV. DIETAS  INDACOCHEA</t>
  </si>
  <si>
    <t xml:space="preserve">10460865528         </t>
  </si>
  <si>
    <t>MEDINA FLORES, JUAN CARLOS</t>
  </si>
  <si>
    <t>0000000127</t>
  </si>
  <si>
    <t>RH E001-0000000109</t>
  </si>
  <si>
    <t xml:space="preserve">SERVICIO DE CONSULTORIA LEGAL ESPECIALIZADA EN GESTION CONTRACTUAL  -   ENERO 2026 </t>
  </si>
  <si>
    <t>PAGO DE SERV. HONORARIOS  JCM ENERO 2026</t>
  </si>
  <si>
    <t xml:space="preserve">10094866249         </t>
  </si>
  <si>
    <t>MEDINA AIQUIPA, DAVID BERNABE</t>
  </si>
  <si>
    <t>0000000130</t>
  </si>
  <si>
    <t>RH E001-0000000240</t>
  </si>
  <si>
    <t>SERVICIO DE ASESORIA EN GESTION CONTRACTUAL DE OBRAS PÚBLICAS MES DE ENERO 2026</t>
  </si>
  <si>
    <t>PAGO DE SERV. HONORARIOS DM Y AC ENERO 2026</t>
  </si>
  <si>
    <t xml:space="preserve">10087738545         </t>
  </si>
  <si>
    <t>BARRIOS FERNANDEZ, CONCHA RAUL HERNANDO MARTIN</t>
  </si>
  <si>
    <t>0000000143</t>
  </si>
  <si>
    <t>RH E001-0000000260</t>
  </si>
  <si>
    <t>DIETA DE DIRECTORIO</t>
  </si>
  <si>
    <t>PAGO DE SERV. DIETAS  BARRIOS</t>
  </si>
  <si>
    <t>0000002062</t>
  </si>
  <si>
    <t>RPR -0054951777</t>
  </si>
  <si>
    <t>RPR 0054951777</t>
  </si>
  <si>
    <t>PLANILLA DE PAGO PRACTICANTES</t>
  </si>
  <si>
    <t xml:space="preserve">30/01 PLANILLA DE PRACTICANTES </t>
  </si>
  <si>
    <t xml:space="preserve">20100047218         </t>
  </si>
  <si>
    <t xml:space="preserve">BANCO DE CREDITO DEL PERU </t>
  </si>
  <si>
    <t>0000002063</t>
  </si>
  <si>
    <t>RPR -0054951778</t>
  </si>
  <si>
    <t>RPR 0054951778</t>
  </si>
  <si>
    <t>0000002087</t>
  </si>
  <si>
    <t>RPR 0054951783</t>
  </si>
  <si>
    <t>PLANILLA DE PAGO EMPLEADOS</t>
  </si>
  <si>
    <t xml:space="preserve">30/01 PLANILLA ENERO EMPLEADOS </t>
  </si>
  <si>
    <t>0000002088</t>
  </si>
  <si>
    <t>30/01 PLANILLA ENERO EMPLEADOS O/B</t>
  </si>
  <si>
    <t xml:space="preserve">20100053455         </t>
  </si>
  <si>
    <t>BANCO INTERNACIONAL DEL PERU - INTERBANK</t>
  </si>
  <si>
    <t>RPR -0054951784</t>
  </si>
  <si>
    <t>RPR 0054951784</t>
  </si>
  <si>
    <t xml:space="preserve">20100043140         </t>
  </si>
  <si>
    <t>SCOTIABANK PERU S.A.A.</t>
  </si>
  <si>
    <t>RPR -0054951785</t>
  </si>
  <si>
    <t>RPR 0054951785</t>
  </si>
  <si>
    <t>RPR -0054951786</t>
  </si>
  <si>
    <t>RPR 0054951786</t>
  </si>
  <si>
    <t xml:space="preserve">10761964874         </t>
  </si>
  <si>
    <t>SANCHEZ BUTRON, EDWIN ALONSO</t>
  </si>
  <si>
    <t>0000000347</t>
  </si>
  <si>
    <t>06/02/2026</t>
  </si>
  <si>
    <t>RH E001-0000000018</t>
  </si>
  <si>
    <t xml:space="preserve">SERVICIOS DE ASESORIA ESPECIALIZADA EN ADMINISTRACION DE CONTRATOS AL 31 DE ENERO 2026  </t>
  </si>
  <si>
    <t>PAGO DE HONORARIOS - FEBRERO 2026</t>
  </si>
  <si>
    <t xml:space="preserve">10771013193         </t>
  </si>
  <si>
    <t>CCORISAPRA MUÑOZ, ALEXNIEL</t>
  </si>
  <si>
    <t>0000000350</t>
  </si>
  <si>
    <t>RH E001-0000000068</t>
  </si>
  <si>
    <t xml:space="preserve">SERVICIO DE APOYO EN TI - SISTEMAS FEBRERO 2026 </t>
  </si>
  <si>
    <t xml:space="preserve">PAGO DE HONORARIOS -  FEBRERO 2026 </t>
  </si>
  <si>
    <t>0000000354</t>
  </si>
  <si>
    <t>RH E001-0000000114</t>
  </si>
  <si>
    <t>SERVICIO DE CONSULTORIA LEGAL ESPECIALIZADA EN GESTION CONTRACTUAL - FEBRERO 2026</t>
  </si>
  <si>
    <t>PAGO DE HONORARIOS - FEBRERO 2026 O/B</t>
  </si>
  <si>
    <t>RH E001-0000000243</t>
  </si>
  <si>
    <t>SERVICIO DE ASESORIA EN GESTION CONTRACTUAL DE OBRAS PÚBLICAS MES DE FEBRERO 2026</t>
  </si>
  <si>
    <t>0000000583</t>
  </si>
  <si>
    <t>RPR -0054951828</t>
  </si>
  <si>
    <t>RPR 0054951828</t>
  </si>
  <si>
    <t>26/02 PLANILLA EMPLEADOS I</t>
  </si>
  <si>
    <t>0000000584</t>
  </si>
  <si>
    <t>26/02 PLANILLA EMPLEADOS FEBRERO</t>
  </si>
  <si>
    <t>RPR -0054951829</t>
  </si>
  <si>
    <t>RPR 0054951829</t>
  </si>
  <si>
    <t>RPR -0054951830</t>
  </si>
  <si>
    <t>RPR 0054951830</t>
  </si>
  <si>
    <t>RPR -0054951831</t>
  </si>
  <si>
    <t>RPR 0054951831</t>
  </si>
  <si>
    <t>0000000580</t>
  </si>
  <si>
    <t>RPR -0054951836</t>
  </si>
  <si>
    <t>RPR 0054951836</t>
  </si>
  <si>
    <t>26/02 PLANILLA FEBRERO PRACTICANTES</t>
  </si>
  <si>
    <t>0000000581</t>
  </si>
  <si>
    <t>RPR -0054951837</t>
  </si>
  <si>
    <t>RPR 0054951837</t>
  </si>
  <si>
    <t>0000000649</t>
  </si>
  <si>
    <t>RPR -0054951941</t>
  </si>
  <si>
    <t>RPR 0054951941</t>
  </si>
  <si>
    <t>ADELANTO DE SUELDO EN QUINCENA</t>
  </si>
  <si>
    <t>18/02 ADELANTO DE SUELDO</t>
  </si>
  <si>
    <t>0000000607</t>
  </si>
  <si>
    <t>27/02/2026</t>
  </si>
  <si>
    <t>DP 0000000027</t>
  </si>
  <si>
    <t xml:space="preserve">ABONO POR EXCESO DE REMUNERACION </t>
  </si>
  <si>
    <t>DEVOLUCION POR EXCESO REMUNERACION MA</t>
  </si>
  <si>
    <t>0000000703</t>
  </si>
  <si>
    <t>RPR -0054951847</t>
  </si>
  <si>
    <t>RPR 0054951847</t>
  </si>
  <si>
    <t xml:space="preserve">30/03 PLANILLA EMPLEADOS MARZO I </t>
  </si>
  <si>
    <t>0000000709</t>
  </si>
  <si>
    <t>RH E001-0000000115</t>
  </si>
  <si>
    <t xml:space="preserve">SERVICIO DE CONSULTORIA LEGAL ESPECIALIZADA EN GESTION CONTRACTUAL - MARZO 2026 </t>
  </si>
  <si>
    <t xml:space="preserve">30/03 HONORARIOS MARZO II BBVA </t>
  </si>
  <si>
    <t>0000000704</t>
  </si>
  <si>
    <t>RPR -0054951849</t>
  </si>
  <si>
    <t>RPR 0054951849</t>
  </si>
  <si>
    <t xml:space="preserve">30/03 PLANILLA MARZO II O/B </t>
  </si>
  <si>
    <t>0000000705</t>
  </si>
  <si>
    <t>RH E001-0000000247</t>
  </si>
  <si>
    <t xml:space="preserve">SERVICIO DE ASESORIA EN GESTION CONTRACTUAL DE OBRAS PÚBLICAS MES DE MARZO 2026 </t>
  </si>
  <si>
    <t xml:space="preserve">30/03 PAGO HONORARIOS BBVA </t>
  </si>
  <si>
    <t>0000000655</t>
  </si>
  <si>
    <t>23/03/2026</t>
  </si>
  <si>
    <t>RPR -0054951842</t>
  </si>
  <si>
    <t>RPR 0054951842</t>
  </si>
  <si>
    <t>PLANILLA DE PAGO DE LIQUIDACION</t>
  </si>
  <si>
    <t xml:space="preserve">23/03 LBS + REMUNERACION MARZO  LBULEJE </t>
  </si>
  <si>
    <t>0000000730</t>
  </si>
  <si>
    <t>02/03/2026</t>
  </si>
  <si>
    <t>RH E001-0000000261</t>
  </si>
  <si>
    <t xml:space="preserve">DIETA DE DIRECTORIO </t>
  </si>
  <si>
    <t xml:space="preserve">02/03 PAGO DE DIETAS </t>
  </si>
  <si>
    <t xml:space="preserve">10409481308         </t>
  </si>
  <si>
    <t>TALAVERA PONCE, CLAUDIA</t>
  </si>
  <si>
    <t>0000000786</t>
  </si>
  <si>
    <t>05/03/2026</t>
  </si>
  <si>
    <t>RH E001-0000000089</t>
  </si>
  <si>
    <t xml:space="preserve">SERVICIO DE PINTADO DE TELA PARA TAPIZ ARTISTICO - CUADRO DIRECTORIO </t>
  </si>
  <si>
    <t xml:space="preserve">05/03 PAGO APROVEEDORES </t>
  </si>
  <si>
    <t>0000000789</t>
  </si>
  <si>
    <t>RH E001-0000000091</t>
  </si>
  <si>
    <t xml:space="preserve">TRABAJO ARTISTICO SOBRE TELA - CUADRO DIRECTORIO </t>
  </si>
  <si>
    <t>30/03 PAGO A PROVEEDOR</t>
  </si>
  <si>
    <t>RPR -0054951850</t>
  </si>
  <si>
    <t>RPR 0054951850</t>
  </si>
  <si>
    <t>0000000733</t>
  </si>
  <si>
    <t>RH E001-0000000051</t>
  </si>
  <si>
    <t xml:space="preserve">ASESORIA DE ESTRUCTURACIÓN FINANCIERA - FEBRERO 2026 </t>
  </si>
  <si>
    <t>30/03 PAGO DE DIETAS DE DIRECTORIO</t>
  </si>
  <si>
    <t>RPR -0054951848</t>
  </si>
  <si>
    <t>RPR 0054951848</t>
  </si>
  <si>
    <t>0000000633</t>
  </si>
  <si>
    <t>RH E001-0000000020</t>
  </si>
  <si>
    <t xml:space="preserve">SERVICIOS DE ASESORIA ESPECIALIZADA EN ADMINISTRACION DE CONTRATOS  01 AL 28 DE FEBRERO DEL 2026 </t>
  </si>
  <si>
    <t xml:space="preserve">09/03 PAGO A PROVEEDOR - LOCADOR GARNICA </t>
  </si>
  <si>
    <t>0000000701</t>
  </si>
  <si>
    <t>RPR -0054951838</t>
  </si>
  <si>
    <t>RPR 0054951838</t>
  </si>
  <si>
    <t xml:space="preserve">30/03 PLANILLA DE PRACTICANTES </t>
  </si>
  <si>
    <t>RH E001-0000000069</t>
  </si>
  <si>
    <t xml:space="preserve">SERVICIO DE APOYO EN TI - SISTEMAS MARZO 2026  </t>
  </si>
  <si>
    <t>Total c</t>
  </si>
  <si>
    <t>0000001963</t>
  </si>
  <si>
    <t>AP 0000000257</t>
  </si>
  <si>
    <t xml:space="preserve">COMISIONES BANCARIAS ENERO  SOLES  </t>
  </si>
  <si>
    <t>PAGO DE COMISIONES MENSUALES ENERO 2026</t>
  </si>
  <si>
    <t>0000001964</t>
  </si>
  <si>
    <t>0000001943</t>
  </si>
  <si>
    <t>0000001944</t>
  </si>
  <si>
    <t>0000001945</t>
  </si>
  <si>
    <t>0000001946</t>
  </si>
  <si>
    <t>0000001947</t>
  </si>
  <si>
    <t>0000001948</t>
  </si>
  <si>
    <t>0000001949</t>
  </si>
  <si>
    <t>0000001950</t>
  </si>
  <si>
    <t>0000001951</t>
  </si>
  <si>
    <t>0000001952</t>
  </si>
  <si>
    <t>0000001953</t>
  </si>
  <si>
    <t>0000001954</t>
  </si>
  <si>
    <t>0000001967</t>
  </si>
  <si>
    <t>0000001955</t>
  </si>
  <si>
    <t>0000001956</t>
  </si>
  <si>
    <t>0000001957</t>
  </si>
  <si>
    <t>0000001959</t>
  </si>
  <si>
    <t>0000001960</t>
  </si>
  <si>
    <t>0000001961</t>
  </si>
  <si>
    <t>0000001962</t>
  </si>
  <si>
    <t>0000001968</t>
  </si>
  <si>
    <t>0000001969</t>
  </si>
  <si>
    <t>0000001970</t>
  </si>
  <si>
    <t>0000001971</t>
  </si>
  <si>
    <t>0000001972</t>
  </si>
  <si>
    <t>0000001973</t>
  </si>
  <si>
    <t>0000001974</t>
  </si>
  <si>
    <t>0000001975</t>
  </si>
  <si>
    <t>0000001976</t>
  </si>
  <si>
    <t>0000001977</t>
  </si>
  <si>
    <t>0000001958</t>
  </si>
  <si>
    <t>0000001965</t>
  </si>
  <si>
    <t>0000001978</t>
  </si>
  <si>
    <t>0000001980</t>
  </si>
  <si>
    <t>0000001942</t>
  </si>
  <si>
    <t>0000001966</t>
  </si>
  <si>
    <t>0000001979</t>
  </si>
  <si>
    <t>0000002125</t>
  </si>
  <si>
    <t>AP 0000000263</t>
  </si>
  <si>
    <t xml:space="preserve">COMISIONES BBVA DOLARES  </t>
  </si>
  <si>
    <t xml:space="preserve">01/01 COMISIONES BANCARIAS DE ENERO </t>
  </si>
  <si>
    <t>0000002119</t>
  </si>
  <si>
    <t>0000002120</t>
  </si>
  <si>
    <t>0000002121</t>
  </si>
  <si>
    <t>0000002122</t>
  </si>
  <si>
    <t>0000002123</t>
  </si>
  <si>
    <t>0000002117</t>
  </si>
  <si>
    <t xml:space="preserve">05/01 COMISIONES BANCARIAS DE ENERO </t>
  </si>
  <si>
    <t>0000002124</t>
  </si>
  <si>
    <t>0000002126</t>
  </si>
  <si>
    <t>DP 0000000952</t>
  </si>
  <si>
    <t>ITF  ENERO DOLARES</t>
  </si>
  <si>
    <t>CORNEJO DAVILA, VANINNA JUISA</t>
  </si>
  <si>
    <t>0000002106</t>
  </si>
  <si>
    <t>PR 0000000602</t>
  </si>
  <si>
    <t xml:space="preserve">PRESTAMO A VC </t>
  </si>
  <si>
    <t xml:space="preserve">26/01 PRESTAMO A VC </t>
  </si>
  <si>
    <t>0000002003</t>
  </si>
  <si>
    <t>14/01/2026</t>
  </si>
  <si>
    <t>PR 0000000588</t>
  </si>
  <si>
    <t xml:space="preserve">PRESTAMO A RYA - CALIDAD Y GESTION </t>
  </si>
  <si>
    <t>14/01 PRESTAMO CALIDAD Y GESTION RY</t>
  </si>
  <si>
    <t xml:space="preserve">20601546478         </t>
  </si>
  <si>
    <t>PANORAMICA TECHNOLOGY S.A.C.</t>
  </si>
  <si>
    <t>0000002049</t>
  </si>
  <si>
    <t>AP 0000000261</t>
  </si>
  <si>
    <t xml:space="preserve">ADELANTO PARA CULMINACION DE TRABAJO DE SISTEMA DE COMUNICACIONES </t>
  </si>
  <si>
    <t xml:space="preserve">30/01 PAGO A PROVEEDORES </t>
  </si>
  <si>
    <t>0000002115</t>
  </si>
  <si>
    <t>PR 0000000605</t>
  </si>
  <si>
    <t xml:space="preserve">PRESTAMO A CMO // ANCONA </t>
  </si>
  <si>
    <t xml:space="preserve">30/01 PRESTAMO A CMO: ANCONA </t>
  </si>
  <si>
    <t xml:space="preserve">10097521889         </t>
  </si>
  <si>
    <t>GOMERO ROJAS, GUILLERMO ALBERTO</t>
  </si>
  <si>
    <t>0000002086</t>
  </si>
  <si>
    <t>PR 0000000600</t>
  </si>
  <si>
    <t>PRESTAMO A GG - SERV. GENERALES C&amp;C</t>
  </si>
  <si>
    <t>13/01 PRESTAMO A GG - SERV. GENERALES</t>
  </si>
  <si>
    <t>0000002113</t>
  </si>
  <si>
    <t>PR 0000000603</t>
  </si>
  <si>
    <t>PRESTAMO A CMO // ESTUDIO CARO F002-434</t>
  </si>
  <si>
    <t xml:space="preserve">30/01 PRESTAMO A CMO: ESTUDIO CARO </t>
  </si>
  <si>
    <t>0000002020</t>
  </si>
  <si>
    <t>PR 0000000590</t>
  </si>
  <si>
    <t>PRESTAMO A CMO: PLANILLA ENERO</t>
  </si>
  <si>
    <t>30/01 PRESTAMO A CMO: PLANILLA ENERO 26</t>
  </si>
  <si>
    <t>0000002078</t>
  </si>
  <si>
    <t>PR 0000000596</t>
  </si>
  <si>
    <t xml:space="preserve">PRESTAMO A CMO POR PAGO A PROVEEDORES - LBS </t>
  </si>
  <si>
    <t xml:space="preserve">30/01 PRESTAMO A CMO: PAGO A PROVEEDORES </t>
  </si>
  <si>
    <t>0000002016</t>
  </si>
  <si>
    <t>20/01/2026</t>
  </si>
  <si>
    <t>PR 0000000595</t>
  </si>
  <si>
    <t xml:space="preserve">PRESTAMO A CMO // IMPUESTOS </t>
  </si>
  <si>
    <t xml:space="preserve">20/01 PRESTAMO A CMO: IMPUESTOS </t>
  </si>
  <si>
    <t>0000002070</t>
  </si>
  <si>
    <t>0000002071</t>
  </si>
  <si>
    <t>0000002079</t>
  </si>
  <si>
    <t xml:space="preserve">20431115825         </t>
  </si>
  <si>
    <t>PACIFICO SA ENT PRESTADORA DE SALUD</t>
  </si>
  <si>
    <t>0000002043</t>
  </si>
  <si>
    <t>F F027-01053589</t>
  </si>
  <si>
    <t xml:space="preserve">SEGURO EPS // A/COB 9985023 // DOC R-4344398 // VIGENCIA 01/01/2026 AL 31/01/2026 </t>
  </si>
  <si>
    <t>0000002074</t>
  </si>
  <si>
    <t>0000002012</t>
  </si>
  <si>
    <t xml:space="preserve">20432295754         </t>
  </si>
  <si>
    <t>HERNANDEZ &amp; CIA. ABOGADOS SOCIEDAD CIVIL DE RESPONSABILIDAD LIMITADA</t>
  </si>
  <si>
    <t>0000002111</t>
  </si>
  <si>
    <t>F FF07-00029358</t>
  </si>
  <si>
    <t xml:space="preserve">ASESORIA EN MATERIA LEGAL Y TRIBUTARIA.    </t>
  </si>
  <si>
    <t xml:space="preserve">30/01 PAGO A PROVEEDORES VARIOS </t>
  </si>
  <si>
    <t xml:space="preserve">20505207654         </t>
  </si>
  <si>
    <t>ARTE QOLLANA E I R L</t>
  </si>
  <si>
    <t>0000002102</t>
  </si>
  <si>
    <t>F E001-00000278</t>
  </si>
  <si>
    <t>CABALLO ANDALUZ DE MADERA TALLADA CON MONTURA DE PLATA // CADENA Y PLACA GRABADA CON LOGO INTEGRAL.</t>
  </si>
  <si>
    <t>05/01 PAGO A PROVEEDOR ARTE QOLLANA</t>
  </si>
  <si>
    <t>0000001984</t>
  </si>
  <si>
    <t>TRANSFERENCIA DE FONDOS A CUENTA USD</t>
  </si>
  <si>
    <t>0000002084</t>
  </si>
  <si>
    <t>PR 0000000598</t>
  </si>
  <si>
    <t>PRESTAMO A GG - RAFF</t>
  </si>
  <si>
    <t>30/01 PRESTAMO A GG - RAFF</t>
  </si>
  <si>
    <t>0000002021</t>
  </si>
  <si>
    <t xml:space="preserve">20510934611         </t>
  </si>
  <si>
    <t>GALVEZ &amp; DOLORIER ABOGADOS S. CIVIL.R.L</t>
  </si>
  <si>
    <t>0000002107</t>
  </si>
  <si>
    <t>F E001-00008338</t>
  </si>
  <si>
    <t xml:space="preserve">ASESORIA TRIBUTARIA Y COORPORATIVA DICIEMBRE 2025. </t>
  </si>
  <si>
    <t xml:space="preserve">30/01 PAGO A PROVEEDORE GALVEZ </t>
  </si>
  <si>
    <t>0000002075</t>
  </si>
  <si>
    <t>0000002135</t>
  </si>
  <si>
    <t>DP 0000000983</t>
  </si>
  <si>
    <t>DEVOLUCION  - POR EXTORNO   CMO</t>
  </si>
  <si>
    <t>30/01 PRESTAMO A CMO -  SALIDA  E INGRESO POR EXTORNO</t>
  </si>
  <si>
    <t>0000002080</t>
  </si>
  <si>
    <t>0000002136</t>
  </si>
  <si>
    <t>DP 0000000026</t>
  </si>
  <si>
    <t>ABONO Y EXTORNO CMO - L&amp;H CONSTRUCTORES</t>
  </si>
  <si>
    <t xml:space="preserve">20157036794         </t>
  </si>
  <si>
    <t>AFP INTEGRA S A</t>
  </si>
  <si>
    <t>0000001997</t>
  </si>
  <si>
    <t>RPR -0054951734</t>
  </si>
  <si>
    <t>RPR 0054951734</t>
  </si>
  <si>
    <t>PLANILLA PAGO AFP INTEGRA</t>
  </si>
  <si>
    <t>08/01 PAGO DE AFP INTEGRA DICIEMBRE 25</t>
  </si>
  <si>
    <t>0000002064</t>
  </si>
  <si>
    <t>0000002072</t>
  </si>
  <si>
    <t>0000002081</t>
  </si>
  <si>
    <t xml:space="preserve">20551464971         </t>
  </si>
  <si>
    <t>AFP HABITAT S.A</t>
  </si>
  <si>
    <t>0000001996</t>
  </si>
  <si>
    <t>RPR -0054951742</t>
  </si>
  <si>
    <t>RPR 0054951742</t>
  </si>
  <si>
    <t>PLANILLA PAGO AFP HABITAT</t>
  </si>
  <si>
    <t>08/01 PAGO DE AFP HABITAT  DICIEMBRE 25</t>
  </si>
  <si>
    <t>0000002116</t>
  </si>
  <si>
    <t>PR 0000000606</t>
  </si>
  <si>
    <t xml:space="preserve">PRESTAMO A CMO // LBS LFQ </t>
  </si>
  <si>
    <t>30/01 PRESTAMO A CMO: LBS LFQ</t>
  </si>
  <si>
    <t xml:space="preserve">20474697593         </t>
  </si>
  <si>
    <t>VINATEA Y TOYAMA ABOG.SOC.CIVIL DE R.L.</t>
  </si>
  <si>
    <t>0000002145</t>
  </si>
  <si>
    <t>DP 0000000989</t>
  </si>
  <si>
    <t xml:space="preserve">DEVOLUCION </t>
  </si>
  <si>
    <t>0000002013</t>
  </si>
  <si>
    <t>0000002011</t>
  </si>
  <si>
    <t xml:space="preserve">10180988217         </t>
  </si>
  <si>
    <t>MONTOYA ALVAREZ, RAFAEL YVANOFF</t>
  </si>
  <si>
    <t>0000000052</t>
  </si>
  <si>
    <t>F E001-00000151</t>
  </si>
  <si>
    <t xml:space="preserve">ASESORIA - OPINION DE EXPERTO EN FIDEICOMISO EN OBRA ESTADIO CUNA DE LA LIBERTAD AMERICANA DEL COMPLEJO DEPORTIVO VENEZUELA, AYACUCHO. </t>
  </si>
  <si>
    <t xml:space="preserve">PAGO DE DETRACCION E001-151 </t>
  </si>
  <si>
    <t>0000002067</t>
  </si>
  <si>
    <t>0000002019</t>
  </si>
  <si>
    <t>0000002082</t>
  </si>
  <si>
    <t xml:space="preserve">20510398158         </t>
  </si>
  <si>
    <t>PRIMA AFP S.A.</t>
  </si>
  <si>
    <t>0000001998</t>
  </si>
  <si>
    <t>RPR -0054951743</t>
  </si>
  <si>
    <t>RPR 0054951743</t>
  </si>
  <si>
    <t>PLANILLA PAGO AFP PRIMA</t>
  </si>
  <si>
    <t>08/01 PAGO DE AFP PRIMA  DICIEMBRE 25</t>
  </si>
  <si>
    <t>0000002077</t>
  </si>
  <si>
    <t>0000002114</t>
  </si>
  <si>
    <t>PR 0000000604</t>
  </si>
  <si>
    <t xml:space="preserve">PRESTAMO A CMO // RH LUIS CASTRO </t>
  </si>
  <si>
    <t>30/01 PRESTAMO A CMO: LCASTRO</t>
  </si>
  <si>
    <t>0000002018</t>
  </si>
  <si>
    <t xml:space="preserve">20600373235         </t>
  </si>
  <si>
    <t xml:space="preserve">EDIFICIO EMPRESARIAL OMEGA </t>
  </si>
  <si>
    <t>0000002032</t>
  </si>
  <si>
    <t>DP 0000002899</t>
  </si>
  <si>
    <t>MANTENIMIENTO EDIFICIO OMEGA 1303 - RM083-2899 PERIODO DICIEMBRE 2025</t>
  </si>
  <si>
    <t xml:space="preserve">10404924376         </t>
  </si>
  <si>
    <t>SILVA AEDO, CHRISTIAN ALEXIS</t>
  </si>
  <si>
    <t>0000002030</t>
  </si>
  <si>
    <t>F E001-00000043</t>
  </si>
  <si>
    <t xml:space="preserve">PRODUCCION DE VIDEO CORPORATIVO POR FIESTAS DE FIN DE AÑO 2025 </t>
  </si>
  <si>
    <t>0000002010</t>
  </si>
  <si>
    <t xml:space="preserve">20331898008         </t>
  </si>
  <si>
    <t>LUZ DEL SUR S.A.A.</t>
  </si>
  <si>
    <t>0000002008</t>
  </si>
  <si>
    <t>RS S130-0000193688</t>
  </si>
  <si>
    <t xml:space="preserve">SERVICIO DE LUZ OFICINA MES DE DICIEMBRE 2025  - N° SUMINISTRO 1632540 </t>
  </si>
  <si>
    <t>19/01 PAGO SERVICO DE LUZ</t>
  </si>
  <si>
    <t>0000002015</t>
  </si>
  <si>
    <t>0000000050</t>
  </si>
  <si>
    <t>F E001-00000148</t>
  </si>
  <si>
    <t xml:space="preserve">ASESORIA EN FIDEICOMISO EN OBRA ESTADIO CUNA DE LA LIBERTAD AMERICANA DEL COMPLEJO DEPORTIVO VENEZUELA, AYACUCHO. </t>
  </si>
  <si>
    <t>PAGO DE DETRACCION MONTORA E001-148</t>
  </si>
  <si>
    <t>0000000048</t>
  </si>
  <si>
    <t>F E001-00000149</t>
  </si>
  <si>
    <t>PAGO DE DETRACCION E001-149</t>
  </si>
  <si>
    <t>DP 0000002900</t>
  </si>
  <si>
    <t>MANTENIMIENTO EDIFICIO OMEGA 1303 - RM083-2900 PERIODO DICIEMBRE 2025</t>
  </si>
  <si>
    <t xml:space="preserve">10088768197         </t>
  </si>
  <si>
    <t>BALAREZO ELIAS DE TIRADO, ANA GABRIELA</t>
  </si>
  <si>
    <t>0000002004</t>
  </si>
  <si>
    <t>R 0000000001</t>
  </si>
  <si>
    <t xml:space="preserve">CAJA CHICA - INTEGRAL // SEGUN CORREO  19.09.24  </t>
  </si>
  <si>
    <t xml:space="preserve">19/01 REEMBOLSO CAJA CHICA </t>
  </si>
  <si>
    <t xml:space="preserve">20613963058         </t>
  </si>
  <si>
    <t>NOVATECH J &amp; M SERVICIOS GENERALES S.R.L.</t>
  </si>
  <si>
    <t>0000002048</t>
  </si>
  <si>
    <t>AP 0000000260</t>
  </si>
  <si>
    <t>ADELANTO E001-140 - E001-141</t>
  </si>
  <si>
    <t xml:space="preserve">10422397596         </t>
  </si>
  <si>
    <t xml:space="preserve">TALLEDO GILVONIO MANUEL OMAR </t>
  </si>
  <si>
    <t>0000002000</t>
  </si>
  <si>
    <t>F E001-00000020</t>
  </si>
  <si>
    <t xml:space="preserve">MANEJO DE REDES SOCIALES NOVIEMBRE_DICIEMBRE 2025 </t>
  </si>
  <si>
    <t xml:space="preserve">09/01 PAGO PROV OMAR TALLEDO </t>
  </si>
  <si>
    <t>0000002028</t>
  </si>
  <si>
    <t>F E001-00000021</t>
  </si>
  <si>
    <t xml:space="preserve">MANEJO DE REDES SOCIALES DICIEMBRE 2025_ENERO 2026.  </t>
  </si>
  <si>
    <t>0000001994</t>
  </si>
  <si>
    <t>05/01 REEMBOLSO DE CAJA CHICA IC</t>
  </si>
  <si>
    <t>0000002146</t>
  </si>
  <si>
    <t xml:space="preserve">30/01 REEMBOLSO DE CAJA CHICA </t>
  </si>
  <si>
    <t>0000002085</t>
  </si>
  <si>
    <t>PR 0000000597</t>
  </si>
  <si>
    <t>PRESTAMO A GG - IR GG</t>
  </si>
  <si>
    <t>0000002017</t>
  </si>
  <si>
    <t>0000002045</t>
  </si>
  <si>
    <t>F F027-01053590</t>
  </si>
  <si>
    <t>SEGURO EPS // A/COB 9985024 // DOC R-4344399 // VIGENCIA 01/01/2026 AL 31/01/2026.</t>
  </si>
  <si>
    <t xml:space="preserve">20467534026         </t>
  </si>
  <si>
    <t>AMERICA MOVIL PERU S.A.C</t>
  </si>
  <si>
    <t>0000000189</t>
  </si>
  <si>
    <t>AP 0000000256</t>
  </si>
  <si>
    <t>INTERNET CLARO F015-00343284</t>
  </si>
  <si>
    <t xml:space="preserve">PAGO DE SERVICIO: CLARO </t>
  </si>
  <si>
    <t xml:space="preserve">20101266819         </t>
  </si>
  <si>
    <t>CAMARA DE COMERCIO DE LIMA</t>
  </si>
  <si>
    <t>0000002035</t>
  </si>
  <si>
    <t>F F038-00202772</t>
  </si>
  <si>
    <t xml:space="preserve">CUOTA COMITE CONSTRUCCION E INGENIERIA CAT. GOLD MOD. ANUAL DIC.2025 A NOV.2026  </t>
  </si>
  <si>
    <t>0000002006</t>
  </si>
  <si>
    <t>RS S130-0000193670</t>
  </si>
  <si>
    <t xml:space="preserve">SERVICIO DE LUZ OFICINA MES DE DICIEMBRE 2025  - N° SUMINISTRO 1632521 OF 1303 </t>
  </si>
  <si>
    <t>0000000041</t>
  </si>
  <si>
    <t xml:space="preserve">PAGO DE DETRACCION GALVEZ E001-8338 </t>
  </si>
  <si>
    <t>0000000043</t>
  </si>
  <si>
    <t>F E001-00008461</t>
  </si>
  <si>
    <t xml:space="preserve">ASESORIA TRIBUTARIA Y COORPORATIVA - MES DE ENERO </t>
  </si>
  <si>
    <t>PAGO DE DETRACCION GALVEZ E001-8461</t>
  </si>
  <si>
    <t>0000001782</t>
  </si>
  <si>
    <t>PR 0000000593</t>
  </si>
  <si>
    <t xml:space="preserve">PRESTAMO A CMO //  S10 </t>
  </si>
  <si>
    <t xml:space="preserve">PAGO A S10 </t>
  </si>
  <si>
    <t xml:space="preserve">20142829551         </t>
  </si>
  <si>
    <t>PROFUTURO AFP S.A.</t>
  </si>
  <si>
    <t>0000001999</t>
  </si>
  <si>
    <t>RPR -0054951735</t>
  </si>
  <si>
    <t>RPR 0054951735</t>
  </si>
  <si>
    <t>PLANILLA PAGO AFP PROFUTURO</t>
  </si>
  <si>
    <t>08/01 PAGO DE AFP  PROFUTURO DICIEMBRE 25</t>
  </si>
  <si>
    <t>0000002073</t>
  </si>
  <si>
    <t>0000002076</t>
  </si>
  <si>
    <t xml:space="preserve">20332970411         </t>
  </si>
  <si>
    <t xml:space="preserve">PACIFICO COMPAÑIA DE SEGUROS Y REASEGUROS </t>
  </si>
  <si>
    <t>0000001991</t>
  </si>
  <si>
    <t>02/01/2026</t>
  </si>
  <si>
    <t>F F050-01947725</t>
  </si>
  <si>
    <t>SEGURO VIDA LEY -  VIGENCIA 01/01/2026 AL 31/01/2026.</t>
  </si>
  <si>
    <t>02/01 PAGO DE SEGURO</t>
  </si>
  <si>
    <t>0000002014</t>
  </si>
  <si>
    <t>0000001993</t>
  </si>
  <si>
    <t>PR 0000000587</t>
  </si>
  <si>
    <t xml:space="preserve">PRESTAMO A CMO: ER MM </t>
  </si>
  <si>
    <t xml:space="preserve">05/01 PRESTAMO A CMO </t>
  </si>
  <si>
    <t xml:space="preserve">10701398420         </t>
  </si>
  <si>
    <t>BASTIDAS VALDIVIA, JIMY MARLON</t>
  </si>
  <si>
    <t>0000002002</t>
  </si>
  <si>
    <t>ER 0000000217</t>
  </si>
  <si>
    <t xml:space="preserve">ENTREGA A RENDIR - VIAJE A CANTA </t>
  </si>
  <si>
    <t xml:space="preserve">09/01 ER JIMMY BASTIDAS </t>
  </si>
  <si>
    <t xml:space="preserve">20255390288         </t>
  </si>
  <si>
    <t>SISTEMA 10 S.A.C.</t>
  </si>
  <si>
    <t>AP 0000000259</t>
  </si>
  <si>
    <t xml:space="preserve">PAGO A S10 SEGUN EECC    FT 39091 </t>
  </si>
  <si>
    <t xml:space="preserve">20605523057         </t>
  </si>
  <si>
    <t>MACANUDO PERU S.A.C.</t>
  </si>
  <si>
    <t>0000000046</t>
  </si>
  <si>
    <t>F E001-00000489</t>
  </si>
  <si>
    <t xml:space="preserve">ATENCION AL EVENTO DE FIN DE AÑO - CONTRATACION DE ANFITRIONAS </t>
  </si>
  <si>
    <t xml:space="preserve">PAGO DE DETRACCION E001-489 </t>
  </si>
  <si>
    <t>0000002105</t>
  </si>
  <si>
    <t>PR 0000000601</t>
  </si>
  <si>
    <t xml:space="preserve">PRESTAMO A GG LUMINARIAS </t>
  </si>
  <si>
    <t xml:space="preserve">20/01  PRESTAMO A GG - LUMINARIAS </t>
  </si>
  <si>
    <t xml:space="preserve">10000620471         </t>
  </si>
  <si>
    <t>VELASQUEZ URREGO, JUAN CARLOS</t>
  </si>
  <si>
    <t>0000002051</t>
  </si>
  <si>
    <t>30/01 REEMBOLSO A COLABORADORES</t>
  </si>
  <si>
    <t>AP 0000000240</t>
  </si>
  <si>
    <t>ADELANTO POR SERVICIO ENERO 2026</t>
  </si>
  <si>
    <t xml:space="preserve">20418896915         </t>
  </si>
  <si>
    <t>MAPFRE PERU COMPAÑIA DE SEGUROS Y REASEGUROS</t>
  </si>
  <si>
    <t>0000002039</t>
  </si>
  <si>
    <t>F F050-00749220</t>
  </si>
  <si>
    <t xml:space="preserve">SEGURO SCTR PENSIONES VALIDO DE 01/01/2026 AL 31/01/2026 - CT CANCELACION RECIBO 167389355 </t>
  </si>
  <si>
    <t>0000002065</t>
  </si>
  <si>
    <t>0000000039</t>
  </si>
  <si>
    <t>F E001-00000018</t>
  </si>
  <si>
    <t xml:space="preserve">ADMINISTRACION DE REDES SOCIALES - SEPTIEMBRE - OCTUBRE 2025  + DISEÑO DE BROCHURE CORPORATIVO </t>
  </si>
  <si>
    <t>PAGO DE DETRACCION TALLEDO E001-18</t>
  </si>
  <si>
    <t>0000002118</t>
  </si>
  <si>
    <t xml:space="preserve">26/01 COMISIONES BANCARIAS DE ENERO </t>
  </si>
  <si>
    <t>0000002027</t>
  </si>
  <si>
    <t>PR 0000000599</t>
  </si>
  <si>
    <t>PRESTAMO A GG - LUMINARIAS</t>
  </si>
  <si>
    <t xml:space="preserve">20/01 PRESTAMO A GG - LUMINARIAS </t>
  </si>
  <si>
    <t>0000002066</t>
  </si>
  <si>
    <t>0000002069</t>
  </si>
  <si>
    <t xml:space="preserve">20107167481         </t>
  </si>
  <si>
    <t>FOTO PLUS S.R.L.</t>
  </si>
  <si>
    <t>0000002050</t>
  </si>
  <si>
    <t>AP 0000000262</t>
  </si>
  <si>
    <t>ADELANTO A PROVEEDOR SEGUN EECC</t>
  </si>
  <si>
    <t>0000002041</t>
  </si>
  <si>
    <t>ND FD12-00200362</t>
  </si>
  <si>
    <t>SEGURO PACIFICO EPS- SALUD// POLIZA: 128583 // VIG 01/11/2025 AL 30/11/2025  REF: F027-01035425  DEL 07.11.25</t>
  </si>
  <si>
    <t>0000001987</t>
  </si>
  <si>
    <t>0000000037</t>
  </si>
  <si>
    <t>F E001-00000017</t>
  </si>
  <si>
    <t xml:space="preserve">ADMINISTRACION DE REDES SOCIALES - AGOSTO - SEPTIEMBRE 2025   </t>
  </si>
  <si>
    <t xml:space="preserve">PAGO DE DETRACCION TALLEDO E001-17 </t>
  </si>
  <si>
    <t>0000000035</t>
  </si>
  <si>
    <t>F E001-00000019</t>
  </si>
  <si>
    <t xml:space="preserve">MANEJO DE REDES SOCIALES OCTUBRE_NOVIEMBRE 2025 </t>
  </si>
  <si>
    <t>PAGO DE DETRACCION TALLEDO E001-19</t>
  </si>
  <si>
    <t xml:space="preserve">20600964608         </t>
  </si>
  <si>
    <t>SERVICIOS GENERALES DE CONSTRUCCION C &amp; C S.A.C.</t>
  </si>
  <si>
    <t>0000000054</t>
  </si>
  <si>
    <t>F E001-00000281</t>
  </si>
  <si>
    <t xml:space="preserve">SERVICIO DE MANTENIMIENTO DE BAÑO, CAMBIO DE ASIENTOS DE INODORO, CAMBIO DE REPUESTO DE FLUXOMETRO Y SERVICIO DE PINTADO. _x000D_
</t>
  </si>
  <si>
    <t>PAGO DE DETRACCION E001-281</t>
  </si>
  <si>
    <t xml:space="preserve">20257094465         </t>
  </si>
  <si>
    <t>AGENCIA DE ADUANA MACROMAR S.A.</t>
  </si>
  <si>
    <t>0000002104</t>
  </si>
  <si>
    <t>AP 0000000264</t>
  </si>
  <si>
    <t xml:space="preserve">ADELANTO - MACROMAR AGENCIA DE ADUANAS - IMPORTACION DE ESCULTURA </t>
  </si>
  <si>
    <t xml:space="preserve">02/01 ADELANTO  POR TRANSPORTE DE ESCULTURA </t>
  </si>
  <si>
    <t>0000002053</t>
  </si>
  <si>
    <t xml:space="preserve">20605246240         </t>
  </si>
  <si>
    <t>NEXUS CARGO S.A.C.</t>
  </si>
  <si>
    <t>0000002033</t>
  </si>
  <si>
    <t>F E001-00002340</t>
  </si>
  <si>
    <t>SERVICIO DE TRASLADO DE CUADRO EN VAN EL 29 DE ENERO 2026-DESDE OFICINA MANUEL OLGUIN HACIA CERROS DE CAMACHO.</t>
  </si>
  <si>
    <t>0000002068</t>
  </si>
  <si>
    <t>0000002089</t>
  </si>
  <si>
    <t>DP 0000000889</t>
  </si>
  <si>
    <t xml:space="preserve">ITF + COMISION ENERO SOLES </t>
  </si>
  <si>
    <t xml:space="preserve">30/01 GASTOS BANCARIOS - ITF </t>
  </si>
  <si>
    <t xml:space="preserve">20609325543         </t>
  </si>
  <si>
    <t>VPX CLUB 108 S.A.C.</t>
  </si>
  <si>
    <t>0000000056</t>
  </si>
  <si>
    <t>F FCL1-00001839</t>
  </si>
  <si>
    <t xml:space="preserve">GASTOS DIVERSOS - EVENTO DE FIN DE AÑO 2025 (18% ATENCION AL PERSONAL Y 82% PUBLICIDAD) </t>
  </si>
  <si>
    <t>PAGO DE DETRACCION FCL1-1839</t>
  </si>
  <si>
    <t>0000002037</t>
  </si>
  <si>
    <t>F F091-00103013</t>
  </si>
  <si>
    <t>SEGURO FOLA // DOC AC 93826460 // POLIZA 21474364 // VIGENCIA 01/01/2026 AL 31/01/2026.</t>
  </si>
  <si>
    <t>0000000033</t>
  </si>
  <si>
    <t>F E001-00000282</t>
  </si>
  <si>
    <t xml:space="preserve">CAMBIO DE REPUESTO DE MANIJA, VASTAGO Y EMBOLO DE FLUXOMETRO DE BAÑO DE VARONES. </t>
  </si>
  <si>
    <t xml:space="preserve">PAGO DE DETRACCIONES </t>
  </si>
  <si>
    <t>QUINO DUEÑAS, KIMBERLY JHOANA</t>
  </si>
  <si>
    <t>0000002055</t>
  </si>
  <si>
    <t>VILLEGAS TINEO, NICOLASA</t>
  </si>
  <si>
    <t>0000002058</t>
  </si>
  <si>
    <t>DP 0000000901</t>
  </si>
  <si>
    <t xml:space="preserve">RECOJO DE LUMINARIAS </t>
  </si>
  <si>
    <t xml:space="preserve">10755406576         </t>
  </si>
  <si>
    <t>VERA OCAS, ALEXANDRA MARIBEL</t>
  </si>
  <si>
    <t>0000002047</t>
  </si>
  <si>
    <t>DP 0000000902</t>
  </si>
  <si>
    <t>MOVILIDAD DESDE OFICINA - NOTARIA (RECOJO DE ESCRITO LEGALIZADO) // NOTARIA - SUNAT (PRESENTACION DE ESCRITO) // OFICINA - NOTARIA TELLO (LEGALIZACION DE LIBROS CONTABLES) // NOTARIA TELLO - MANUEL OLGUIN (RETORNO A LA OFICINA)</t>
  </si>
  <si>
    <t>DP 0000000903</t>
  </si>
  <si>
    <t>MOVILIDAD DESDE OFICINA - BBVA SANTA CRUZ MIRAFLORES (DOCUMENTOS ACTUALIZADOS) // SANTA CRUZ 695 - SANTA CRUZ 381 (COPIA DE TESTIMONIO - ESCRITURA PUBLICA) // SANTA CRUZ MIRAFLORES - OFICINA SURCO (RETORNO A LA OFICINA)</t>
  </si>
  <si>
    <t>DP 0000000904</t>
  </si>
  <si>
    <t>MOVILIDAD DESDE OFICINA OLGUIN - LAS AZUCENAS SURCO (DOCUMENTACION DE INTEGRAL EN ALMACEN) // LAS AZUCENAS SURCO - OFICINA SURCO (RETORNO A LA OFICINA CON DOCUMENTOS DE INTEGRAL).</t>
  </si>
  <si>
    <t>DP 0000000905</t>
  </si>
  <si>
    <t xml:space="preserve">MOVILIDAD DESDE OFICINA SURCO - SUNAT SAN ISIDRO (PRESENTACION DE DOCUMENTOS SUNAT) // SUNAT SAN ISIDRO - OFICINA SURCO (RETORNO A LA OFICINA) </t>
  </si>
  <si>
    <t>DP 0000000906</t>
  </si>
  <si>
    <t>MOVILIDAD DESDE SURCO - AV. EL DERBY (ENTREGA DE DOCUMENTOS EN EL DERBY) // SURCO - OFICINA (IMPRESIONES OFICINAS MANUEL OLGUIN) // EL DERBY - NOTARIA PEREZ TELLO (LEGALIZACION DE FIRMA) // NOTARIA PEREZ TELLO - OFICINA SURCO (RETORNO A LA OFICINA)</t>
  </si>
  <si>
    <t>DP 0000000907</t>
  </si>
  <si>
    <t>MOVILIDAD DESDE OFICINA SURCO - SAN ISIDRO (FIRMAR FORMULARIOS CON EL DR. RAMIREZ) // SAN ISIDRO (LLEVAR FORMULARIOS A CRBC) // SAN ISIDRO - OFICINA SURCO (RETORNO A LA OFICINA)</t>
  </si>
  <si>
    <t>DP 0000000908</t>
  </si>
  <si>
    <t>MOVILIDAD DESDE OFICINA SURCO - BBVA SANTA CRUZ MIRAFLORES (RECOGER DOCUMENTACION) // SANTA CRUZ 695 - SANTA CRUZ 381 (IMPRIMIR Y ESCANEAR) // BBVA SANTA CRUZ - OFICINA SURCO (RETORNO A LA OFICINA).</t>
  </si>
  <si>
    <t>DP 0000000909</t>
  </si>
  <si>
    <t>MOVILIDAD DESDE OFICINA SURCO - LINCE (FIRMAR NUEVOS FORMATOS CON EL DR.RAMIREZ) // SAN ISIDRO (ENTREGAR NUEVOS FORMATOS A CRBC) // SAN ISIDRO - OFICINA SURCO (RETORNO A OFICINA)</t>
  </si>
  <si>
    <t>DP 0000000910</t>
  </si>
  <si>
    <t>MOVILIDAD DESDE OFICINA SURCO OLGUIN - LAS AZUCENAS SURCO (DOCUMENTACION DE INTEGRAL EN ALMACEN) // LAS AZUCENAS SURCO - OFICINA SURCO (RETORNO A OFICINA CON DOCUMENTACION DE INTEGRAL).</t>
  </si>
  <si>
    <t>DP 0000000911</t>
  </si>
  <si>
    <t>MOVILIDAD DESDE OFICINA SURCO - SUNAT SAN ISIDRO JUAN DE ARONA 887 (ENTREGA DE USB EN SUNAT PARA COMPLEMENTAR DOCUMENTACION ENTREGADA) // SUNAT SAN ISIDRO - OFICINA SURCO (RETORNO A LA OFICINA)</t>
  </si>
  <si>
    <t>DP 0000000912</t>
  </si>
  <si>
    <t>MOVILIDAD DESDE OFICINA OLGUIN - AV. EL DERBY (RECOGIENDO DOCUMENTACION) // AV. EL DERBY - OLGUIN (ESCANEO DE DOCUMENTACION) // OFICINA SURCO - NOTARIA PEREZ TELLO (LEGALIZACION DE FIRMA) // NOTARIA PEREZ TELLO - OFICINA SURCO (RETORNO A OFICINA)</t>
  </si>
  <si>
    <t>DP 0000000913</t>
  </si>
  <si>
    <t>MOVILIDAD DESDE OFICINA DE SURCO - SAN ISIDRO (FIRMAR FORMULARIOS CON EL DR. RAMIREZ ) // SAN ISIDRO (LLEVAR FORMULARIOS A CRBC) // SAN ISIDRO - OFICINA SURCO (RETORNO A LA OFICINA)</t>
  </si>
  <si>
    <t>DP 0000000914</t>
  </si>
  <si>
    <t>MOVILIDAD DESDE OFICINA OLGUIN - LAS AZUCENAS SURCO (LLEVANDO DOCUMENTACION DE INTEGRAL A ALMACEN) // LAS AZUCENAS - OFICINA OLGUIN (RETORNO A OFICINA)</t>
  </si>
  <si>
    <t>VILLEGAS TINEO, DANIEL</t>
  </si>
  <si>
    <t>0000002057</t>
  </si>
  <si>
    <t>DP 0000000900</t>
  </si>
  <si>
    <t xml:space="preserve">COMISION ENCARGO CASA GG * TRAMITES </t>
  </si>
  <si>
    <t>DP 0000000915</t>
  </si>
  <si>
    <t>MOVILIDAD DESDE OLGUIN - AV. EL DERBY (RECOGIENDO DOCUMENTACION DEL DERBY) // AV. EL DERBY - OFICINA OLGUIN (RETORNO A LA OFICINA PARA ESCANEAR DOCUMENTACION)</t>
  </si>
  <si>
    <t>0000000224</t>
  </si>
  <si>
    <t>31/01/2026</t>
  </si>
  <si>
    <t>0000000492</t>
  </si>
  <si>
    <t>F FB26-26160450</t>
  </si>
  <si>
    <t>COMISIONES 001104860100203867 COMISIONES DE MANTENIMIENTO/000005128 // COMISIONES 001104860100203867 ENVIO DE EXTRACTO DE MOVIMIENTO/000005129</t>
  </si>
  <si>
    <t>27/02 COMISIONES BANCARIAS FEBRERO 2026</t>
  </si>
  <si>
    <t>0000000494</t>
  </si>
  <si>
    <t>0000000478</t>
  </si>
  <si>
    <t>10/02/2026</t>
  </si>
  <si>
    <t>F FB25-25926161</t>
  </si>
  <si>
    <t>COMISIONES 001104860100203867 COMSIONES TRASPADO O/P 000004996</t>
  </si>
  <si>
    <t>10/02 COMISIONES BANCARIAS FEBRERO 2026</t>
  </si>
  <si>
    <t>0000000452</t>
  </si>
  <si>
    <t>F FC04-04824130</t>
  </si>
  <si>
    <t>COMISIONES 001104860100203867 POR USO DE CANAL/000000002</t>
  </si>
  <si>
    <t>03/02 COMISIONES BANCARIAS FEBRERO 2026</t>
  </si>
  <si>
    <t>0000000619</t>
  </si>
  <si>
    <t>F FB26-26160451</t>
  </si>
  <si>
    <t>COMISIONES 001104860100203875 COMISION DE MANTENIMIENTO/000000751 // COMISIONES 001104860100203875 ENVIO DE EXTRACTO DE MOVIMIENTO/000000752.</t>
  </si>
  <si>
    <t>COMISIONES BANCARIAS FEBERO</t>
  </si>
  <si>
    <t>0000000617</t>
  </si>
  <si>
    <t>0000000482</t>
  </si>
  <si>
    <t>23/02/2026</t>
  </si>
  <si>
    <t>F FF18-18833454</t>
  </si>
  <si>
    <t>COMISIONES 00219113140399000050 EMISION TRANSF. CCE 0002520020/0011-0486-0100203867 // COMISIONES 00219113140399000050 EMISION TRANSF. CCE 0002520021/0011-0486-0100203867 // COMISIONES 00219100248967008054 EMISION TRANSF. CCE 0002520022/0011-0486-0100203867</t>
  </si>
  <si>
    <t>23/02 COMISIONES BANCARIAS FEBRERO 2026</t>
  </si>
  <si>
    <t>0000000484</t>
  </si>
  <si>
    <t>COMISIONES BANCARIAS FEBRERO 2026</t>
  </si>
  <si>
    <t>0000000486</t>
  </si>
  <si>
    <t>0000000480</t>
  </si>
  <si>
    <t>12/02/2026</t>
  </si>
  <si>
    <t>F FF18-18705855</t>
  </si>
  <si>
    <t>COMISIONES 00219113140399000050 EMISION TRANSFERENCIA CCE 0002290031/0011-0486-0100203867</t>
  </si>
  <si>
    <t>12/02 COMISIONES BANCARIAS FEBRERO 2026</t>
  </si>
  <si>
    <t>0000000470</t>
  </si>
  <si>
    <t>F FF18-18635897</t>
  </si>
  <si>
    <t>COMISIONES 00219113765373207158 EMISION TRANSFERENCIA CCE 0002168286/0011-0486-0100203867_x000D_
COMISIONES 00221510413836005727 TRANSFERENCIA BANCARIAS AL BCR 00002168287/011-0486-0100203867_x000D_
COMISIONES 00221510413836005727 TRANSFERNCIAS BANCARIAS AL BCR 00002168287/0011-0486-0100203867_x000D_
COMISIONES 00219113515728000253 EMISION TRANSFERENCIA CCE 00021628285/0011-0486-0100203867</t>
  </si>
  <si>
    <t>06/02 COMISIONES BANCARIAS FEBRERO 2026</t>
  </si>
  <si>
    <t>0000000472</t>
  </si>
  <si>
    <t>0000000474</t>
  </si>
  <si>
    <t>22/02/2026</t>
  </si>
  <si>
    <t>22/02 COMISIONES BANCARIAS FEBRERO 2026</t>
  </si>
  <si>
    <t>0000000476</t>
  </si>
  <si>
    <t>F FF18-18676228</t>
  </si>
  <si>
    <t>COMISIONES 0021930025651204914 EMISION TRANSFERENCIA CCE 0002232411/0011-0486-01002038</t>
  </si>
  <si>
    <t>0000000615</t>
  </si>
  <si>
    <t>F FF18-18656462</t>
  </si>
  <si>
    <t>COMISIONES 00219400149081716596 EMISION TRASNFERENCIA CCE 0002195482/0011-0486-0100203875</t>
  </si>
  <si>
    <t>0000000611</t>
  </si>
  <si>
    <t>F FF18-18635898</t>
  </si>
  <si>
    <t>COMISIONES 00219400261187811490 EMISION TRANSFERENCIA CCE 0002168284 / 0011-0486-0100203875</t>
  </si>
  <si>
    <t>0000000496</t>
  </si>
  <si>
    <t>F FF18-18781517</t>
  </si>
  <si>
    <t>COMISIONES 00312600300413978901 EMISION TRANSFERENCIA CCE 0002433530/0011-0486-0100203867_x000D_
COMISIONES 00219310394364109216 EMISOIN TRANSFERENCIA CCE 0002433033/0011-0486-0100203867</t>
  </si>
  <si>
    <t>18/02 COMISIONES BANCARIAS FEBRERO 2026</t>
  </si>
  <si>
    <t>0000000498</t>
  </si>
  <si>
    <t>0000000490</t>
  </si>
  <si>
    <t>F FF18-18853163</t>
  </si>
  <si>
    <t>COMISIONES 00312600300413978901 TRANSF. INMEDIATA 0369956/0011-0486-0100203867 // COMISIONES 00219300225129808216 EMISION TRANSF. CCE 0002541394/0011-0486-0100203867</t>
  </si>
  <si>
    <t>24/02 COMISIONES BANCARIAS FEBRERO 2026</t>
  </si>
  <si>
    <t>0000000488</t>
  </si>
  <si>
    <t>0000000500</t>
  </si>
  <si>
    <t>AP 0000000265</t>
  </si>
  <si>
    <t>COMISIONES BANCARIAS FEBRERO  SOLES  FF18-18886643</t>
  </si>
  <si>
    <t>26/02 COMISIONES BANCARIAS FEBRERO 2026</t>
  </si>
  <si>
    <t>0000000502</t>
  </si>
  <si>
    <t>0000000503</t>
  </si>
  <si>
    <t>0000000501</t>
  </si>
  <si>
    <t>0000000454</t>
  </si>
  <si>
    <t>05/02/2026</t>
  </si>
  <si>
    <t>F FR05-05112642</t>
  </si>
  <si>
    <t>COMISIONES PAGO DE SERVICIOS 20612061760 SUNAT DETRACCIONES/0011-0486-0100203867/000004955 // COMISIONES PAGO DE SERVICIOS 20612061760 SUNAT DETRACCIONES/0011-0486-0100203867/000004958 // COMISIONES PAGO DE SERVICIOS 20612061760 SUNAT DETRACCIONES/0011-0486-0100203867/000004961 // COMISIONES PAGO DE SERVICIOS 20612061760 SUNAT DETRACCIONES/0011-0486-0100203867/000004964 // COMISIONES PAGO DE SERVICIOS 20612061760 SUNAT DETRACCIONES/0011-0486-0100203867/000004966 // COMISIONES PAGO DE SERVICIOS 20612061760 SUNAT DETRACCIONES/0011-0486-0100203867/000004968 // COMISIONES PAGO DE SERVICIOS 20612061760 SUNAT DETRACCIONES/0011-0486-0100203867/000004970 // COMISIONES PAGO DE SERVICIOS 20612061760 SUNAT DETRACCIONES/0011-0486-0100203867/000004972.</t>
  </si>
  <si>
    <t>05/02 COMISIONES BANCARIAS FEBRERO 2026</t>
  </si>
  <si>
    <t>0000000456</t>
  </si>
  <si>
    <t>0000000458</t>
  </si>
  <si>
    <t>0000000460</t>
  </si>
  <si>
    <t>0000000462</t>
  </si>
  <si>
    <t>0000000464</t>
  </si>
  <si>
    <t>0000000466</t>
  </si>
  <si>
    <t>0000000468</t>
  </si>
  <si>
    <t>0000000621</t>
  </si>
  <si>
    <t>DP 0000000988</t>
  </si>
  <si>
    <t>ITF + COMISION FEBRERO DOLARES</t>
  </si>
  <si>
    <t>ITF FEBERO</t>
  </si>
  <si>
    <t xml:space="preserve">844976576           </t>
  </si>
  <si>
    <t>CONEXIG, LLC</t>
  </si>
  <si>
    <t>0000000622</t>
  </si>
  <si>
    <t>CN 2101-0000000260</t>
  </si>
  <si>
    <t xml:space="preserve">SERVICIO TECNICA - PROYECTO SAN MIGUEL : AMPLIACION Y MEJORAMIENTO DE LOS SISTEMAS DE AGUA POTABLE </t>
  </si>
  <si>
    <t>06/02 PAGO A PROVEEDOR NO DOMICILIADO CONEXIIG</t>
  </si>
  <si>
    <t>0000000624</t>
  </si>
  <si>
    <t>PR 0000000640</t>
  </si>
  <si>
    <t>PRESTAMO A CMO // DCC</t>
  </si>
  <si>
    <t>07/02 PRESTAMO A CMO: DCC</t>
  </si>
  <si>
    <t>0000000574</t>
  </si>
  <si>
    <t>PR 0000000633</t>
  </si>
  <si>
    <t xml:space="preserve">PRESTAMO A CMO //  EPS PACIFICO </t>
  </si>
  <si>
    <t>26/02 PRESTAMO A CMO -  PLANILLA</t>
  </si>
  <si>
    <t>0000000526</t>
  </si>
  <si>
    <t>PR 0000000627</t>
  </si>
  <si>
    <t>PRESTAMO A CMO // COMISIÓN DE RENOVACIÓN CF CHC 2DA Y 3ERA FIANZA</t>
  </si>
  <si>
    <t>23/02 DEVOLUCION DE PRESTAMO GG + PR CMO</t>
  </si>
  <si>
    <t>0000000577</t>
  </si>
  <si>
    <t>PR 0000000635</t>
  </si>
  <si>
    <t xml:space="preserve">PRESTAMO A CMO  // HONORARIOS DR RAMIREZ </t>
  </si>
  <si>
    <t>26/02 PRESTAMO A CMO DR RAMIREZ</t>
  </si>
  <si>
    <t>0000000567</t>
  </si>
  <si>
    <t>25/02/2026</t>
  </si>
  <si>
    <t>F F028-01055729</t>
  </si>
  <si>
    <t xml:space="preserve">SEGURO EPS // A/COB 10021595 // DOC R-4375221// VIGENCIA 01/02/2026 AL 28/02/2026 </t>
  </si>
  <si>
    <t xml:space="preserve">25/02 SEGURO PACIFICO EPS </t>
  </si>
  <si>
    <t xml:space="preserve">20603635214         </t>
  </si>
  <si>
    <t>ALESSIA BOOKS S.A.C.</t>
  </si>
  <si>
    <t>0000000529</t>
  </si>
  <si>
    <t>AP 0000000269</t>
  </si>
  <si>
    <t xml:space="preserve">ADELANTO 50% - COMPRA DE TRAJES </t>
  </si>
  <si>
    <t xml:space="preserve">23/02 PAGO A PROVEEDOR </t>
  </si>
  <si>
    <t>0000000555</t>
  </si>
  <si>
    <t>AP 0000000273</t>
  </si>
  <si>
    <t>ADELANTO 50% - COMPRA DE TRAJES   F002-545</t>
  </si>
  <si>
    <t xml:space="preserve">06/02 PAGO A PROVEEDOR TERNOS ALESSIA </t>
  </si>
  <si>
    <t>0000000520</t>
  </si>
  <si>
    <t>PR 0000000623</t>
  </si>
  <si>
    <t>PRESTAMO A CMO // PAGO DE IMPUESTOS</t>
  </si>
  <si>
    <t>18/02 PRESTAMO A CMO: IMPUESTOS</t>
  </si>
  <si>
    <t>0000000543</t>
  </si>
  <si>
    <t>PR 0000000631</t>
  </si>
  <si>
    <t xml:space="preserve">DEV. PRESTAMO DE GG RAFF </t>
  </si>
  <si>
    <t>26/02 DEVOLUCION DE PRESTAMOS GG RAF</t>
  </si>
  <si>
    <t>0000000522</t>
  </si>
  <si>
    <t>0000000575</t>
  </si>
  <si>
    <t>0000000448</t>
  </si>
  <si>
    <t>04/02/2026</t>
  </si>
  <si>
    <t>RPR -0054951780</t>
  </si>
  <si>
    <t>RPR 0054951780</t>
  </si>
  <si>
    <t>04/02 PAGO DE AFP INTEGRA</t>
  </si>
  <si>
    <t>0000000518</t>
  </si>
  <si>
    <t>PR 0000000621</t>
  </si>
  <si>
    <t>PRESTAMO A CMO //  L&amp;H</t>
  </si>
  <si>
    <t xml:space="preserve">10/02 PRESTAMOS A GG </t>
  </si>
  <si>
    <t>0000000530</t>
  </si>
  <si>
    <t>PR 0000000628</t>
  </si>
  <si>
    <t xml:space="preserve">DEV. PRESTAMO DE GG (RY PAGO A LOIC) </t>
  </si>
  <si>
    <t>24/02 PRESTAMO GG</t>
  </si>
  <si>
    <t>0000000447</t>
  </si>
  <si>
    <t>RPR -0054951788</t>
  </si>
  <si>
    <t>RPR 0054951788</t>
  </si>
  <si>
    <t>04/02 PAGO DE AFP HABITAT</t>
  </si>
  <si>
    <t>0000000625</t>
  </si>
  <si>
    <t>F F002-00022646</t>
  </si>
  <si>
    <t xml:space="preserve">SERVICIOS PROFESIONALES DE ASESORIA LEGAL - INFORME </t>
  </si>
  <si>
    <t>06/02 PAGO A PROVEEDOR VINATEA</t>
  </si>
  <si>
    <t>0000000506</t>
  </si>
  <si>
    <t>PR 0000000620</t>
  </si>
  <si>
    <t xml:space="preserve">PRESTAMO A CMO // FIANZA CEA </t>
  </si>
  <si>
    <t>0000000519</t>
  </si>
  <si>
    <t>0000000566</t>
  </si>
  <si>
    <t>PR 0000000630</t>
  </si>
  <si>
    <t>25/02 PRESTAMMO A CMO  EPS</t>
  </si>
  <si>
    <t>0000000449</t>
  </si>
  <si>
    <t>RPR -0054951789</t>
  </si>
  <si>
    <t>RPR 0054951789</t>
  </si>
  <si>
    <t>04/02 PAGO DE AFP PRIMA</t>
  </si>
  <si>
    <t>0000000573</t>
  </si>
  <si>
    <t>0000000565</t>
  </si>
  <si>
    <t>PR 0000000629</t>
  </si>
  <si>
    <t xml:space="preserve">PRESTAMO A CMO //  CERTIFICACION ISO </t>
  </si>
  <si>
    <t>25/02 PRESTAMO A CMO CERTIFICACION ISO + EPS</t>
  </si>
  <si>
    <t>0000000553</t>
  </si>
  <si>
    <t>AP 0000000271</t>
  </si>
  <si>
    <t>PAGO DE FACTURA E001-025 - PAGO COMPLETO</t>
  </si>
  <si>
    <t>06/02 PAGO A PROVEEDOR OMAR TALLEDO</t>
  </si>
  <si>
    <t xml:space="preserve">20506717044         </t>
  </si>
  <si>
    <t>MEMORY KINGS S.A.C.</t>
  </si>
  <si>
    <t>0000000585</t>
  </si>
  <si>
    <t>AP 0000000276</t>
  </si>
  <si>
    <t>PAGO MEMORY POR LAPTOP FI37-30943</t>
  </si>
  <si>
    <t>26/02 COMPRA DE LAPTOP JCM - MEMORY</t>
  </si>
  <si>
    <t>0000000572</t>
  </si>
  <si>
    <t xml:space="preserve">20509669172         </t>
  </si>
  <si>
    <t xml:space="preserve">CHE SERGIOï¿½S ACOSTA SOCIEDAD ANONIMA CERRADA </t>
  </si>
  <si>
    <t>0000000202</t>
  </si>
  <si>
    <t>F E001-00000556</t>
  </si>
  <si>
    <t xml:space="preserve">POR SERVICIO DE PARRILLA EVENTO FIN DE AÑO 2025  </t>
  </si>
  <si>
    <t>0000000511</t>
  </si>
  <si>
    <t>RS S130-0000218220</t>
  </si>
  <si>
    <t xml:space="preserve">SERVICIO DE LUZ OFICINA MES DE ENERO 2026  - N° SUMINISTRO 1632540 </t>
  </si>
  <si>
    <t xml:space="preserve">12/02 PAGO A PROVEEDORES: SERVICIOS </t>
  </si>
  <si>
    <t>0000000521</t>
  </si>
  <si>
    <t>0000000525</t>
  </si>
  <si>
    <t>PR 0000000626</t>
  </si>
  <si>
    <t>PRESTAMO A CMO // ER MM</t>
  </si>
  <si>
    <t>23/02 PR CMO</t>
  </si>
  <si>
    <t>0000000576</t>
  </si>
  <si>
    <t>PR 0000000634</t>
  </si>
  <si>
    <t>PRESTAMO A CMO  // CAJA MM</t>
  </si>
  <si>
    <t>26/02 PRESTAMO A CMO PAGOS VARIOS</t>
  </si>
  <si>
    <t>0000000564</t>
  </si>
  <si>
    <t>PR 0000000638</t>
  </si>
  <si>
    <t xml:space="preserve">PRESTAMO A  VC - PAGO DE IMPUESTO PREDIAL - CARTILLA CMO </t>
  </si>
  <si>
    <t>24/02 PRESTAMO VC - IMPUESTO PREDIAL 1302</t>
  </si>
  <si>
    <t>0000000523</t>
  </si>
  <si>
    <t>PR 0000000624</t>
  </si>
  <si>
    <t xml:space="preserve">DEV. PRESTAMO DE GG (COMPRAS ZARA HOME) </t>
  </si>
  <si>
    <t>23/02 DEVOLUCION DE PRESTAMO GG</t>
  </si>
  <si>
    <t>0000000560</t>
  </si>
  <si>
    <t xml:space="preserve">23/02 REEMBOLSO DE CAJA CHICA </t>
  </si>
  <si>
    <t>0000000536</t>
  </si>
  <si>
    <t>DP 0000002991</t>
  </si>
  <si>
    <t>MANTENIMIENTO EDIFICIO OMEGA 1302 - RM083-2991 PERIODO ENERO</t>
  </si>
  <si>
    <t xml:space="preserve">24/02 ENTREGA A RENDIR + PAGO A PROVEEDORES </t>
  </si>
  <si>
    <t>DP 0000002992</t>
  </si>
  <si>
    <t>MANTENIMIENTO EDIFICIO OMEGA 1303 - RM083-2992 PERIODO ENERO</t>
  </si>
  <si>
    <t>0000000559</t>
  </si>
  <si>
    <t>21/02/2026</t>
  </si>
  <si>
    <t>ER 0000000219</t>
  </si>
  <si>
    <t>ENTREGA A RENDIR - VIAJE CHOTA GJ + ARAMIS</t>
  </si>
  <si>
    <t>21/02 ENTREGA A RENDIR GUILLERMO JONEZ -  VIAJE OBRA</t>
  </si>
  <si>
    <t>0000000547</t>
  </si>
  <si>
    <t>F E001-00000027</t>
  </si>
  <si>
    <t xml:space="preserve">MANEJO DE REDES SOCIALES ENERO-FEBRERO 2026 </t>
  </si>
  <si>
    <t>26/02  PAGO A PROVEEDOR OMAR TALLEDO</t>
  </si>
  <si>
    <t>0000000571</t>
  </si>
  <si>
    <t>0000000208</t>
  </si>
  <si>
    <t>0000000509</t>
  </si>
  <si>
    <t>RS S130-0000218202</t>
  </si>
  <si>
    <t xml:space="preserve">SERVICIO DE LUZ OFICINA MES DE ENERO 2026  - N° SUMINISTRO 1632521 OF 1303   </t>
  </si>
  <si>
    <t>0000000505</t>
  </si>
  <si>
    <t>PR 0000000619</t>
  </si>
  <si>
    <t xml:space="preserve">PRESTAMO A GG -  GRUA </t>
  </si>
  <si>
    <t>09/02 PRESTAMO A GG</t>
  </si>
  <si>
    <t>0000000544</t>
  </si>
  <si>
    <t>PR 0000000632</t>
  </si>
  <si>
    <t xml:space="preserve">DEV. PRESTAMO DE GG RAFF  </t>
  </si>
  <si>
    <t>0000000562</t>
  </si>
  <si>
    <t>F F037-00054184</t>
  </si>
  <si>
    <t xml:space="preserve">CUOTA ANUAL CAT.D FEB.2026 A ENE.2027 (220.80 DESCUENTO) </t>
  </si>
  <si>
    <t xml:space="preserve">24/02 PAGO A PROVEEDORES </t>
  </si>
  <si>
    <t>0000000557</t>
  </si>
  <si>
    <t xml:space="preserve">12/02 REEMBOLSO DE CAJA CHICA </t>
  </si>
  <si>
    <t xml:space="preserve">10102739359         </t>
  </si>
  <si>
    <t>NAUPAY VELASQUEZ CRISANTO</t>
  </si>
  <si>
    <t>0000000554</t>
  </si>
  <si>
    <t>AP 0000000272</t>
  </si>
  <si>
    <t xml:space="preserve">PAGO DE MARQUERIA FT E001-174 - PAGO EN EXCESO </t>
  </si>
  <si>
    <t>06/02 PAGO A PROVEEDOR MARQUERIA</t>
  </si>
  <si>
    <t>0000000450</t>
  </si>
  <si>
    <t>RPR -0054951781</t>
  </si>
  <si>
    <t>RPR 0054951781</t>
  </si>
  <si>
    <t>04/02 PAGO DE AFP  PROFUTURO</t>
  </si>
  <si>
    <t>0000000569</t>
  </si>
  <si>
    <t>F F028-01055730</t>
  </si>
  <si>
    <t xml:space="preserve">SEGURO EPS // A/COB 10021596 // DOC R-4375222 // VIGENCIA 01/02/2026 AL 28/02/2026 </t>
  </si>
  <si>
    <t>0000000382</t>
  </si>
  <si>
    <t>AP 0000000258</t>
  </si>
  <si>
    <t xml:space="preserve">INTERNET CLARO F015-00352288 </t>
  </si>
  <si>
    <t xml:space="preserve">PAGO DE SERVICIO DE CLARO </t>
  </si>
  <si>
    <t xml:space="preserve">20600328922         </t>
  </si>
  <si>
    <t>INVERSIONES &amp; DISTRIBUIDORES L &amp; H PERU S.A.C.</t>
  </si>
  <si>
    <t>0000000527</t>
  </si>
  <si>
    <t>F E001-00001648</t>
  </si>
  <si>
    <t xml:space="preserve">JUEGO DE RECARGA DE TONER PARA FOTOCOPIADORA RICOH IMC 3010 COLORES MAGENTA, CYAN, YELLOW Y BLACK // CILIDRO BLACK IMC3010 // CUCHILLA DE LIMPIEZA BLACK // RODILLO DE CARGA BLACK // RODILLO DE LIMPIEZA BLACK. </t>
  </si>
  <si>
    <t xml:space="preserve">23/02 PAGO A PROVEEDORES </t>
  </si>
  <si>
    <t>0000000648</t>
  </si>
  <si>
    <t>PR 0000000622</t>
  </si>
  <si>
    <t xml:space="preserve">DEV. PRESTAMO DE GG (COMPRA DE VINERA X ENCARGO) </t>
  </si>
  <si>
    <t>18/02 DEV PRESTAMO GG</t>
  </si>
  <si>
    <t>0000000204</t>
  </si>
  <si>
    <t>F E001-00008252</t>
  </si>
  <si>
    <t xml:space="preserve">ASESORIA TRIBUTARIA Y COORPORATIVA NOVIEMBRE 2025. </t>
  </si>
  <si>
    <t>0000000549</t>
  </si>
  <si>
    <t>26/02  PAGO REEMBOLSO JCV</t>
  </si>
  <si>
    <t>0000000513</t>
  </si>
  <si>
    <t>AP 0000000268</t>
  </si>
  <si>
    <t>VIDA LEY FEBRERO 26 - F050-1980806</t>
  </si>
  <si>
    <t>0000000524</t>
  </si>
  <si>
    <t>PR 0000000625</t>
  </si>
  <si>
    <t xml:space="preserve">DEV. PRESTAMO DE GG (RB CM) </t>
  </si>
  <si>
    <t xml:space="preserve">20517182673         </t>
  </si>
  <si>
    <t xml:space="preserve">MAPFRE PERU S.A. ENTIDAD PRESTADORA DE SALUD </t>
  </si>
  <si>
    <t>0000000507</t>
  </si>
  <si>
    <t>AP 0000000266</t>
  </si>
  <si>
    <t xml:space="preserve">SEGUROS MAPFRE  </t>
  </si>
  <si>
    <t>0000000545</t>
  </si>
  <si>
    <t>AP 0000000274</t>
  </si>
  <si>
    <t xml:space="preserve">SEGUROS MAPFRE  F050-616336 </t>
  </si>
  <si>
    <t>26/02  PAGO SEGURO MAPFRE</t>
  </si>
  <si>
    <t>0000000206</t>
  </si>
  <si>
    <t>ROSALES PUENTE, YANIRA ANAIS</t>
  </si>
  <si>
    <t>0000000508</t>
  </si>
  <si>
    <t>AP 0000000267</t>
  </si>
  <si>
    <t>SEGUROS MAPFRE  F050-756021</t>
  </si>
  <si>
    <t>0000000546</t>
  </si>
  <si>
    <t>AP 0000000275</t>
  </si>
  <si>
    <t>SEGUROS MAPFRE F050-00756021</t>
  </si>
  <si>
    <t>26/02 PAGO SEGURO MAPFRE</t>
  </si>
  <si>
    <t>0000000531</t>
  </si>
  <si>
    <t>ER 0000000218</t>
  </si>
  <si>
    <t xml:space="preserve">ENTREGA A RENDIR - VIAJE CANTA CRBC  </t>
  </si>
  <si>
    <t>24/02 ENTREGA A RENDIR</t>
  </si>
  <si>
    <t xml:space="preserve">20131367423         </t>
  </si>
  <si>
    <t>MUNICIPALIDAD SANTIAGO DE SURCO</t>
  </si>
  <si>
    <t>0000000551</t>
  </si>
  <si>
    <t>DP 0000000984</t>
  </si>
  <si>
    <t xml:space="preserve">ARBITRIOS OFICINA 1302 - AÑO  2026 RECIBO N°  2260293621 </t>
  </si>
  <si>
    <t>26/02  PAGO A PROVEEDORES MUNICIPALIDAD</t>
  </si>
  <si>
    <t>0000000552</t>
  </si>
  <si>
    <t>0000000578</t>
  </si>
  <si>
    <t>PR 0000000636</t>
  </si>
  <si>
    <t xml:space="preserve">PRESTAMO A CMO  // ARBITRIOS 1304 </t>
  </si>
  <si>
    <t>0000000579</t>
  </si>
  <si>
    <t>26/02 PRESTAMO A CMO ARBITRIOS</t>
  </si>
  <si>
    <t>0000000199</t>
  </si>
  <si>
    <t>F E001-00000025</t>
  </si>
  <si>
    <t xml:space="preserve">DISEÑO DE CUADROS // FOTOGRAFÍA DE ALTA RESOLUCIÓN IMPRESAS DE PROYECTOS DE IC// GASTOS VARIOS - OFICINA DE IC  </t>
  </si>
  <si>
    <t>0000000210</t>
  </si>
  <si>
    <t xml:space="preserve">20552504641         </t>
  </si>
  <si>
    <t>ON EMPRESAS S.A.C.</t>
  </si>
  <si>
    <t>0000000535</t>
  </si>
  <si>
    <t>AP 0000000270</t>
  </si>
  <si>
    <t xml:space="preserve">SERVICIO FEBRERO RECIBO NRO S006-146649 </t>
  </si>
  <si>
    <t>24/02 PAGO SEGURO FOLA</t>
  </si>
  <si>
    <t>0000000195</t>
  </si>
  <si>
    <t>0000000197</t>
  </si>
  <si>
    <t>0000000613</t>
  </si>
  <si>
    <t>F FN00-00995150</t>
  </si>
  <si>
    <t>COMISIONES 00110486880100203875 EMISION TRANSFERENCIA GASTOS SHA/9578033</t>
  </si>
  <si>
    <t>0000000532</t>
  </si>
  <si>
    <t>PR 0000000637</t>
  </si>
  <si>
    <t xml:space="preserve">PRESTAMO A CMO  //  EPS  </t>
  </si>
  <si>
    <t xml:space="preserve">24/02 PR CMO </t>
  </si>
  <si>
    <t>0000000533</t>
  </si>
  <si>
    <t>F F091-00106571</t>
  </si>
  <si>
    <t xml:space="preserve">SEGURO FOLA // DOC AC 94257101 // POLIZA 21474364 // VIGENCIA 01/02/2026 - 28/02/2026 _x000D_
</t>
  </si>
  <si>
    <t xml:space="preserve">10751450597         </t>
  </si>
  <si>
    <t>AGUILAR MONTENEGRO, MILCA JAEL MARCELA</t>
  </si>
  <si>
    <t>DP 0000000985</t>
  </si>
  <si>
    <t>ABONO EN EXCESO REMUNERACION</t>
  </si>
  <si>
    <t>0000000716</t>
  </si>
  <si>
    <t>DP 0000000986</t>
  </si>
  <si>
    <t>ITF FEBRERO 2026</t>
  </si>
  <si>
    <t>COMISIONES ITF  BANCARIAS FEBRERO 2026</t>
  </si>
  <si>
    <t>F E001-00001649</t>
  </si>
  <si>
    <t xml:space="preserve">SERVICIO TECNICO PARA FOTOCOPIADORA RICOH IMC3010 </t>
  </si>
  <si>
    <t xml:space="preserve">20558146606         </t>
  </si>
  <si>
    <t>L &amp; H CONSTRUCTORES Y CONTRATISTAS GENERALES S.R.L.</t>
  </si>
  <si>
    <t>0000000556</t>
  </si>
  <si>
    <t>DP 0000000987</t>
  </si>
  <si>
    <t xml:space="preserve"> POR EXTORNO   </t>
  </si>
  <si>
    <t>06/02 PAGO A PROVEEDOR EXTORNO POSTERIOR</t>
  </si>
  <si>
    <t>0000000627</t>
  </si>
  <si>
    <t>02/02/2026</t>
  </si>
  <si>
    <t>DP 0000000029</t>
  </si>
  <si>
    <t>ABONO POR DEVOLUCION VINATEA</t>
  </si>
  <si>
    <t>0000000603</t>
  </si>
  <si>
    <t>DP 0000000028</t>
  </si>
  <si>
    <t>ABONO POR EXTORNO DE OPERACION</t>
  </si>
  <si>
    <t>0000000643</t>
  </si>
  <si>
    <t>PR 0000000652</t>
  </si>
  <si>
    <t>PRESTAMO A  CMO - SUNAT</t>
  </si>
  <si>
    <t>11/03 PRESTAMO A CMO: PAGOS SUNAT ITAN MAYO</t>
  </si>
  <si>
    <t>0000000641</t>
  </si>
  <si>
    <t>11/03 PRESTAMO A CMO: PAGOS SUNAT  ITAN ABRIL</t>
  </si>
  <si>
    <t>0000000642</t>
  </si>
  <si>
    <t>11/03 PRESTAMO A CMO: PAGOS SUNAT ITAN MARZO</t>
  </si>
  <si>
    <t>0000000626</t>
  </si>
  <si>
    <t>PR 0000000665</t>
  </si>
  <si>
    <t xml:space="preserve">PRESTAMO A VC (JULIO NAAR) </t>
  </si>
  <si>
    <t>05/03 PRESTAMO A VANINA: NAAR</t>
  </si>
  <si>
    <t>0000000646</t>
  </si>
  <si>
    <t>F F002-00000612</t>
  </si>
  <si>
    <t xml:space="preserve">COMPRA DE 27 TRAJES A MEDIDA // 1 TRAJE SMOKING // 4 CAMISAS A MEDIDA // 6 CORBATAS AREA LEGAL / TECNICA </t>
  </si>
  <si>
    <t xml:space="preserve">13/03 PAGO A PROVEEDORES: ALESSIA </t>
  </si>
  <si>
    <t>0000000659</t>
  </si>
  <si>
    <t>PR 0000000654</t>
  </si>
  <si>
    <t>PRESTAMO A  CMO - PLANILLA</t>
  </si>
  <si>
    <t xml:space="preserve">30/03 PRESTAMO A CMO: PLANILLA MARZO </t>
  </si>
  <si>
    <t xml:space="preserve">20511091803         </t>
  </si>
  <si>
    <t xml:space="preserve">DCC CONSULTORES S.A.C. </t>
  </si>
  <si>
    <t>0000000807</t>
  </si>
  <si>
    <t>18/03/2026</t>
  </si>
  <si>
    <t>F F002-00000580</t>
  </si>
  <si>
    <t xml:space="preserve">ASESORIA LEGAL     </t>
  </si>
  <si>
    <t>18/03 PAGO PROVEEDOR DCC</t>
  </si>
  <si>
    <t>0000000614</t>
  </si>
  <si>
    <t>PR 0000000649</t>
  </si>
  <si>
    <t>PRESTAMO A  CMO - ENTEL</t>
  </si>
  <si>
    <t>05/03 PRESTAMO A CMO: PAGO DE LBS</t>
  </si>
  <si>
    <t>05/03 PRESTAMO A CMO: PAGO DE LBS ETABOADA</t>
  </si>
  <si>
    <t>0000000685</t>
  </si>
  <si>
    <t>PR 0000000656</t>
  </si>
  <si>
    <t>PRESTAMO A  CMO - PROVEEDOR + LBS</t>
  </si>
  <si>
    <t xml:space="preserve">30/03 PRESTAMO A CMO: PROVEEDORES - LBS </t>
  </si>
  <si>
    <t>0000000686</t>
  </si>
  <si>
    <t>05/03 PRESTAMO A CMO: PAGO DE LBS JCV</t>
  </si>
  <si>
    <t>PR 0000000641</t>
  </si>
  <si>
    <t>PRESTAMO A  CMO - RH AD + RH POR SERV ALMACEN</t>
  </si>
  <si>
    <t xml:space="preserve">02/03 PRESTAMO A CMO: HONORARIOS LOCADORES AD </t>
  </si>
  <si>
    <t>PR 0000000647</t>
  </si>
  <si>
    <t>PRESTAMO A  CMO - RH LOCADORES + PROVEEDORES</t>
  </si>
  <si>
    <t>05/03 PAGO A PROVEEDORES - LOCADORES CHIARELLA JCPAOLI</t>
  </si>
  <si>
    <t>0000000606</t>
  </si>
  <si>
    <t>05/03 PAGO A PROVEEDORES - LOCADORES</t>
  </si>
  <si>
    <t>0000000618</t>
  </si>
  <si>
    <t>PR 0000000650</t>
  </si>
  <si>
    <t xml:space="preserve">PRESTAMO A  CMO - ESTUDIO CARO </t>
  </si>
  <si>
    <t>05/03 PRESTAMO A CMO: PAGO A PROVEEDORES JMMONROY</t>
  </si>
  <si>
    <t>0000000672</t>
  </si>
  <si>
    <t>PR 0000000655</t>
  </si>
  <si>
    <t>30/03 PRESTAMO A CMO: PAGOS VARIOS PROVEEDORES  J RAMIREZ</t>
  </si>
  <si>
    <t>0000000681</t>
  </si>
  <si>
    <t>0000000682</t>
  </si>
  <si>
    <t>0000000689</t>
  </si>
  <si>
    <t>F F027-01078897</t>
  </si>
  <si>
    <t xml:space="preserve">SEGURO EPS // A/COB 10052112 // DOC R-4400514 // VIGENCIA 01/03/2026 AL 31/03/2026 </t>
  </si>
  <si>
    <t xml:space="preserve">13/03 PACIFICO EPS </t>
  </si>
  <si>
    <t>0000000604</t>
  </si>
  <si>
    <t xml:space="preserve">05/03 PAGO A PROVEEDORES - LOCADORES SIUCHO </t>
  </si>
  <si>
    <t>0000000680</t>
  </si>
  <si>
    <t>PR 0000000651</t>
  </si>
  <si>
    <t>05/03 PRESTAMO A CMO: PAGOS SUNAT</t>
  </si>
  <si>
    <t>0000000651</t>
  </si>
  <si>
    <t>PR 0000000653</t>
  </si>
  <si>
    <t>18/03 PRESTAMO A CMO: SUNAT IMPUESTOS</t>
  </si>
  <si>
    <t>0000000595</t>
  </si>
  <si>
    <t>PR 0000000642</t>
  </si>
  <si>
    <t>PRESTAMO A  CMO -FIANZA CHC</t>
  </si>
  <si>
    <t xml:space="preserve">04/03 PRESTAMOS A CMO: FIANZA - CONETTA </t>
  </si>
  <si>
    <t>0000000724</t>
  </si>
  <si>
    <t>PR 0000000668</t>
  </si>
  <si>
    <t xml:space="preserve">PRESTAMO A GG - RAF  </t>
  </si>
  <si>
    <t>30/03 PRESTAMO A GG</t>
  </si>
  <si>
    <t xml:space="preserve">20518903960         </t>
  </si>
  <si>
    <t>IMAX INT'L S.A.C.</t>
  </si>
  <si>
    <t>0000000698</t>
  </si>
  <si>
    <t>F FT13-00002584</t>
  </si>
  <si>
    <t xml:space="preserve">13 SILLA PORTER ULTRA NEGRO GIRATORIA // 8 SILLA NILSON C/CAB NEGRO GIRATORIA // 8  SILLA HARVARD MB  GIRATORIA NXT </t>
  </si>
  <si>
    <t>30/03 PAGO A PROVEEDORES: ZIYAS</t>
  </si>
  <si>
    <t>0000000802</t>
  </si>
  <si>
    <t>PR 0000000664</t>
  </si>
  <si>
    <t xml:space="preserve">PRESTAMO A VC -  ASESORIA LEGAL PARA ADJUDICACION DE INMUEBLE </t>
  </si>
  <si>
    <t>12/03 PRESTAMO A VC - ADJUDICACION INMUEBLE</t>
  </si>
  <si>
    <t>0000000660</t>
  </si>
  <si>
    <t>0000000820</t>
  </si>
  <si>
    <t>F E001-00008548</t>
  </si>
  <si>
    <t xml:space="preserve">ASESORIA TRIBUTARIA Y COORPORATIVA - MES DE FEBRERO </t>
  </si>
  <si>
    <t xml:space="preserve">09/03 PAGO A PROVEEDOR GALVEZ </t>
  </si>
  <si>
    <t>0000000794</t>
  </si>
  <si>
    <t xml:space="preserve">02/03 PAGO A PROVEEDORES </t>
  </si>
  <si>
    <t>0000000715</t>
  </si>
  <si>
    <t>RPR -0054951825</t>
  </si>
  <si>
    <t>RPR 0054951825</t>
  </si>
  <si>
    <t>03/03 PAGO DE AFP'S</t>
  </si>
  <si>
    <t>0000000596</t>
  </si>
  <si>
    <t>PR 0000000643</t>
  </si>
  <si>
    <t>PRESTAMO A  CMO - CONETTA</t>
  </si>
  <si>
    <t xml:space="preserve">04/03 PRESTAMOS A CMO: CONETTA </t>
  </si>
  <si>
    <t>05/03 PRESTAMO A CMO: PAGO A PROVEEDORES L&amp;H</t>
  </si>
  <si>
    <t>05/03 PRESTAMO A CMO: PAGO A PROVEEDORES</t>
  </si>
  <si>
    <t>0000000671</t>
  </si>
  <si>
    <t xml:space="preserve">30/03 PRESTAMO A CMO: PAGOS VARIOS PROVEEDORES CONETTA </t>
  </si>
  <si>
    <t>0000000688</t>
  </si>
  <si>
    <t>0000000690</t>
  </si>
  <si>
    <t>0000000781</t>
  </si>
  <si>
    <t>AP 0000000283</t>
  </si>
  <si>
    <t>PAGO SE SERVICIOS ENERO 26 E001-50</t>
  </si>
  <si>
    <t>0000000620</t>
  </si>
  <si>
    <t>05/03 PRESTAMO A CMO: PAGO A PROVEEDORES HUARCCALLO</t>
  </si>
  <si>
    <t>0000000691</t>
  </si>
  <si>
    <t>0000000714</t>
  </si>
  <si>
    <t>RPR -0054951833</t>
  </si>
  <si>
    <t>RPR 0054951833</t>
  </si>
  <si>
    <t xml:space="preserve">20424044203         </t>
  </si>
  <si>
    <t>PERU BELMOND HOTELS S.A.</t>
  </si>
  <si>
    <t>AP 0000000277</t>
  </si>
  <si>
    <t xml:space="preserve">ALQUILER DE SALON DE CONFERENCIA </t>
  </si>
  <si>
    <t xml:space="preserve">04/03 PAGO POR ALQUILER DE SALA DE CONFERENCIAS </t>
  </si>
  <si>
    <t>0000000629</t>
  </si>
  <si>
    <t>09/03 PAGO DE REEMBOLSO POR DIA DE LA MUJER - ALMUERZO</t>
  </si>
  <si>
    <t>09/03 PAGO DE REEMBOLSO POR DIA DE LA MUJER - OBSEQUIOS</t>
  </si>
  <si>
    <t>0000000597</t>
  </si>
  <si>
    <t>PR 0000000645</t>
  </si>
  <si>
    <t>05/03 PRESTAMO A CMO: PAGO DE AFP´S</t>
  </si>
  <si>
    <t>0000000645</t>
  </si>
  <si>
    <t>PR 0000000666</t>
  </si>
  <si>
    <t xml:space="preserve">PRESTAMO A VC (PLANOS) </t>
  </si>
  <si>
    <t>12/03  PRESTAMO A VC</t>
  </si>
  <si>
    <t>0000000602</t>
  </si>
  <si>
    <t>0000000678</t>
  </si>
  <si>
    <t>PR 0000000667</t>
  </si>
  <si>
    <t>PRESTAMO A CMO // ENTEL + CAJA CHICA</t>
  </si>
  <si>
    <t>30/03 PRESTAMO A CMO -  ER MM</t>
  </si>
  <si>
    <t>0000000721</t>
  </si>
  <si>
    <t>PR 0000000644</t>
  </si>
  <si>
    <t>05/03 PRESTAMO A CMO</t>
  </si>
  <si>
    <t>0000000673</t>
  </si>
  <si>
    <t>30/03 PRESTAMO A CMO: PAGOS  LBS ACCORISAPRA</t>
  </si>
  <si>
    <t>0000000687</t>
  </si>
  <si>
    <t>0000000693</t>
  </si>
  <si>
    <t>0000000694</t>
  </si>
  <si>
    <t>0000000623</t>
  </si>
  <si>
    <t xml:space="preserve">05/03 PRESTAMO A CMO: PAGOS SUNAT </t>
  </si>
  <si>
    <t>0000000652</t>
  </si>
  <si>
    <t>0000000669</t>
  </si>
  <si>
    <t xml:space="preserve">30/03 PRESTAMO A CMO: PAGOS  SEGUROS </t>
  </si>
  <si>
    <t>RPR -0054951834</t>
  </si>
  <si>
    <t>RPR 0054951834</t>
  </si>
  <si>
    <t>0000000658</t>
  </si>
  <si>
    <t>0000000695</t>
  </si>
  <si>
    <t>0000000636</t>
  </si>
  <si>
    <t>RS S130-0000242811</t>
  </si>
  <si>
    <t xml:space="preserve">SERVICIO DE LUZ OFICINA MES DE MARZO  - N° SUMINISTRO 1632540 OFICINA 1302 </t>
  </si>
  <si>
    <t>10/03 PAGO DE SERVICIOS PUBLICOS - LUZ DEL SUR</t>
  </si>
  <si>
    <t>0000000803</t>
  </si>
  <si>
    <t xml:space="preserve">09/03 REEMBOLSO POR COMPRA DE PASAJES </t>
  </si>
  <si>
    <t>MONTALVO SALAZAR, MARIA GABRIELA</t>
  </si>
  <si>
    <t>0000000608</t>
  </si>
  <si>
    <t>ER 0000000220</t>
  </si>
  <si>
    <t>ENTREGA A RENDIR A.PAGO DE RECIBO ENTEL S001-303123374</t>
  </si>
  <si>
    <t>05/03 PR CMO PAGO - ER MM CTA ADM</t>
  </si>
  <si>
    <t>ER 0000000222</t>
  </si>
  <si>
    <t xml:space="preserve">ENTREGA A RENDIR A.PAGO DE RECIBO ENTEL </t>
  </si>
  <si>
    <t xml:space="preserve">05/03 PRESTAMO A CMO: PAGO A PROVEEDORES </t>
  </si>
  <si>
    <t>0000000683</t>
  </si>
  <si>
    <t>0000000692</t>
  </si>
  <si>
    <t xml:space="preserve">30/03 PRESTAMO A CMO: PROVEEDORES - LBS  </t>
  </si>
  <si>
    <t>0000000612</t>
  </si>
  <si>
    <t>05/03 PRESTAMO A CMO: PAGO DE LBS  W FIGUEREO</t>
  </si>
  <si>
    <t>0000000610</t>
  </si>
  <si>
    <t>05/03 PRESTAMO A CMO: PAGO DE LBS CACERES</t>
  </si>
  <si>
    <t>0000000684</t>
  </si>
  <si>
    <t>0000000653</t>
  </si>
  <si>
    <t>23/03 REEMBOLSO POR VIAJE A CUZCO JCV</t>
  </si>
  <si>
    <t>0000000657</t>
  </si>
  <si>
    <t>06/03/2026</t>
  </si>
  <si>
    <t>F E001-00000023</t>
  </si>
  <si>
    <t xml:space="preserve">SUMINISTRO E INSTALACION DEL SISTEMA DE COMUNICACIONES ELECTRICAS   </t>
  </si>
  <si>
    <t>PAGO DE DETRACCIONES FEBRERO</t>
  </si>
  <si>
    <t>0000000720</t>
  </si>
  <si>
    <t>DP 0000003082</t>
  </si>
  <si>
    <t>MANTENIMIENTO EDIFICIO OMEGA 1302 - RM03-3082 PERIODO FEBRERO</t>
  </si>
  <si>
    <t>13/03 PAGO A PROVEEDORES: ALESSIA - OMEGA</t>
  </si>
  <si>
    <t>0000000599</t>
  </si>
  <si>
    <t>0000000601</t>
  </si>
  <si>
    <t>0000000676</t>
  </si>
  <si>
    <t xml:space="preserve">30/03 REEMBOLSO DE GASTOS POR COMBUSTIBLE </t>
  </si>
  <si>
    <t>DP 0000003083</t>
  </si>
  <si>
    <t>MANTENIMIENTO EDIFICIO OMEGA 1303 - RM03-3083 PERIODO FEBRERO</t>
  </si>
  <si>
    <t>0000000638</t>
  </si>
  <si>
    <t>RS S130-0000242793</t>
  </si>
  <si>
    <t xml:space="preserve">SERVICIO DE LUZ OFICINA MES DE MARZO 2026  - N° SUMINISTRO 1632521 OF 1303 </t>
  </si>
  <si>
    <t>PR 0000000648</t>
  </si>
  <si>
    <t>0000000697</t>
  </si>
  <si>
    <t>AP 0000000281</t>
  </si>
  <si>
    <t xml:space="preserve">PAGO DE FACTURA E001-031 </t>
  </si>
  <si>
    <t xml:space="preserve">30/03 PAGO A PROVEEDORES: OMAR </t>
  </si>
  <si>
    <t>0000003021</t>
  </si>
  <si>
    <t>30/03 REEMBOLSO DE CAJA CHICA</t>
  </si>
  <si>
    <t>0000000656</t>
  </si>
  <si>
    <t xml:space="preserve">20606504323         </t>
  </si>
  <si>
    <t>GRUPO RECRE8 S.A.C.</t>
  </si>
  <si>
    <t>0000000631</t>
  </si>
  <si>
    <t>F E001-00000459</t>
  </si>
  <si>
    <t xml:space="preserve">TUMBLER OPCION 1 - TOMA TODOS BRANDEADOS GRABADO DE LOGO Y NOMBRE PERSONALIZADO EN LASER </t>
  </si>
  <si>
    <t>09/03 PAGO A PROVEEDOR - LOCADOR</t>
  </si>
  <si>
    <t xml:space="preserve">02/03 PRESTAMO A CMO: HONORARIOS LOCADORES </t>
  </si>
  <si>
    <t>05/03 PRESTAMO A CMO: PAGO DE LBS LBURGA</t>
  </si>
  <si>
    <t>0000000725</t>
  </si>
  <si>
    <t>0000000867</t>
  </si>
  <si>
    <t xml:space="preserve">10/03 REEMBOLSO DE CAJA CHICA </t>
  </si>
  <si>
    <t>0000000865</t>
  </si>
  <si>
    <t>10/03 REEMBOLSO DE CAJA CHICA</t>
  </si>
  <si>
    <t>0000000717</t>
  </si>
  <si>
    <t>RPR -0054951826</t>
  </si>
  <si>
    <t>RPR 0054951826</t>
  </si>
  <si>
    <t xml:space="preserve">03/03 PAGO DE AFP'S </t>
  </si>
  <si>
    <t>0000000493</t>
  </si>
  <si>
    <t>0000000640</t>
  </si>
  <si>
    <t>AP 0000000278</t>
  </si>
  <si>
    <t xml:space="preserve">INTERNET CLARO F015-00359394  </t>
  </si>
  <si>
    <t>0000000811</t>
  </si>
  <si>
    <t>23/03 REEMBOLSO POR COMPRA DE PASAJES AL CUSCO</t>
  </si>
  <si>
    <t>0000000722</t>
  </si>
  <si>
    <t>09/03 PAGO DE REEMBOLSO - ALMUERZO</t>
  </si>
  <si>
    <t>0000000805</t>
  </si>
  <si>
    <t xml:space="preserve">13/03 REEMBOLSO POR COMPRA DE PASAJES </t>
  </si>
  <si>
    <t>05/03 PRESTAMO A CMO: PAGO A PROVEEDORES OF BARRANCO</t>
  </si>
  <si>
    <t>MARTORELLET LUMBRERAS, CAROLA</t>
  </si>
  <si>
    <t>0000000815</t>
  </si>
  <si>
    <t>DP 0000000999</t>
  </si>
  <si>
    <t xml:space="preserve">NO DEDUCIBLE POR GASTOS SIN COMPROBANTE - REGALO CUMPLEAÑOS  CC </t>
  </si>
  <si>
    <t xml:space="preserve">30/03 REEMBOLSO POR ATENCIONES AL PERSONAL </t>
  </si>
  <si>
    <t>0000000663</t>
  </si>
  <si>
    <t>F F050-02014687</t>
  </si>
  <si>
    <t xml:space="preserve">SEGURO VIDA LEY // DOC R-3048936 // POLIZA 132563 // VIGENCIA 01/03/2026 AL 31/03/2026 </t>
  </si>
  <si>
    <t xml:space="preserve">30/03 PAGO DE SEGUROS </t>
  </si>
  <si>
    <t>0000000700</t>
  </si>
  <si>
    <t>AP 0000000282</t>
  </si>
  <si>
    <t xml:space="preserve">SERVICIO DE REPARACION DE FLUXOMETRO, CAMBIO DE REPUESTO Y MANTENIMIENTO  </t>
  </si>
  <si>
    <t>30/03 PAGO A PROVEEDORES: SERVICIOS G</t>
  </si>
  <si>
    <t>0000000863</t>
  </si>
  <si>
    <t>0000000679</t>
  </si>
  <si>
    <t>0000000702</t>
  </si>
  <si>
    <t>RPR -0054951839</t>
  </si>
  <si>
    <t>RPR 0054951839</t>
  </si>
  <si>
    <t>0000000616</t>
  </si>
  <si>
    <t>05/03 PRESTAMO A CMO: RB ESUMARRIVA</t>
  </si>
  <si>
    <t xml:space="preserve">10232729100         </t>
  </si>
  <si>
    <t>CABRERA DIAZ, LILIANA CAROLA</t>
  </si>
  <si>
    <t>DP 0000000998</t>
  </si>
  <si>
    <t>0000000598</t>
  </si>
  <si>
    <t>0000000600</t>
  </si>
  <si>
    <t>0000000667</t>
  </si>
  <si>
    <t>F F050-00629282</t>
  </si>
  <si>
    <t xml:space="preserve">CT CANCELACION RECIBO 170265734. SEGURO DE SCTR SALUD DESDE 01/04/2026 AL 30/04/2026 </t>
  </si>
  <si>
    <t>0000000809</t>
  </si>
  <si>
    <t>30/03 PAGO DE REEMBOLSO PASAJE A CUSCO</t>
  </si>
  <si>
    <t>0000000836</t>
  </si>
  <si>
    <t>AP 0000000284</t>
  </si>
  <si>
    <t xml:space="preserve">PAGO A S10 SEGUN EECC    FT 39640 </t>
  </si>
  <si>
    <t>09/03 PAGO A 10</t>
  </si>
  <si>
    <t xml:space="preserve">20603206658         </t>
  </si>
  <si>
    <t>GRUPO ODESA S.A.C.</t>
  </si>
  <si>
    <t>0000000696</t>
  </si>
  <si>
    <t>AP 0000000280</t>
  </si>
  <si>
    <t xml:space="preserve">ADELANTO ODESA F001-3125 </t>
  </si>
  <si>
    <t>30/03 PAGO A PROVEEDORES: ODESA</t>
  </si>
  <si>
    <t>0000000644</t>
  </si>
  <si>
    <t>ER 0000000221</t>
  </si>
  <si>
    <t>ENTREGA A RENDIR - VIAJE PUCALLPA</t>
  </si>
  <si>
    <t xml:space="preserve">12/03 ER GUILLERMO JONES  </t>
  </si>
  <si>
    <t>0000000665</t>
  </si>
  <si>
    <t>F F050-00774460</t>
  </si>
  <si>
    <t xml:space="preserve">CANCELACION RECIBO 170265843 SEGURO DE SCTR PENSIONES DESDE 01/04/2026 AL 30/04/2026 </t>
  </si>
  <si>
    <t>0000000674</t>
  </si>
  <si>
    <t>0000000491</t>
  </si>
  <si>
    <t>AP 0000000279</t>
  </si>
  <si>
    <t xml:space="preserve">SERVICIO MARZO </t>
  </si>
  <si>
    <t xml:space="preserve">23/03 PAGO ON EMPRESAS </t>
  </si>
  <si>
    <t xml:space="preserve">20555250569         </t>
  </si>
  <si>
    <t>MKT OLFATIVO SOCIEDAD ANONIMA CERRADA</t>
  </si>
  <si>
    <t>0000000813</t>
  </si>
  <si>
    <t>F E001-00024927</t>
  </si>
  <si>
    <t xml:space="preserve">SERVICIO DE AROMATIZACION 15-03-2026 AL 30-03-2026 // SERVICIO DE AROMATIZACION 15-03-2026 AL 30-03-2026. </t>
  </si>
  <si>
    <t>30/03 PAGO A PROVEEDOR MKT</t>
  </si>
  <si>
    <t>PR 0000000646</t>
  </si>
  <si>
    <t xml:space="preserve">05/03 ESTUDIO CARO </t>
  </si>
  <si>
    <t>0000000670</t>
  </si>
  <si>
    <t>30/03 PRESTAMO A CMO: PAGOS VARIOS PROVEEDORES SEGUROS</t>
  </si>
  <si>
    <t>0000000726</t>
  </si>
  <si>
    <t>DP 0000000993</t>
  </si>
  <si>
    <t xml:space="preserve">ITF MARZO 2026 </t>
  </si>
  <si>
    <t>31/03 ITF MARZO SOLES</t>
  </si>
  <si>
    <t>0000000740</t>
  </si>
  <si>
    <t>F FN01-01011611</t>
  </si>
  <si>
    <t>COMISIONES 00110486880100203875 ABONO O.P. A CLIENTE GTS COMPARTIDOS/9675785</t>
  </si>
  <si>
    <t>COMISIONES BANCARIAS MARZO DOLARES</t>
  </si>
  <si>
    <t xml:space="preserve">10088866903         </t>
  </si>
  <si>
    <t>VARGAS GUEVARA, ELIZABETH</t>
  </si>
  <si>
    <t>0000000718</t>
  </si>
  <si>
    <t>04/03 REEMBOLSO 260 EV</t>
  </si>
  <si>
    <t>0000000499</t>
  </si>
  <si>
    <t>F FB26-26343701</t>
  </si>
  <si>
    <t>COMISIONES 001104860100203867 COMIS. TRASPASO O/P / 000005211</t>
  </si>
  <si>
    <t>COMISIONES BANCARIAS MARZO 2026</t>
  </si>
  <si>
    <t>0000000587</t>
  </si>
  <si>
    <t>F FB26-26485899</t>
  </si>
  <si>
    <t>COMISIONES 001104860100203867 COMIS. TRASPASO O/P / 000005402</t>
  </si>
  <si>
    <t xml:space="preserve">COMISIONES BANCARIAS MARZO 2026 </t>
  </si>
  <si>
    <t>0000000776</t>
  </si>
  <si>
    <t>F FB26-26628648</t>
  </si>
  <si>
    <t>COMISIONES 001104860100203875 ENVIO DE EXTRACTO DE MOVIMIENTO/000000822 // COMISIONES 001104860100203875 COMISION DE MANTENIMIENTO/000000821.</t>
  </si>
  <si>
    <t>F FF18-18995765</t>
  </si>
  <si>
    <t>COMISIONES 81303121100000747522 EMISION TRANSF. CCE 0002832378/0011-0486-0100203867 // COMISIONES 00926420104814171539 EMISION TRANSF. CCE 0002832371/0011-0486-0100203867 // COMISIONES 00389801334043205547 EMISION TRANSF. CCE 0002833576/0011-0486-0100203867 // COMISIONES 00336501315937363042 EMISION TRANSF. CCE 0002832367/0011-0486-0100203867 // COMISIONES 00313601338962996597 EMISION TRANSF. CCE 0002832370/0011-0486-0100203867 // COMISIONES 00221513419734606921 EMISION TRANSF. CCE 0002832379/0011-0486-0100203867 // COMISIONES 00219419047483702290 EMISION TRANSF. CCE 0002832368/0011-0486-0100203867 // COMISIONES 00219411883423307690 EMISION TRANSF. CCE 0002832376/0011-0486-0100203867 // COMISIONES 00219400935589205790 EMISION TRANSF. CCE 0002832380/0011-0486-0100203867 // COMISIONES 00219400149532701194 EMISION TRANSF. CCE 0002832364/0011-0486-0100203867 // COMISIONES 00219313527919604919 EMISION TRANSF. CCE 0002832366/0011-0486-0100203867 // COMISIONES 00219312528312901311 EMISION TRANSF. CCE 0002832377/0011-0486-0100203867 // COMISIONES 00219300848065507918 EMISION TRANSF. CCE 0002832365/0011-0486-0100203867 // COMISIONES 00219100426437307354 EMISION TRANSF. CCE 0002832360/0011-0486-0100203867.</t>
  </si>
  <si>
    <t>0000000561</t>
  </si>
  <si>
    <t>F FF19-19317849</t>
  </si>
  <si>
    <t>COMISIONES 81303121100000747522 EMISION TRANSF. CCE 0003460158/0011-0486-0100203867 // COMISIONES 00926420104814171539 EMISION TRANSF. CCE 0003439046/0011-0486-0100203867 // COMISIONES 00926420104814171539 EMISION TRANSF. CCE 0003438865/0011-0486-0100203867 // COMISIONES 00926420104814171539 EMISION TRANSF. CCE 0003438869/0011-0486-0100203867 // COMISIONES 00389801346022372740 EMISION TRANSF. CCE 0003439053/0011-0486-0100203867 // COMISIONES 00389801342264475141 EMISION TRANSF. CCE 0003439048/0011-0486-0100203867 // COMISIONES 00389801342066818146 EMISION TRANSF. CCE 0003439045/0011-0486-0100203867 // COMISIONES 00389801333985495745 EMISION TRANSF. CCE 0003439043/0011-0486-0100203867 // COMISIONES 00336501315937363042 EMISION TRANSF. CCE 0003460151/0011-0486-0100203867 // COMISIONES 00320000300144590039 EMISION TRANSF. CCE 0003460147/0011-0486-0100203867 // COMISIONES 00304201313261960498 EMISION TRANSF. CCE 0003439044/0011-0486-0100203867 // COMISIONES 00247500190843307924 EMISION TRANSF. CCE 0003460165/0011-0486-0100203867 // COMISIONES 00221513419734606921 EMISION TRANSF. CCE 0003460161/0011-0486-0100203867 // COMISIONES 00221510949656808829 EMISION TRANSF. CCE 0003460163/0011-0486-0100203867.</t>
  </si>
  <si>
    <t>F FB26-26628647</t>
  </si>
  <si>
    <t>COMISIONES 001104860100203867 ENVIO DE EXTRACTO DE MOVIMIENTO/000005425 // COMISIONES 001104860100203867 COMISION DE MANTENIMIENTO/000005424</t>
  </si>
  <si>
    <t>0000000712</t>
  </si>
  <si>
    <t>F FC04-04913154</t>
  </si>
  <si>
    <t>02/03 COMISION BANCARIA BBVA EMPRESAS</t>
  </si>
  <si>
    <t>0000000816</t>
  </si>
  <si>
    <t>DP 0000000990</t>
  </si>
  <si>
    <t>ITF MARZO  DOLARES</t>
  </si>
  <si>
    <t>30/03 ITF MARZO DOLARES</t>
  </si>
  <si>
    <t>F FF19-19317850</t>
  </si>
  <si>
    <t>COMISIONES 00221500246740206820 EMISION TRANSF. CCE 0003460162/0011-0486-0100203867 // COMISIONES 00219419047483702290 EMISION TRANSF. CCE 0003460152/0011-0486-0100203867 // COMISIONES 00219411883423307690 EMISION TRANSF. CCE 0003460154/0011-0486-0100203867 // 00219419047483702290 EMISION TRANSF. CCE 0003460152/0011-0486-0100203867 // COMISIONES 00219411883423307690 EMISION TRANSF. CCE 003460154/0011-0486-0100203867 // COMISIONES 00219100252653808457 EMISION TRANSF. CCE 0003438870/0011-0486-0100203867 // COMISIONES 00219117084494304658 EMISION TRANSF. CCE 0003439042/0011-0486-0100203867 // COMISIONES 00219100426437307354 EMISION TRANSF. CCE 0003460155/0011-0486-0100203867 // COMISIONES 00219313527919604919 EMISION TRANSF. CCE 0003460150/0011-0486-0100203867 // COMISIONES 00219312528312901311 EMISION TRANSF. CCE 0003460157/0011-0486-0100203867 // COMISIONES 00219311408839700215 EMISION TRANSF. CCE 0003439049/0011-0486-0100203867 // COMISIONES 00219300848065507918 EMISION TRANSF. CCE 0003460149/0011-0486-0100203867 // COMISIONES 00219119792443306652 EMISION TRANSF.CCE 0003439050/0011-0486-01002203867 // COMISIONES 00219117973316204550 EMISION TRANSF. CCE 0003439047/0011-0486-0100203867.</t>
  </si>
  <si>
    <t>0000001005</t>
  </si>
  <si>
    <t>28/02 OPERACION DE FEBRERO REFLEJADA EN EECC MARZO - ITF</t>
  </si>
  <si>
    <t>0000000563</t>
  </si>
  <si>
    <t>0000000768</t>
  </si>
  <si>
    <t>F FF19-19317851</t>
  </si>
  <si>
    <t>COMISIONES 00219117736911011452 EMISION TRANSF. CCE 0003438866/0011-0486-0100203875 // COMISIONES 00219400193147717795 EMISION TRANSF. CCE 0003460148/0011-0486-0100203875 // COMISIONES 00219319301534919611 EMISION TRANSF. CCE 0003460164/0011-0486-0100203875 // COMISIONES 00219313624624817019 EMISION TRANSF. CCE 0003460153/0011-0486-0100203875.</t>
  </si>
  <si>
    <t>0000000770</t>
  </si>
  <si>
    <t>0000000772</t>
  </si>
  <si>
    <t>0000000774</t>
  </si>
  <si>
    <t>0000000766</t>
  </si>
  <si>
    <t>F FF19-19221462</t>
  </si>
  <si>
    <t>COMISIONES 00219117736911011452 EMISION TRANSF. CCE 0003243023/0011-0486-0100203875</t>
  </si>
  <si>
    <t>0000000752</t>
  </si>
  <si>
    <t>F FF19-19036666</t>
  </si>
  <si>
    <t>COMISIONES 00219300169938319318 EMISION TRANSF. CCE 0002916950/0011-0486-0100203875 // COMISIONES 00219300148927519011 EMISION TRANSF. CCE 0002916952/0011-0486-0100203875 // COMISIONES 00219300003344210710 EMISION TRANSF. CCE 0002916956/0011-0486-0100203875 // COMISIONES 00219117736911011452 EMISION TRANSF. CCE 0002916953/0011-0486-0100203875</t>
  </si>
  <si>
    <t>0000000754</t>
  </si>
  <si>
    <t>0000000756</t>
  </si>
  <si>
    <t>0000000758</t>
  </si>
  <si>
    <t>0000000762</t>
  </si>
  <si>
    <t>F FF19-19107987</t>
  </si>
  <si>
    <t>COMISIONES 00219117736911011452 EMISION TRANSF. CCE 0003054840/0011-0486-0100203875</t>
  </si>
  <si>
    <t>0000000760</t>
  </si>
  <si>
    <t>F FF19-19088739</t>
  </si>
  <si>
    <t>COMISIONES 00902800001020511225 EMISION TRANSF. CCE 0002989368/0011-0486-0100203875</t>
  </si>
  <si>
    <t>0000000764</t>
  </si>
  <si>
    <t>F FF19-19167583</t>
  </si>
  <si>
    <t>COMISIONES 00219400149081716596 EMISION TRANSF. CCE 0003152391/0011-0486-0100203875</t>
  </si>
  <si>
    <t>0000000744</t>
  </si>
  <si>
    <t>F FF18-18995767</t>
  </si>
  <si>
    <t>COMISIONES 00219400149081716596 EMISION TRANSF. CCE 0002832362/0011-0486-0100203875 // COMISIONES 00219319301534919611 EMISION TRANSF. CCE 0002832579/0011-0486-0100203875 // COMISIONES 00219313624624817019 EMISION TRANSF. CCE 0002832369/0011-0486-0100203875 // COMISIONES 00219400193147717795 EMISION TRANSF. CCE 0002832361/0011-0486-0100203875.</t>
  </si>
  <si>
    <t>0000000746</t>
  </si>
  <si>
    <t>0000000748</t>
  </si>
  <si>
    <t>0000000750</t>
  </si>
  <si>
    <t>0000000742</t>
  </si>
  <si>
    <t>F FF18-18978259</t>
  </si>
  <si>
    <t>COMISIONES 00219300169938319318 EMISION TRANSF. CCE 0002813732/0011-0486-0100203875</t>
  </si>
  <si>
    <t>0000000736</t>
  </si>
  <si>
    <t>F FF18-18936232</t>
  </si>
  <si>
    <t xml:space="preserve">COMISIONES 00304901000031790644 EMISION TRANSF. CCE 0002755260/0011-0486-0100203875 // COMISIONES 00219300148927519011 EMISION TRANSF. CCE 0002755261/0011-0486-0100203875. </t>
  </si>
  <si>
    <t>0000000738</t>
  </si>
  <si>
    <t>0000000778</t>
  </si>
  <si>
    <t>0000000495</t>
  </si>
  <si>
    <t>0000000539</t>
  </si>
  <si>
    <t>F FF19-19036665</t>
  </si>
  <si>
    <t>COMISIONES 00219113765373207158 EMISION TRANSF. CCE 0002916955 / 0011-0486-0100203867_x000D_
COMISIONES 00926420104814171539 EMISION TRANSF. CCE 0002916954 / 0011-0486-0100203867_x000D_
COMISIONES 00219400984812207892 EMISION TRANSF. CCE 0002916951 / 0011-0486-0100203867</t>
  </si>
  <si>
    <t>0000000541</t>
  </si>
  <si>
    <t>0000000593</t>
  </si>
  <si>
    <t>F FF19-19107986</t>
  </si>
  <si>
    <t>COMISIONES 00219300225129808216 EMISION TRANSF. CCE 0003054841/0011-0486-0100203867.</t>
  </si>
  <si>
    <t>0000000497</t>
  </si>
  <si>
    <t>F FF18-18978258</t>
  </si>
  <si>
    <t>COMISIONES 00312600300413978901 EMISION TRANSF. CCE 0002813733/0011-0486-0100203867</t>
  </si>
  <si>
    <t>F FF18-18936231</t>
  </si>
  <si>
    <t>COMISIONES 00336501315937363042 EMISION TRANSF. CCE 0002755262/0011-0486-0100203867</t>
  </si>
  <si>
    <t>F FF19-19088738</t>
  </si>
  <si>
    <t>COMISIONES 00917020170246902226 EMISION TRANSF. CCE 0002989367/0011-0486-0100203867</t>
  </si>
  <si>
    <t>F FF19-19221461</t>
  </si>
  <si>
    <t>COMISIONES 00926420104814171539 EMISION TRANSF. CCE 0003243022/0011-0486-0100203867</t>
  </si>
  <si>
    <t>0000000515</t>
  </si>
  <si>
    <t>0000000517</t>
  </si>
  <si>
    <t>0000000591</t>
  </si>
  <si>
    <t>0000000589</t>
  </si>
  <si>
    <t>F FR05-05192821</t>
  </si>
  <si>
    <t>COMISIONES PAGO DE SERVICIOS 20612061760 SUNAT DETRACCIONES/0011-0486-0100203867/000005241 // COMISIONES PAGO DE SERVICIOS 20612061760 SUNAT DETRACCIONES/0011-0486-0100203867/000005238 // COMISIONES PAGO DE SERVICIOS 20612061760 SUNAT DETRACCIONES/0011-0486-0100203867/000005243 // COMISIONES PAGO DE SERVICIOS 20612061760 SUNAT DETRACCIONES/0011-0486-0100203867/000005235</t>
  </si>
  <si>
    <t>0000000537</t>
  </si>
  <si>
    <t>0000000835</t>
  </si>
  <si>
    <t>TR 0000000092</t>
  </si>
  <si>
    <t>TRANSFERENCIA DE FONDOS A CUENTA  USD</t>
  </si>
  <si>
    <t>Total d</t>
  </si>
  <si>
    <t xml:space="preserve">20131312955         </t>
  </si>
  <si>
    <t>SUPERINTENDENCIA NACIONAL DE ADUANAS Y DE ADMINISTRACION TRIBUTARIA - SUNAT</t>
  </si>
  <si>
    <t>0000002022</t>
  </si>
  <si>
    <t>DP 0000000933</t>
  </si>
  <si>
    <t xml:space="preserve">PAGO DE RENTA 3ERA  DICIEMBRE  2025    </t>
  </si>
  <si>
    <t>15/01 PAGO DE IMPUESTOS DICIEMBRE</t>
  </si>
  <si>
    <t>0000002023</t>
  </si>
  <si>
    <t>16 2101-0000000260</t>
  </si>
  <si>
    <t xml:space="preserve">SERVICIO TECNICA - PROYECTO SAN MIGUEL : AMPLIACION Y MEJORAMIENTO DE LOS SISTEMAS DE AGUA POTABLE  </t>
  </si>
  <si>
    <t>0000002025</t>
  </si>
  <si>
    <t>16/01/2026</t>
  </si>
  <si>
    <t>DP 0000000930</t>
  </si>
  <si>
    <t xml:space="preserve">PAGO DE IGV - DICIEMBRE 2025 </t>
  </si>
  <si>
    <t xml:space="preserve">16/01 PAGO DE IMPUESTOS DICIEMBRE IGV </t>
  </si>
  <si>
    <t>0000001940</t>
  </si>
  <si>
    <t>RPR -0054951744</t>
  </si>
  <si>
    <t>RPR 0054951744</t>
  </si>
  <si>
    <t>PLANILLA PAGO DESCUENTO - QUINTA</t>
  </si>
  <si>
    <t>PAGO DE IMPUESTOS DICIEMBRE 25 - PLAME</t>
  </si>
  <si>
    <t>RPR -0054951736</t>
  </si>
  <si>
    <t>RPR 0054951736</t>
  </si>
  <si>
    <t>PLANILLA PAGO ESSALUD</t>
  </si>
  <si>
    <t>RPR -0054951733</t>
  </si>
  <si>
    <t>RPR 0054951733</t>
  </si>
  <si>
    <t>PLANILLA PAGO ONP</t>
  </si>
  <si>
    <t>0000002061</t>
  </si>
  <si>
    <t>DP 0000000932</t>
  </si>
  <si>
    <t>PAGO DE 4TA CUOTA FRACCIONAMIENTO -  29.01.26</t>
  </si>
  <si>
    <t xml:space="preserve">29/01 PAGO DE FRACCIONAMIENTO </t>
  </si>
  <si>
    <t>0000002026</t>
  </si>
  <si>
    <t>15/01 PAGO DE IMPUESTOS DICIEMBRE IGV SALDO</t>
  </si>
  <si>
    <t>0000001941</t>
  </si>
  <si>
    <t xml:space="preserve">PAGO DE IMPUESTO IGV DICIEMBRE 25 </t>
  </si>
  <si>
    <t>DP 0000000929</t>
  </si>
  <si>
    <t xml:space="preserve">PAGO DE RENTA DE 4TA - DICEMBRE  2025   </t>
  </si>
  <si>
    <t>0000000451</t>
  </si>
  <si>
    <t>DP 0000000977</t>
  </si>
  <si>
    <t>PAGO DE RENTA DE 4TA - ENERO 2026</t>
  </si>
  <si>
    <t xml:space="preserve">04/02 PAGO DE IMPUESTOS PLAME </t>
  </si>
  <si>
    <t>RPR -0054951779</t>
  </si>
  <si>
    <t>RPR 0054951779</t>
  </si>
  <si>
    <t>RPR -0054951782</t>
  </si>
  <si>
    <t>RPR 0054951782</t>
  </si>
  <si>
    <t>RPR -0054951790</t>
  </si>
  <si>
    <t>RPR 0054951790</t>
  </si>
  <si>
    <t>0000000514</t>
  </si>
  <si>
    <t>DP 0000000931</t>
  </si>
  <si>
    <t>PAGO DE RENTA 3ERA  ENERO 2026</t>
  </si>
  <si>
    <t xml:space="preserve">13/02 IMPUESTOS IGV RENTA </t>
  </si>
  <si>
    <t>0000000444</t>
  </si>
  <si>
    <t>PAGO DE IMPUESTO RENTA 3ER ACATEGORIA - ENERO 26</t>
  </si>
  <si>
    <t>0000000582</t>
  </si>
  <si>
    <t>DP 0000000982</t>
  </si>
  <si>
    <t xml:space="preserve">PAGO DE 5TA CUOTA FRACCIONAMIENTO </t>
  </si>
  <si>
    <t>27/02 PAGO DE FRACCIONAMIENTO SUNAT</t>
  </si>
  <si>
    <t>DP 0000000979</t>
  </si>
  <si>
    <t>PAGO DE IGV - ENERO 2026</t>
  </si>
  <si>
    <t>0000000954</t>
  </si>
  <si>
    <t>DP 0000000995</t>
  </si>
  <si>
    <t>PAGO DE RENTA 3ERA  FEBRERO  2026</t>
  </si>
  <si>
    <t>12/03 PAGO DE IMPUESTOS IGV - RTA FEBRERO 2026</t>
  </si>
  <si>
    <t>0000000727</t>
  </si>
  <si>
    <t>16/03/2026</t>
  </si>
  <si>
    <t>DP 0000000994</t>
  </si>
  <si>
    <t xml:space="preserve">PAGO DE IGV - FEBRERO 2026 </t>
  </si>
  <si>
    <t>16/03 IMPUESTO SUNAT</t>
  </si>
  <si>
    <t>0000000956</t>
  </si>
  <si>
    <t>16/03 PAGO DE IMPUESTOS IGV</t>
  </si>
  <si>
    <t>0000000955</t>
  </si>
  <si>
    <t>RPR -0054951835</t>
  </si>
  <si>
    <t>RPR 0054951835</t>
  </si>
  <si>
    <t xml:space="preserve">12/03 PAGO DE IMPUESTOS PLAME </t>
  </si>
  <si>
    <t>0000000864</t>
  </si>
  <si>
    <t>DP 0000000992</t>
  </si>
  <si>
    <t xml:space="preserve">PAGO DE 6TA CUOTA FRACCIONAMIENTO </t>
  </si>
  <si>
    <t xml:space="preserve">30/03 PAGO DE FRACCIONAMIENTO </t>
  </si>
  <si>
    <t>0000000957</t>
  </si>
  <si>
    <t>DP 0000001006</t>
  </si>
  <si>
    <t xml:space="preserve">PAGO DE 6TA CUOTA FRACCIONAMIENTO SALDO </t>
  </si>
  <si>
    <t>RPR -0054951827</t>
  </si>
  <si>
    <t>RPR 0054951827</t>
  </si>
  <si>
    <t>RPR -0054951824</t>
  </si>
  <si>
    <t>RPR 0054951824</t>
  </si>
  <si>
    <t>DP 0000001007</t>
  </si>
  <si>
    <t>PAGO DE RENTA DE 4TA - FEBRERO 2026</t>
  </si>
  <si>
    <t>DP 0000000996</t>
  </si>
  <si>
    <t xml:space="preserve">RENTA NO DOMICIALIDO DISPUT RESOLUTION 0001-16248 </t>
  </si>
  <si>
    <t>16 0001-0000016248</t>
  </si>
  <si>
    <t xml:space="preserve">CONFERENCIA - AREA LEGAL  </t>
  </si>
  <si>
    <t>Total e</t>
  </si>
  <si>
    <t>0000003231</t>
  </si>
  <si>
    <t>202604 Abril 2026</t>
  </si>
  <si>
    <t>10/04/2026</t>
  </si>
  <si>
    <t>FE E001-00000236</t>
  </si>
  <si>
    <t>COBRANZA DE FACTURA E001-236</t>
  </si>
  <si>
    <t>0000003212</t>
  </si>
  <si>
    <t>FE E001-00000238</t>
  </si>
  <si>
    <t xml:space="preserve">SERVICIO DE ACOMPANAMIENTO Y ASESORIA TECNICO-LEGAL EN EL PROYECTO: CULMINACION DE LA OBRA:REHABILITACION Y MEJORAMIENTO DE LA CARRETERA HUAURA-SAYAN-CHURIN, TRAMO:SAYAN - PUENTE TINGO. ACORDE CON ADENDA N° 01 AL CONTRATO N° 03-2024-SAYAN.  </t>
  </si>
  <si>
    <t>COBRANZA DE FACTURA E001-238</t>
  </si>
  <si>
    <t>0000003215</t>
  </si>
  <si>
    <t>FE E001-00000241</t>
  </si>
  <si>
    <t>SERVICIO DE ACOMPANAMIENTO Y ASESORIA TECNICO-LEGAL EN EL PROYECTO: EJECUCION DE OBRA: MEJORAMIENTO DE LOS SERVICIOS DE SOLUCIONES DE TECNOLOGIAS DE INFORMACION PARA LA ATENCION DE USUARIOS DE LA SUNAT,DISTRITO DE LIMA,PROVINCIA DE LIMA-CUI 2300104. ACORDE CON ADENDA N° 01 AL CONTRATO N° 06-2024 SUNAT</t>
  </si>
  <si>
    <t>COBRANZA DE FACTURA E001-241</t>
  </si>
  <si>
    <t>0000003214</t>
  </si>
  <si>
    <t>FE E001-00000240</t>
  </si>
  <si>
    <t xml:space="preserve">SERVICIO DE ACOMPANAMIENTO Y ASESORIA TECNICO-LEGAL EN PROYECTO: EJECUCION DE OBRA MEJORAMIENTO Y AMPLIACION DE SERV. SALUD DEL HOSPITAL DE CHINCHEROS II-1 RED DE SALUD VIRGEN DE COCHARCAS,DIST CHINCHEROS,PROV CHINCHEROS,DPTO APURIMAC,CUI 2344910 ACORDE CON ADENDA N° 01 AL CONTRATO N° 05-2024- CHINCHEROS.  </t>
  </si>
  <si>
    <t>COBRANZA DE FACTURA E001-240</t>
  </si>
  <si>
    <t>0000003211</t>
  </si>
  <si>
    <t>FE E001-00000237</t>
  </si>
  <si>
    <t>SERVICIO DE ACOMPANAMIENTO Y ASESORIA TECNICO-LEGAL EN PROYECTO: EJECUCION PLAN CONTINGENCIA Y OBRA PRINCIPAL PROY.MEJORAMIENTO Y AMPLIACION SERV.SALUD HOSPITAL APOYO TOMAS LAFORA GUADALUPE,DIST GUADALUPE,PROV PACASMAYO,DPTO LA LIBERTAD,CUI 2427376. ACORDE CON ADENDA N° 1 AL CONTRATO N° 02-2024-LAFORA</t>
  </si>
  <si>
    <t>COBRANZA FACTURA E001-237</t>
  </si>
  <si>
    <t>0000003216</t>
  </si>
  <si>
    <t>FE E001-00000243</t>
  </si>
  <si>
    <t>SERVICIO DE ACOMPAÑAMIENTO Y ASESORIA TECNICO-LEGAL EN PROY:CONTRATACION PARA EJEC. DE OBRA:MEJORAM.Y AMPLIACION DE LA PRESTACION DE SERV.DEPORTIVOS EN EL ESTADO CUNA DE LA LIBERTAD AMERICAS DEL COMPLEJO DEPORTIVO VENEZUELA,AYACUCHO,HUAMANGA,AYACUCHO - ACORDE AL CONTRATO DE PRESTACION DE SERVICIOS DE ASESORIA TECNICO-LEGAL N°08- 2025-DEPORTIVO. </t>
  </si>
  <si>
    <t>COBRANZA DE FACTURA E001-243</t>
  </si>
  <si>
    <t>0000003213</t>
  </si>
  <si>
    <t>FE E001-00000239</t>
  </si>
  <si>
    <t xml:space="preserve">SERVICIO DE ACOMPAÑAMIENTO Y ASESORIA TECNICO-LEGAL EN PROYECTO:EJECUCION DE OBRA:SALDO DE OBRA REFORMULADO DE LA OBRA PRINCIPAL MEJORAMIENTO SERVICIOS DE SALUD DEL ESTABLECIMIENTO DE SALUD PROGRESO,DIST.CHIMBOTE,PROV SANTA,DPTO ANCASH,CUI 2285573 ACORDE CON ADENDA N° 01 AL CONTRATO N° 04-2024-PROGRESO.  </t>
  </si>
  <si>
    <t>COBRANZA DE FACTURA E001-239</t>
  </si>
  <si>
    <t>0000003208</t>
  </si>
  <si>
    <t>08/04/2026</t>
  </si>
  <si>
    <t>FE E001-00000334</t>
  </si>
  <si>
    <t>SERVICIO DE ASESORIA TECNICO - LEGAL ESPECIALIZADA EN ADMINISTRACION CONTRACTUAL EN EL PROYECTO : CREACION DE LOS SERVICIOS DE SALUD DEL HOSPITAL PARA FRANCISCO DE MANCHAY-PROV. LIMA - DPTO. LIMA - CUI 2525722.</t>
  </si>
  <si>
    <t>COBRANZA  DE FACTURA E001-334</t>
  </si>
  <si>
    <t>0000003205</t>
  </si>
  <si>
    <t>01/04/2026</t>
  </si>
  <si>
    <t>COBRANZA FACTURA E001-317</t>
  </si>
  <si>
    <t>0000003064</t>
  </si>
  <si>
    <t>28/04/2026</t>
  </si>
  <si>
    <t>FE E001-00000333</t>
  </si>
  <si>
    <t>SERVICIO DE ASESORIA TECNICO - LEGAL ESPECIALIZADA EN ADMINISTRACION CONTRACTUAL EN EL PROYECTO : HOSPITAL DOCENTE REGIONAL DE TRUJILLO.</t>
  </si>
  <si>
    <t>COBRANZA DE FACTURA 333</t>
  </si>
  <si>
    <t xml:space="preserve">20602384714         </t>
  </si>
  <si>
    <t>ICYS S.A.C.</t>
  </si>
  <si>
    <t>0000003067</t>
  </si>
  <si>
    <t>30/04/2026</t>
  </si>
  <si>
    <t>PR 0000000694</t>
  </si>
  <si>
    <t>PRESTAMO RECIBIDO DE ICYS // PARA EL PAGO DE SUNAT IMPUESTO PRICO IGV, PRESTAMO A CMO, ETC</t>
  </si>
  <si>
    <t>PRESTAMO RECIBIDO DE ICYS</t>
  </si>
  <si>
    <t>0000002966</t>
  </si>
  <si>
    <t>0000003072</t>
  </si>
  <si>
    <t>29/04/2026</t>
  </si>
  <si>
    <t>AP 0000000288</t>
  </si>
  <si>
    <t>ANTICIPO A JCMF POR ASESORIA LEGAL MES DE ABRIL 2026</t>
  </si>
  <si>
    <t>29/04 HONORARIOS PROFESIONALES ABRIL OTRO BANCO MEDINA FLORE</t>
  </si>
  <si>
    <t>0000003052</t>
  </si>
  <si>
    <t>21/04/2026</t>
  </si>
  <si>
    <t>RH E001-0000000023</t>
  </si>
  <si>
    <t>SERVICIOS DE ASESORIA ESPECIALIZADA EN ADMINISTRACION DE CONTRATOS PERIODO DEL 01 DE MARZO AL 31 DE MARZO DE 2026.</t>
  </si>
  <si>
    <t>21/04 SANCHEZ BUTRON EDWIN ALONSO RH  (GARNICA) E001-23 MAR</t>
  </si>
  <si>
    <t xml:space="preserve">10078165974         </t>
  </si>
  <si>
    <t>RIVEROS SILVA, MANUEL ALBERTO</t>
  </si>
  <si>
    <t>0000003167</t>
  </si>
  <si>
    <t>RH E001-0000000025</t>
  </si>
  <si>
    <t>DIAGNOSTICO CONCEP.DE LOS IMPACTOS POR ADECUACION DE NIIF AL 31.12.25 - CANCELACION SALDO DEL DIAG. NIIF</t>
  </si>
  <si>
    <t xml:space="preserve">21/04 PAGO DE HONORARIOS </t>
  </si>
  <si>
    <t>0000003163</t>
  </si>
  <si>
    <t>RH E001-0000000070</t>
  </si>
  <si>
    <t xml:space="preserve">SERVICIO DE APOYO EN TI - SISTEMAS ABRIL 2026 </t>
  </si>
  <si>
    <t>29/04 HONORARIOS PROFESIONALES ABRIL MISMO BANCO</t>
  </si>
  <si>
    <t xml:space="preserve">10102139386         </t>
  </si>
  <si>
    <t>CORNEJO RIVERA, ALFREDO TEODORO</t>
  </si>
  <si>
    <t>0000002824</t>
  </si>
  <si>
    <t>07/04/2026</t>
  </si>
  <si>
    <t>RH E001-0000000151</t>
  </si>
  <si>
    <t>SERVICIO DE TRASLADO E INSTALACION DE OBRA DE ARTE</t>
  </si>
  <si>
    <t xml:space="preserve">07/04 PAGO A PROVEEDORES </t>
  </si>
  <si>
    <t>RH E001-0000000250</t>
  </si>
  <si>
    <t xml:space="preserve">SERVICIO DE ASESORIA EN GESTION CONTRACTUAL DE OBRAS PÚBLICAS MES DE ABRIL 2026 </t>
  </si>
  <si>
    <t>0000003160</t>
  </si>
  <si>
    <t>RH E001-0000000262</t>
  </si>
  <si>
    <t xml:space="preserve">DIETA DE DIRECTORIO  </t>
  </si>
  <si>
    <t>01/04 RAUL BARRIOS  FEB $ 4,600 E001-262</t>
  </si>
  <si>
    <t>0000002993</t>
  </si>
  <si>
    <t>RPR -0054951927</t>
  </si>
  <si>
    <t>RPR 0054951927</t>
  </si>
  <si>
    <t>29/04 PLANILLA PRACTICANTES ABRIL MISMO BANCO</t>
  </si>
  <si>
    <t>0000002994</t>
  </si>
  <si>
    <t>RPR -0054951928</t>
  </si>
  <si>
    <t>RPR 0054951928</t>
  </si>
  <si>
    <t>29/04PLANILLA PRACTICANTES ABRIL OTRO BANCO</t>
  </si>
  <si>
    <t>0000002995</t>
  </si>
  <si>
    <t>RPR -0054951933</t>
  </si>
  <si>
    <t>RPR 0054951933</t>
  </si>
  <si>
    <t>29/04PLANILLA INTEGRAL ABRIL MISMO BANCO</t>
  </si>
  <si>
    <t>0000002996</t>
  </si>
  <si>
    <t>29/04PLANILLA INTEGRAL ABRIL OTRO BANCO</t>
  </si>
  <si>
    <t>RPR -0054951934</t>
  </si>
  <si>
    <t>RPR 0054951934</t>
  </si>
  <si>
    <t>RPR -0054951935</t>
  </si>
  <si>
    <t>RPR 0054951935</t>
  </si>
  <si>
    <t>RPR -0054951936</t>
  </si>
  <si>
    <t>RPR 0054951936</t>
  </si>
  <si>
    <t xml:space="preserve">10106820665         </t>
  </si>
  <si>
    <t>PALOMINO ZARATE, RAQUEL</t>
  </si>
  <si>
    <t>0000003102</t>
  </si>
  <si>
    <t>13/04/2026</t>
  </si>
  <si>
    <t>RH E001-0000000157</t>
  </si>
  <si>
    <t xml:space="preserve">ASESORAMIENTO EN COMUNICACIONES  </t>
  </si>
  <si>
    <t>13/04 RAQUEL PALOMINO (RH E001-157)</t>
  </si>
  <si>
    <t>0000003058</t>
  </si>
  <si>
    <t>F FB27-27079438</t>
  </si>
  <si>
    <t>COMISIONES 001104860100203867 ENVIO DE EXTRACTO DE MOVIMIENTO/000005605 // COMISIONES 001104860100203867 COMISION DE MANTENIMIENTO/000005604.</t>
  </si>
  <si>
    <t>30/04 COMISION DE MANTENIMIENTO ENVIO DE EXTRACTO DE MOVIMIE</t>
  </si>
  <si>
    <t>0000003032</t>
  </si>
  <si>
    <t>06/04/2026</t>
  </si>
  <si>
    <t>F FC05-05005538</t>
  </si>
  <si>
    <t>COMISIONES 001104860100203867 POR USO DE CANAL / 000000002.</t>
  </si>
  <si>
    <t>06/04 COMISION BBVA EMPRESAS 2026-04</t>
  </si>
  <si>
    <t>0000003016</t>
  </si>
  <si>
    <t>F FB27-27079439</t>
  </si>
  <si>
    <t>COMISIONES 001104860100203875 ENVIO DE EXTRACTO DE MOVIMIENTO/000000863 // COMISIONES 001104860100203875 COMISION DE MANTENIMIENTO/000000862.</t>
  </si>
  <si>
    <t>30/05 COMISIÓN DE TRANSFERENCIA Y MOVIMIENTO BANCO CONTINENT</t>
  </si>
  <si>
    <t>0000003034</t>
  </si>
  <si>
    <t>F FF19-19423933</t>
  </si>
  <si>
    <t>COMISIONES 00219113011843305858 EMISION TRANSF. CCE 0003661749/0011-0486-0100203867 // COMISIONES 00219300996246505710 EMISION TRANSF. CCE 0003661752/0011-0486-0100203867 // COMISIONES 00219400984812207892 EMISION TRANSF. CCE 0003661751/0011-0486-0100203867.</t>
  </si>
  <si>
    <t>07/04COMISIÓN DE TRANSFERENCIA</t>
  </si>
  <si>
    <t>0000003024</t>
  </si>
  <si>
    <t>F FF19-19726913</t>
  </si>
  <si>
    <t>COMISIONES 00219113515728000253 TRANSF. CCE 0004254542/0011-0486-0100203867.</t>
  </si>
  <si>
    <t>29/04 COMISIÓN DE TRANSFERENCIA BANCO BBVA</t>
  </si>
  <si>
    <t>0000003046</t>
  </si>
  <si>
    <t>F FF19-19440586</t>
  </si>
  <si>
    <t>COMISIONES 00219113740222702656 EMISION TRANSF. CCE 0003696167/0011-0486-0100203867.</t>
  </si>
  <si>
    <t>08/04 COMISIO DE TRANSFERENCIA FF19-19440586 BANCO CONTINENT</t>
  </si>
  <si>
    <t>0000003118</t>
  </si>
  <si>
    <t>F FF19-19614704</t>
  </si>
  <si>
    <t>COMISIONES 00219113765373207158 EMISION TRANSF. CCE 0004006926/0011-0486-0100203867 // COMISIONES 00219400808961801098 EMISION TRANSF. CCE 0004013406/0011-0486-0100203867 // COMISIONES 00219400235671308094 EMISION TRANSF. CCE 0004013405/0011-0486-0100203867 // COMISIONES 00219113515728000253 EMISION TRANSF. CCE 0004006925/0011-0486-0100203867 // COMISIONES 00219113140399000050 EMISION TRANSF. CCE 0004006924/0011-0486-0100203867.</t>
  </si>
  <si>
    <t xml:space="preserve">21/04 COMISIÓN DE TRANSFERENCIA BANCO CONTINENTAL </t>
  </si>
  <si>
    <t>0000003109</t>
  </si>
  <si>
    <t>14/04/2026</t>
  </si>
  <si>
    <t>F FF19-19517799</t>
  </si>
  <si>
    <t>COMISIONES 00219117736911011452 EMISION TRANSF. CCE 0003826240/0011-0486-0100203875.</t>
  </si>
  <si>
    <t>14/04 COMISIÓN DE TRANSFERENCIA</t>
  </si>
  <si>
    <t>0000003014</t>
  </si>
  <si>
    <t>F FF19-19614705</t>
  </si>
  <si>
    <t>COMISIONES 00219300136346417217 EMISION TRANSF. CCE 0004006927/0011-0486-0100203875 // COMISIONES 00903421039759476800 EMISION TRANSF. CCE 0004006923/0011-0486-0100203875.</t>
  </si>
  <si>
    <t>21/04/COMISIÓN DE TRANSFERENCIA BANCO CONTINENTAL</t>
  </si>
  <si>
    <t>0000003018</t>
  </si>
  <si>
    <t>F FF19-19753806</t>
  </si>
  <si>
    <t>COMISIONES 00219300153078013310 EMISION TRANSF. CCE 0004318507/0011-0486-0100203875.</t>
  </si>
  <si>
    <t>30/04 ENVÍO EXTRACTO DE MOVIMIENTO banco continental</t>
  </si>
  <si>
    <t>0000003036</t>
  </si>
  <si>
    <t>09/04/2026</t>
  </si>
  <si>
    <t>F FF19-19457021</t>
  </si>
  <si>
    <t>COMISIONES 00219300996246505710 EMISION TRANSF. CCE 0003709027/0011-0486-0100203867.</t>
  </si>
  <si>
    <t>09/04COMISIÓN DE TRANSFERENCIA</t>
  </si>
  <si>
    <t>0000003081</t>
  </si>
  <si>
    <t>F FF19-19423934</t>
  </si>
  <si>
    <t>COMISIONES 00219400149081716596 EMISION TRANSF. CCE 0003661750/0011-0486-0100203875.</t>
  </si>
  <si>
    <t>07/04 COMISIÓN DE TRANSFERENCIA</t>
  </si>
  <si>
    <t>0000003096</t>
  </si>
  <si>
    <t>F FF19-19457022</t>
  </si>
  <si>
    <t>COMISIONES 00219400149081716596 EMISION TRANSF. CCE 0003709028/0011-0486-0100203875.</t>
  </si>
  <si>
    <t>09/04 COMISIÓN DE TRANSFERENCIA</t>
  </si>
  <si>
    <t>0000003022</t>
  </si>
  <si>
    <t>27/04/2026</t>
  </si>
  <si>
    <t>F FF19-19684830</t>
  </si>
  <si>
    <t>COMISIONES 00219400935589205790 EMISION TRANSF. CCE 0004143658/0011-0486-0100203867 // COMISIONES 00219300996246505710 EMISION TRANSF. CCE 0004143659/0011-0486-0100203867</t>
  </si>
  <si>
    <t xml:space="preserve">27/04  COMISIÓN DE TRANSFERENCIA BANCO CONTINETAL </t>
  </si>
  <si>
    <t>0000003088</t>
  </si>
  <si>
    <t>F FF19-19371371</t>
  </si>
  <si>
    <t>COMISIONES 00304901000031790644 EMISION TRANSF. CCE 0003558838/0011-0486-0100203875 // COMISIONES 00219400149532701194 EMISION TRANSF. CCE 0003558834/0011-0486-0100203875 // COMISIONES 00219300152090114519 EMISION TRANSF. CCE 0003558835/0011-0486-0100203875 // COMISIONES 00219300148927519011 EMISION TRANSF. CCE 0003558836/0011-0486-0100203875.</t>
  </si>
  <si>
    <t>01/04 COMISIÓN DE TRANSFERENCIA</t>
  </si>
  <si>
    <t>0000003100</t>
  </si>
  <si>
    <t>F FF19-19496610</t>
  </si>
  <si>
    <t>COMISIONES 00389801346318031040 EMISION TRANSF. CCE 0003792535/0011-0486-0100203867 // COMISIONES 00219300225129808216 EMISION TRANSF. CCE 0003792537/0011-0486-0100203867.</t>
  </si>
  <si>
    <t>13/04  COMISION BBVA EMPRESAS 2026-04</t>
  </si>
  <si>
    <t>0000003120</t>
  </si>
  <si>
    <t>F FF19-19517798</t>
  </si>
  <si>
    <t>COMISIONES 00926420104814171539 EMISION TRANSF. CCE 0003826241/0011-0486-0100203867 // COMISIONES 00219311408839700215 EMISION TRANSF. CCE 0003826242/0011-0486-0100203867 // COMISIONES 00219100248967008054 EMISION TRANSF. CCE 0003826243/0011-0486-0100203867.</t>
  </si>
  <si>
    <t>14/04COMISION BBVA EMPRESAS</t>
  </si>
  <si>
    <t>0000003026</t>
  </si>
  <si>
    <t>F FF19-19726912</t>
  </si>
  <si>
    <t>COMISIONES 00926420104814171539 EMISION TRASNF. CCE 0004255044/0011-0486-0100203867 // COMISIONES 00926420104814171539 EMISION TRANSF. CCE 0004254543/0011-0486-0100203867 // COMISIONES 00926420104814171539 EMISION TRANSF. CCE 0004254530/0011-0486-0100203867 // COMISIONES 00389801346022372740 EMISION TRANSF. CCE 0004255039/0011-0486-0100203867 // COMISIONES 00389801342264475141 EMISION TRANSF. CCE 0004255046/0011-0486-0100203867 // COMISIONES 00389801342066818146 EMISION TRANSF. CCE 0004255043/0011-0486-0100203867 // COMISIONES 00389801333985495745 EMISION TRANSF. CCE 0004255041/0011-0486-0100203867 // COMISIONES 00336501315937363042 EMISION TRANSF. CCE 0004254546/0011-0486-0100203867 // COMISIONES 00304201313261960498 EMISION TRANSF. CCE 0004255042/0011-0486-0100203867 // COMISIONES 00300901338436722887 EMISION TRANSF. CCE 0004255049/0011-0486-0100203867 // COMISIONES 00219311408839700215 EMISION TRANSF. CCE 0004255047/0011-0486-0100203867 // COMISIONES 00219119792443306652 EMISION TRANSF. CCE 0004255048/0011-0486-0100203867 // COMISIONES 00219117973316204550 EMISION TRANSF. CCE 0004255045/0011-0486-0100203867 // COMISIONES 00219117084494604658 EMISION TRANSF. CCE 0004255040/0011-0486-0100203867.</t>
  </si>
  <si>
    <t>29/04  COMISIÓN DE TRANSFERENCIA BANCO BBVA</t>
  </si>
  <si>
    <t>0000003038</t>
  </si>
  <si>
    <t>F FR05-05276220</t>
  </si>
  <si>
    <t>COMISIONES PAGO DE SERVICIOS 20612061760 SUNAT DETRACCIONES/0011-0486-0100203867/000005480 // COMISIONES PAGO DE SERVICIOS 20612061760 SUNAT DETRACCIONES/0011-0486-0100203867/000005477 // COMISIONES PAGO DE SERVICIOS 20612061760 SUNAT DETRACCIONES/0011-0486-0100203867/000005473 // COMISIONES PAGO DE SERVICIOS 20612061760 SUNAT DETRACCIONES/0011-0486-0100203867000005471 // COMISIONES PAGO DE SERVICIOS 20612061760 SUNAT DETRACCIONES/0011-0486-0100203867/000005469.</t>
  </si>
  <si>
    <t>09/04 SUNAT DETRACCIONES BANCO CONTINENTAL</t>
  </si>
  <si>
    <t>0000003013</t>
  </si>
  <si>
    <t>DP 0000001041</t>
  </si>
  <si>
    <t>ITF ABRIL 2026</t>
  </si>
  <si>
    <t>30/04 ITF BANCO CONTINENTAL</t>
  </si>
  <si>
    <t>0000002823</t>
  </si>
  <si>
    <t>PR 0000000672</t>
  </si>
  <si>
    <t>PRESTAMO A CMO // VARIOS CONSORCIOS DESCA</t>
  </si>
  <si>
    <t>06/04 PRESTAMO A CMO DESCA</t>
  </si>
  <si>
    <t>0000003084</t>
  </si>
  <si>
    <t>PR 0000000678</t>
  </si>
  <si>
    <t>PRESTAMO A CMO // PAGO A ANCONA A CTA CHP CUOTA VCTO. 31.03.26</t>
  </si>
  <si>
    <t>01/04 CMO ANCONA (PAGO POR CTA CHP CUOTA VCTO. 31.03.26)</t>
  </si>
  <si>
    <t>0000003083</t>
  </si>
  <si>
    <t>PR 0000000677</t>
  </si>
  <si>
    <t xml:space="preserve">PRESTAMO A CMO // PAGOS VARIOS </t>
  </si>
  <si>
    <t>01/04 CMO ESTUDIO  HERNANDEZ FACT FF07-00029610 Y F013-00000</t>
  </si>
  <si>
    <t>0000002988</t>
  </si>
  <si>
    <t>PR 0000000690</t>
  </si>
  <si>
    <t xml:space="preserve">PRESTAMO A CMO // PARA PAGO DE PLANILLA DE CMO </t>
  </si>
  <si>
    <t>29/04 CMO PTMO DE IC</t>
  </si>
  <si>
    <t>0000002989</t>
  </si>
  <si>
    <t>PR 0000000693</t>
  </si>
  <si>
    <t>PRESTAMO A CMO // PARA EL PAGO DE AMERICA MOVIL - LINEA DE CLARO Y PAGO DE UN RECIBO X HONORARIO ARTUTO DELGADO + CAJA OP RAF GG CORREO IC Y CMO</t>
  </si>
  <si>
    <t>30/04 PRESTAMO DE IC PARA CMO</t>
  </si>
  <si>
    <t>0000003178</t>
  </si>
  <si>
    <t>DP 0000001008</t>
  </si>
  <si>
    <t>01/04 CMO ESTUDIO CARLOS CARO MARZO F002-00000530</t>
  </si>
  <si>
    <t>0000003179</t>
  </si>
  <si>
    <t>PR 0000000699</t>
  </si>
  <si>
    <t>PRESTAMO A CMO // DCC FT 530</t>
  </si>
  <si>
    <t>07/04 PR CMO DCC CONSULTORES - ESTUDIO CARLOS CARO MARZO F00</t>
  </si>
  <si>
    <t>0000003117</t>
  </si>
  <si>
    <t>PR 0000000683</t>
  </si>
  <si>
    <t>PRESTAMO A CMO // PARA PAGO DE REQUERIMIENTOS EN SUNAT</t>
  </si>
  <si>
    <t>21/04 PRESTAMO A CMO - SUNAT</t>
  </si>
  <si>
    <t>0000002821</t>
  </si>
  <si>
    <t>01/04 PAGO A PROVEEDOR 50%</t>
  </si>
  <si>
    <t>0000003098</t>
  </si>
  <si>
    <t>PR 0000000680</t>
  </si>
  <si>
    <t>PRESTAMO A CMO // PARA DCC CONSULTORES MARZO F002-00000607 - PRIMER 50% DE HONORARIOS</t>
  </si>
  <si>
    <t>09/04 CMO DCC CONSULTORES - ESTUDIO CARLOS CARO MARZO F002-0</t>
  </si>
  <si>
    <t>0000002990</t>
  </si>
  <si>
    <t>PR 0000000692</t>
  </si>
  <si>
    <t>PRESTAMO A CMO // PARA PAGO DE RECIBOS X HONORARIOS (ARCHIVO CMO)</t>
  </si>
  <si>
    <t>0000003085</t>
  </si>
  <si>
    <t>PR 0000000679</t>
  </si>
  <si>
    <t>PRESTAMO A CMO // EUZ COMITE ACADEMICO EIRL (ASESORIA LEGAL-CONTRATO 946 - CASO DENNIS)</t>
  </si>
  <si>
    <t>0000002991</t>
  </si>
  <si>
    <t>PR 0000000691</t>
  </si>
  <si>
    <t>PRESTAMO A CMO // PARA PAGO DE HONORARIOS Y PAGO DE PACIFICO VIDA LEY</t>
  </si>
  <si>
    <t>30/04 ICMO PTMO DE IC</t>
  </si>
  <si>
    <t>0000003086</t>
  </si>
  <si>
    <t>F E001-00008647</t>
  </si>
  <si>
    <t>ASESORIA TRIBUTARIA Y COORPORATIVA - MES DE MARZO</t>
  </si>
  <si>
    <t>01/04ESTUDIO GALVEZ &amp; DOLORIER MES DE MARZO  factura 8647</t>
  </si>
  <si>
    <t>0000003116</t>
  </si>
  <si>
    <t>16/04/2026</t>
  </si>
  <si>
    <t>PR 0000000681</t>
  </si>
  <si>
    <t>PRESTAMO A CMO // CMO PRESTAMO - CHP - CONETTA VIVANCO GIOVANNI SALVATTORE RH E001-39 3ER PAGO DE 3</t>
  </si>
  <si>
    <t xml:space="preserve">16/04  CMO PRÉSTAMO - CHP - CONETTA VIVANCO GIOVANNI </t>
  </si>
  <si>
    <t>0000003078</t>
  </si>
  <si>
    <t>RPR -0054951844</t>
  </si>
  <si>
    <t>RPR 0054951844</t>
  </si>
  <si>
    <t>07.04 AFP INTEGRA MARZO 26 IC</t>
  </si>
  <si>
    <t>0000003099</t>
  </si>
  <si>
    <t>PR 0000000676</t>
  </si>
  <si>
    <t>PRESTAMO A CMO // PARA PAGOS DE AFP´S</t>
  </si>
  <si>
    <t>09/04 PR CMO AFP MARZO PRIMA MARZO 26</t>
  </si>
  <si>
    <t>0000003077</t>
  </si>
  <si>
    <t>RPR -0054951852</t>
  </si>
  <si>
    <t>RPR 0054951852</t>
  </si>
  <si>
    <t>07.04 AFP HABITAT MARZO 26 IC</t>
  </si>
  <si>
    <t>0000002974</t>
  </si>
  <si>
    <t>21/04 REEMBOLSO N° 000000000279 YANIRA ROSALES (TV 100" PARA</t>
  </si>
  <si>
    <t xml:space="preserve">20144986645         </t>
  </si>
  <si>
    <t>DIAZ GALVEZ Y ASOCIADOS CONTADORES PUBLICOS SOCIEDAD CIVIL</t>
  </si>
  <si>
    <t>0000002992</t>
  </si>
  <si>
    <t>AP 0000000286</t>
  </si>
  <si>
    <t>ADELANTO DEL 50% POR EL SERVICIO DE AUDITORIA FINANCIERA DEL AÑO 2024 DEL ESTUDIO DIAZ (FT E001-29)</t>
  </si>
  <si>
    <t>29/04 HONORARIOS ROXANA DIAZ AUDITORA IC ADELANTO 50% FACT E</t>
  </si>
  <si>
    <t>0000003176</t>
  </si>
  <si>
    <t>14/04REEMBOLSO N° 000000000276 YANIRA ROSALES (PASAJES A ASU</t>
  </si>
  <si>
    <t>0000002998</t>
  </si>
  <si>
    <t>AP 0000000287</t>
  </si>
  <si>
    <t>ADELANTO DEL 50% POR EL SERVICIO DE AUDITORIA FINANCIERA DEL AÑO 2025 DEL ESTUDIO DIAZ (FT E001-30)</t>
  </si>
  <si>
    <t>30/04 HONORARIOS ROXANA DIAZ AUDITORA IC ADELANTO 50% FACT E</t>
  </si>
  <si>
    <t>0000003075</t>
  </si>
  <si>
    <t xml:space="preserve">29/04 REEMBOLSO N° 000000000282 CAROLA MARTORELLET (TV PARA </t>
  </si>
  <si>
    <t>0000003080</t>
  </si>
  <si>
    <t>RPR -0054951853</t>
  </si>
  <si>
    <t>RPR 0054951853</t>
  </si>
  <si>
    <t>07.04 AFP PRIMA MARZO 26 IC</t>
  </si>
  <si>
    <t>0000002986</t>
  </si>
  <si>
    <t>PR 0000000686</t>
  </si>
  <si>
    <t>PRESTAMO A CMO // PARA PAGO DE DEUDA DE MANTENIMIENTO DE LAS OFICINAS QUE ESTAN IMPLEMENTANDO PARA CMO EN BARRANCO.</t>
  </si>
  <si>
    <t>27/04 CMO PTMO PARA PAGO DE MANTENIMIENTO OF BARRANCO</t>
  </si>
  <si>
    <t>0000003107</t>
  </si>
  <si>
    <t>RS S130-0000267514</t>
  </si>
  <si>
    <t>13/04 LUZ DEL SUR N° SUMINISTRO 1632521 OF 1302 VCTO 17.04.2</t>
  </si>
  <si>
    <t>0000002818</t>
  </si>
  <si>
    <t>PR 0000000671</t>
  </si>
  <si>
    <t xml:space="preserve">PRESTAMO A CMO //PAGOS VARIOS </t>
  </si>
  <si>
    <t xml:space="preserve">01/04 PRESTAMO A CMO - CERTIFICACIONES ISO </t>
  </si>
  <si>
    <t>0000003093</t>
  </si>
  <si>
    <t>PR 0000000675</t>
  </si>
  <si>
    <t>PRESTAMO A CMO // PERITO CONTRERAS</t>
  </si>
  <si>
    <t>09/04 CMO PRÉSTAMO - CHP - PERITO CONTRERAS</t>
  </si>
  <si>
    <t xml:space="preserve">09/04 PAGO DE DETRACCIONES </t>
  </si>
  <si>
    <t>0000003125</t>
  </si>
  <si>
    <t>21/04 REEMBOLSO N° 000000000278 CAROLA MARTORELLET (TV 85" P</t>
  </si>
  <si>
    <t>0000003278</t>
  </si>
  <si>
    <t>29/04 REEMBOLSO CAJA CHICA</t>
  </si>
  <si>
    <t>0000003276</t>
  </si>
  <si>
    <t>09/04 CAJA CHICA GB</t>
  </si>
  <si>
    <t>0000003105</t>
  </si>
  <si>
    <t>DP 0000003178</t>
  </si>
  <si>
    <t>MANTENIMIENTO EDIFICIO OMEGA 1302 - RM083-3178 - PERIODO MARZO</t>
  </si>
  <si>
    <t>13/04  MANTENIMIENTO EDIFICIO OMEGA 1303 y 1302 (MARZO) RM08</t>
  </si>
  <si>
    <t>0000002830</t>
  </si>
  <si>
    <t>PR 0000000673</t>
  </si>
  <si>
    <t>PRESTAMO A CMO // PRIMA AFP (COSTAS PROCESO JUDICIAL) ENTREGA A GGUT PARA PAGO EN VENTANILLA</t>
  </si>
  <si>
    <t>07/04 CMO PRIMA AFP (COSTAS PROCESO JUDICIAL) ENTREGA A GGUT</t>
  </si>
  <si>
    <t>0000003106</t>
  </si>
  <si>
    <t>DP 0000003179</t>
  </si>
  <si>
    <t>MANTENIMIENTO EDIFICIO OMEGA 1303 - RM083-3179 - PERIODO MARZO</t>
  </si>
  <si>
    <t>0000003158</t>
  </si>
  <si>
    <t>RS S130-0000267496</t>
  </si>
  <si>
    <t xml:space="preserve">SERVICIO DE LUZ OFICINA MES DE MARZO 2026  - N° SUMINISTRO 1632521 OF 1303  </t>
  </si>
  <si>
    <t>13/04 LUZ DEL SUR N° SUMINISTRO 1632521 OF 1303 VCTO 17.04.2</t>
  </si>
  <si>
    <t>0000003272</t>
  </si>
  <si>
    <t xml:space="preserve">21/04 PAGO DE REEMBOLSOS DE CAJA CHICA ABRIL </t>
  </si>
  <si>
    <t>0000003091</t>
  </si>
  <si>
    <t>PR 0000000674</t>
  </si>
  <si>
    <t>PRESTAMO A CMO // ADELANTO POR ASESORIA AL ING. ANGULO PARA INFORME DE LIQUIDACIÓN DE OBRA (50% ASUME CMO Y 50% SINOHYDRO)</t>
  </si>
  <si>
    <t>08.04 CMO PRÉSTAMO - CSZ - ADELANTO ASESORÍA ING ANGULO PARA</t>
  </si>
  <si>
    <t>0000002820</t>
  </si>
  <si>
    <t>0000003048</t>
  </si>
  <si>
    <t>F E001-00000293</t>
  </si>
  <si>
    <t xml:space="preserve">COMPRA DE 1 BAILARINA DE MARINERA Y PLACA GRABADA CON CADERA DE PLATA (SE ENTREGO A 1 CLIENTE EN EL VIAJE A PARAGUAY QUE REALIZO GG, JCM Y JCV)  </t>
  </si>
  <si>
    <t>30/04 ARTE QOLLANA FACT E001-293</t>
  </si>
  <si>
    <t>0000003079</t>
  </si>
  <si>
    <t>RPR -0054951845</t>
  </si>
  <si>
    <t>RPR 0054951845</t>
  </si>
  <si>
    <t>07.04 AFP PROFUTURO MARZO 26 IC</t>
  </si>
  <si>
    <t>0000002819</t>
  </si>
  <si>
    <t>0000003069</t>
  </si>
  <si>
    <t>AP 0000000289</t>
  </si>
  <si>
    <t>INTERNET CLARO F015-00369095</t>
  </si>
  <si>
    <t xml:space="preserve">13/04 INTERNET CLARO (codigo 04333519) factura F01500369095 </t>
  </si>
  <si>
    <t>0000000510</t>
  </si>
  <si>
    <t>RPR -0054951840</t>
  </si>
  <si>
    <t>RPR 0054951840</t>
  </si>
  <si>
    <t>PLANILLA DE PAGO AFP INTEGRA - LIQUIDACION</t>
  </si>
  <si>
    <t xml:space="preserve">20606144947         </t>
  </si>
  <si>
    <t>GALERIA GOURMAND S.R.L.</t>
  </si>
  <si>
    <t>0000003040</t>
  </si>
  <si>
    <t>F E001-00000651</t>
  </si>
  <si>
    <t xml:space="preserve">VENTA DE PRODUCTOS VARIOS DE GALERIA GOURMAND - EVENTO POR EL DIA DEL TRABAJO </t>
  </si>
  <si>
    <t xml:space="preserve">21/04 GALERÍA GOURMAND SRL FACTURA E001-651 (EVENTO DIA DEL </t>
  </si>
  <si>
    <t xml:space="preserve">20601402409         </t>
  </si>
  <si>
    <t>PRODUCTOS Y SERVICIOS SILVA QUEVEDO E.I.R.L.</t>
  </si>
  <si>
    <t>0000003128</t>
  </si>
  <si>
    <t>F E001-00002507</t>
  </si>
  <si>
    <t xml:space="preserve">APERITIVO DE TABLAS DE QUESOS CHARCUTERIA POR EL DIA DEL TRABAJADOR. </t>
  </si>
  <si>
    <t>21/04/  KISU PERÚ</t>
  </si>
  <si>
    <t>0000003113</t>
  </si>
  <si>
    <t>F E001-00001721</t>
  </si>
  <si>
    <t xml:space="preserve">JUEGO DE RECARGA DE TONER PARA FOTOCOPIADORA RICOH IMC 3010 COLORES MAGENTA, CYAN, YELLOW Y BLACK </t>
  </si>
  <si>
    <t>14/04 SERVICIOS Y DISTRIBUIDORES L Y H PERU SAC FACTURAS E00</t>
  </si>
  <si>
    <t>0000003092</t>
  </si>
  <si>
    <t>ER 0000000224</t>
  </si>
  <si>
    <t>ENTREGA A RENDIR - VIATICOS A RENDIR A CUENTA DE CRBC VIAJE A CARRETERA CANTA (SEGUN CORREO 14.04)</t>
  </si>
  <si>
    <t>08/04ENTREGA A RENDIR Nro. 224 (VIATICOS A CANTA) JIMY BASTI</t>
  </si>
  <si>
    <t>0000002826</t>
  </si>
  <si>
    <t>F E001-00000474</t>
  </si>
  <si>
    <t xml:space="preserve">COMPRA DE 10 TOMATODOS BRANDEADOS GRABADO DE LOGO Y NOMBRE PERSONALIZADOS EN LASER - CLIENTES </t>
  </si>
  <si>
    <t>0000002987</t>
  </si>
  <si>
    <t>PR 0000000688</t>
  </si>
  <si>
    <t>PRESTAMO A VANINNA CORNEJO // CORRESPONDIENTE AL PAGO DE T. COPIA - IMPRESION DE 100 FOLLETOS EN INGLES DE VIVA CAPITAL HOMES.</t>
  </si>
  <si>
    <t>27/04VANINNA CORNEJO PTMO PARA PAGO DE FOLLETOS A T COPIA</t>
  </si>
  <si>
    <t>0000003070</t>
  </si>
  <si>
    <t>29/04 REEMBOLSO JCV Reembolso N° 000000000283 Y 284</t>
  </si>
  <si>
    <t>0000002852</t>
  </si>
  <si>
    <t>14/04 REMBOLSO CUMPLEAÑOS PATRICK</t>
  </si>
  <si>
    <t xml:space="preserve">20601983088         </t>
  </si>
  <si>
    <t>LA VIDA DULCE D AMANCIO SOCIEDAD ANONIMA CERRADA</t>
  </si>
  <si>
    <t>0000003028</t>
  </si>
  <si>
    <t>F E001-00001224</t>
  </si>
  <si>
    <t xml:space="preserve">DULCES SURTIDOS PARA EL DIA DEL TRABAJADOR DE IC </t>
  </si>
  <si>
    <t>21/04 AMANCIO (DULCES EVENTO DIA DEL TRABAJO)</t>
  </si>
  <si>
    <t>0000002972</t>
  </si>
  <si>
    <t xml:space="preserve">29/04 REEMBOLSO JCV Reembolso N° 000000000277 (ALMUERZO CON </t>
  </si>
  <si>
    <t>0000003060</t>
  </si>
  <si>
    <t>RS S006-0000167573</t>
  </si>
  <si>
    <t xml:space="preserve">CARGOS FIJOS DEL 01/04/2026 AL 30/04/2026 ON EMPRESAS - 60MBPS // 01/04/2026 AL 30/04/2026 POOL 8 IP ADICIONALES.  </t>
  </si>
  <si>
    <t>21/04 ON NEGOCIOS (INTERNET) RECIBO N° S006-00167573</t>
  </si>
  <si>
    <t>0000002999</t>
  </si>
  <si>
    <t>PR 0000000689</t>
  </si>
  <si>
    <t>PRESTAMO A VANINNA CORNEJO // CORRESPONDIENTE AL PAGO DE LA TASACIÓN DE LA OFICINA 1304 - BOLETA DE VENTA B001-0009619</t>
  </si>
  <si>
    <t xml:space="preserve">21/04 BVANET (PRÉSTAMO A VANINNA CORNEJO - TASACIÓN OF 1304 </t>
  </si>
  <si>
    <t>0000003050</t>
  </si>
  <si>
    <t>F E001-00025000</t>
  </si>
  <si>
    <t xml:space="preserve">SERVICIO DE AROMATIZACION ABRIL 2026 // SERVICIO DE AROMATIZACION ABRIL 2026 </t>
  </si>
  <si>
    <t xml:space="preserve">30/04 MKT OLFATIVO SOCIEDAD ANONIMA CERRADA FACT E001-25000 </t>
  </si>
  <si>
    <t>0000003073</t>
  </si>
  <si>
    <t>F E001-00000177</t>
  </si>
  <si>
    <t>SERVICIO DE MANTENIMIENTO CORRECTIVO DE EQUIPO DE AIRE ACONDICIONADO - EDIFICIO OMEGA PISO 1302 - COT 073.26</t>
  </si>
  <si>
    <t>29/04 NOVATECH J&amp;M SERVICIOS GENERALES (FACTURA E001-177) Ma</t>
  </si>
  <si>
    <t xml:space="preserve">10463861141         </t>
  </si>
  <si>
    <t>AYALA SANCHEZ, GEOVANNI</t>
  </si>
  <si>
    <t>0000003115</t>
  </si>
  <si>
    <t>ER 0000000223</t>
  </si>
  <si>
    <t>ENTREGA A RENDIR - VIATICOS PARA VIAJE A LA OBRA HOSPITAL DE PASCO (SEGUN CORREO 13.04.26)</t>
  </si>
  <si>
    <t xml:space="preserve">14/04 ENTREGA A RENDIR Nro. 223 (GEOVANNI AYALA POR VIAJE A </t>
  </si>
  <si>
    <t>0000000504</t>
  </si>
  <si>
    <t>F E001-00000031</t>
  </si>
  <si>
    <t xml:space="preserve">MANEJO DE REDES SOCIALES FEBRERO - MARZO 2026 </t>
  </si>
  <si>
    <t xml:space="preserve">20610688471         </t>
  </si>
  <si>
    <t>T-COPIA PUBLICITY E.I.R.L.</t>
  </si>
  <si>
    <t>0000002828</t>
  </si>
  <si>
    <t>F FP12-00003041</t>
  </si>
  <si>
    <t xml:space="preserve">100 FOLLETOS COUCHE 250 GR IC  </t>
  </si>
  <si>
    <t>0000003094</t>
  </si>
  <si>
    <t>09.04 T COPIA (SALDO IMPRESIÓN FOLLETOS FACT FP12-0030419</t>
  </si>
  <si>
    <t>F E001-00000140</t>
  </si>
  <si>
    <t xml:space="preserve">SERVICIO DE MANTENIMIENTO PREVENTIVO DE EQUIPOS DE AIRE ACONDICIONADO - EDIFICIO OMEGA PISO 1302 - COT 015.1-26  </t>
  </si>
  <si>
    <t>0000003042</t>
  </si>
  <si>
    <t>F F091-00115808</t>
  </si>
  <si>
    <t xml:space="preserve">SEGURO FOLA // DOC AC 94628573 // POLIZA 21474364 // GIRO 116259221 // VIGENCIA 01/03/2026 AL 31/03/2026 </t>
  </si>
  <si>
    <t xml:space="preserve">29/04PACIFICO COMPAÑÍA DE SEGUROS Y REASEGUROS (SEGURO FOLA </t>
  </si>
  <si>
    <t>F E001-00001722</t>
  </si>
  <si>
    <t xml:space="preserve">SERVICIO TECNICO PARA FOTOCOPIADORA RICOH IMC3010  </t>
  </si>
  <si>
    <t>0000000512</t>
  </si>
  <si>
    <t>F F001-00003125</t>
  </si>
  <si>
    <t>LAVADO DE ALFOMBRA OFICINA 1302C</t>
  </si>
  <si>
    <t>0000003062</t>
  </si>
  <si>
    <t>PR 0000000682</t>
  </si>
  <si>
    <t>PRESTAMO A CMO // PARA EL PAGO DE LUZ DEL SUR OFICINA BARRANCO</t>
  </si>
  <si>
    <t>21/04 CMO PAGO DE LUZ DEL SUR OFICINA BARRANCO</t>
  </si>
  <si>
    <t>0000002997</t>
  </si>
  <si>
    <t>DP 0000001040</t>
  </si>
  <si>
    <t>30/04ITF Y COMISIONES BANCARIAS</t>
  </si>
  <si>
    <t>0000003063</t>
  </si>
  <si>
    <t>F E001-00000292</t>
  </si>
  <si>
    <t xml:space="preserve">SERVICIO DE REPARACION DE FLUXOMETRO, CAMBIO DE REPUESTO Y MANTENIMIENTO. </t>
  </si>
  <si>
    <t>0000002844</t>
  </si>
  <si>
    <t>DP 0000000031</t>
  </si>
  <si>
    <t xml:space="preserve">ABONO Y EXTORNO CMO - DCC </t>
  </si>
  <si>
    <t>INGRESO POR EXTORNO DE OP.</t>
  </si>
  <si>
    <t>0000003229</t>
  </si>
  <si>
    <t>RPR -0054951854</t>
  </si>
  <si>
    <t>RPR 0054951854</t>
  </si>
  <si>
    <t xml:space="preserve">16/04 PAGO DE IMPUESTOS </t>
  </si>
  <si>
    <t>RPR -0054951846</t>
  </si>
  <si>
    <t>RPR 0054951846</t>
  </si>
  <si>
    <t>DP 0000001071</t>
  </si>
  <si>
    <t>PAGO DE RENTA DE 4TA - MARZO 2026</t>
  </si>
  <si>
    <t>RPR -0054951843</t>
  </si>
  <si>
    <t>RPR 0054951843</t>
  </si>
  <si>
    <t>0000003230</t>
  </si>
  <si>
    <t>17/04/2026</t>
  </si>
  <si>
    <t>DP 0000001072</t>
  </si>
  <si>
    <t>PAGO DE RENTA 3ERA - MARZO 2026</t>
  </si>
  <si>
    <t>17/04 PAGO DE IMPUESTOS MARZO RENTA 3ERA</t>
  </si>
  <si>
    <t>0000003111</t>
  </si>
  <si>
    <t>DP 0000001021</t>
  </si>
  <si>
    <t>17/04 SUNAT IMPUESTOS PRICO MARZO 2026 - RENTA 3ERA CAT</t>
  </si>
  <si>
    <t>0000003112</t>
  </si>
  <si>
    <t>DP 0000001020</t>
  </si>
  <si>
    <t>PAGO DE IGV - MARZO 2026</t>
  </si>
  <si>
    <t>17/04 SUNAT IMPUESTOS PRICO MARZO 2026 - IGV</t>
  </si>
  <si>
    <t>RPR -0054951841</t>
  </si>
  <si>
    <t>RPR 0054951841</t>
  </si>
  <si>
    <t>PLANILLA DE PAGO ESSALUD - LIQUIDACION</t>
  </si>
  <si>
    <t>0000003044</t>
  </si>
  <si>
    <t>DP 0000001039</t>
  </si>
  <si>
    <t xml:space="preserve">PAGO DE IGV - MARZO 2026 </t>
  </si>
  <si>
    <t>30/04DP 1039 SUPERINTENDENCIA NACIONAL DE ADUANAS</t>
  </si>
  <si>
    <t>0000003408</t>
  </si>
  <si>
    <t>202605 Mayo 2026</t>
  </si>
  <si>
    <t>11/05/2026</t>
  </si>
  <si>
    <t>*A/TRANSFER. CHINA ROAD AND BRIDGE COR</t>
  </si>
  <si>
    <t>0000003414</t>
  </si>
  <si>
    <t>18/05/2026</t>
  </si>
  <si>
    <t>FE E001-00000338</t>
  </si>
  <si>
    <t>INGRESO  CHINA ROAD AND BRIDGE COR</t>
  </si>
  <si>
    <t>01/05/2026</t>
  </si>
  <si>
    <t>0000002964</t>
  </si>
  <si>
    <t>05/05/2026</t>
  </si>
  <si>
    <t>COBRANZA DE FACTURA E001-333</t>
  </si>
  <si>
    <t>0000003437</t>
  </si>
  <si>
    <t>28/05/2026</t>
  </si>
  <si>
    <t>COBRANZA DE FACTURA E001-338</t>
  </si>
  <si>
    <t>0000003436</t>
  </si>
  <si>
    <t>COBRANZA DE FACTURA E001-319</t>
  </si>
  <si>
    <t>0000003411</t>
  </si>
  <si>
    <t>15/05/2026</t>
  </si>
  <si>
    <t>FE E001-00000335</t>
  </si>
  <si>
    <t>SERVICIO DE ASESORIA TECNICO - LEGAL ESPECIALIZADA EN ADMINISTRACION CONTRACTUAL EN EL PROYECTO : MEJORAMIENTO Y AMPLIACION SERV. SALUD DEL HOSPITAL JOSE SOTO CADENILLAS DE CHOTA - CHOTA - CAJAMARCA.</t>
  </si>
  <si>
    <t>0000003375</t>
  </si>
  <si>
    <t>06/05/2026</t>
  </si>
  <si>
    <t xml:space="preserve">COBRANZA DE FACTURA E001-138 </t>
  </si>
  <si>
    <t>0000003378</t>
  </si>
  <si>
    <t>29/05/2026</t>
  </si>
  <si>
    <t>PR 0000000727</t>
  </si>
  <si>
    <t xml:space="preserve">PRESTAMO DE RY </t>
  </si>
  <si>
    <t>PRESTAMO RECIBIDO DE RY</t>
  </si>
  <si>
    <t>0000003417</t>
  </si>
  <si>
    <t>08/05/2026</t>
  </si>
  <si>
    <t>PR 0000000728</t>
  </si>
  <si>
    <t xml:space="preserve">PRESTAMO RECIBIDO DE ICYS </t>
  </si>
  <si>
    <t>PRÉSTAMO DE ICYS</t>
  </si>
  <si>
    <t>0000003548</t>
  </si>
  <si>
    <t>13/05/2026</t>
  </si>
  <si>
    <t>DP 0000000033</t>
  </si>
  <si>
    <t xml:space="preserve">INGRESOS DE CMO   - CONSORCIO JULI  </t>
  </si>
  <si>
    <t>INGRESOS DE CMO - (C - JULY)</t>
  </si>
  <si>
    <t>0000003583</t>
  </si>
  <si>
    <t>26/05/2026</t>
  </si>
  <si>
    <t>DP 0000000034</t>
  </si>
  <si>
    <t>DEVOLUCION POR PAGO EN EXCESO MULTISERVIS E001-292</t>
  </si>
  <si>
    <t>DEVOLUCION DE PAGO EN EXCESO MULTISERVIS</t>
  </si>
  <si>
    <t>0000003419</t>
  </si>
  <si>
    <t>DEV 0000000020</t>
  </si>
  <si>
    <t>DEVOLUCION POR GARANNTIA - APERITIVOS DIA DEL TRABAJADOR</t>
  </si>
  <si>
    <t>ABONO INMEDIATO 002 JUAN PIO SILVA CAS DEVOLUCIÓN DE LA GARANTÍA (KISU)</t>
  </si>
  <si>
    <t xml:space="preserve">10704539237         </t>
  </si>
  <si>
    <t>CUYUBAMBA SOTO, ARAMIS GABRIEL</t>
  </si>
  <si>
    <t>0000003240</t>
  </si>
  <si>
    <t>21/05/2026</t>
  </si>
  <si>
    <t>DEV 0000000021</t>
  </si>
  <si>
    <t xml:space="preserve">DEVOLUCION DE VIATICOS POR VIAJE A CHOTA DEL 07 AL 08 DE MAYO  </t>
  </si>
  <si>
    <t>0000003479</t>
  </si>
  <si>
    <t>PR 0000000594</t>
  </si>
  <si>
    <t>PRESTAMO A CRBC POR VIAJE DE COMISION DE SERVICIOS DE LA OBRA DE CHOTA/ GUILLERMO JONES Y ARAMIS CUYUBAMBA DEL 23 AL 25.02.2026</t>
  </si>
  <si>
    <t xml:space="preserve">COBRANZA DE PRESTAMO </t>
  </si>
  <si>
    <t xml:space="preserve">10072297224         </t>
  </si>
  <si>
    <t>MENDOZA NUÑEZ, JUAN VICTOR</t>
  </si>
  <si>
    <t>0000003432</t>
  </si>
  <si>
    <t>RH E001-0000000001</t>
  </si>
  <si>
    <t xml:space="preserve">ANGOSTE Y RESTAURACION DE 8 CORBATAS DE SEDA POR EL DIA DEL PADRE. </t>
  </si>
  <si>
    <t>28/05 JUAN MENDOZA RH E001-1 COMPRA DE CORBATAS DIA DEL PADR</t>
  </si>
  <si>
    <t xml:space="preserve">10103167588         </t>
  </si>
  <si>
    <t>MERINO OBANDO, CESAR JHOVANNY</t>
  </si>
  <si>
    <t>0000003368</t>
  </si>
  <si>
    <t>RH E001-0000000003</t>
  </si>
  <si>
    <t xml:space="preserve">COMITE CONSULTIVO MAYO 2026 </t>
  </si>
  <si>
    <t>26/05 JHOVANNY MERINO OBANDO RH E001-3 MAYO</t>
  </si>
  <si>
    <t>0000003371</t>
  </si>
  <si>
    <t>SERVICIOS DE ASESORIA ESPECIALIZADA EN ADMINISTRACION DE CONTRATOS PERIODO DEL 01 DE ABRIL 2026 AL 30 DE ABRIL DEL 2026.</t>
  </si>
  <si>
    <t>26/05 SANCHEZ BUTRON EDWIN ALONSO RH  (GARNICA) E001-25 ABRI</t>
  </si>
  <si>
    <t>0000003428</t>
  </si>
  <si>
    <t>RH E001-0000000071</t>
  </si>
  <si>
    <t xml:space="preserve">SERVICIO DE APOYO EN TI - SISTEMAS MAYO 2026 </t>
  </si>
  <si>
    <t>29/05 HONORARIOS LOCADORES MAYO IC</t>
  </si>
  <si>
    <t>0000003422</t>
  </si>
  <si>
    <t>RH E001-0000000093</t>
  </si>
  <si>
    <t xml:space="preserve">CUADRO PARA GERENCIA - PINTADO DE TELA ARTISTICA PARA OFICINA </t>
  </si>
  <si>
    <t>15//05CLAUDIA TALAVERA (COMPRA DE CUADRO OF GERENCIA 1302) E</t>
  </si>
  <si>
    <t>0000003402</t>
  </si>
  <si>
    <t>RH E001-0000000119</t>
  </si>
  <si>
    <t xml:space="preserve">SERVICIO DE CONSULTORIA LEGAL ESPECIALIZADA EN GESTION CONTRACTUAL - MAYO 2026 </t>
  </si>
  <si>
    <t>29/05HONORARIOS LOCADORES MAYO IC O/B</t>
  </si>
  <si>
    <t>RH E001-0000000253</t>
  </si>
  <si>
    <t xml:space="preserve">SERVICIO DE ASESORIA EN GESTION CONTRACTUAL DE OBRAS PÚBLICAS MES DE MAYO 2026 </t>
  </si>
  <si>
    <t>0000003384</t>
  </si>
  <si>
    <t>RPR -0054951992</t>
  </si>
  <si>
    <t>RPR 0054951992</t>
  </si>
  <si>
    <t>29/05 PLANILLA MAYO IC</t>
  </si>
  <si>
    <t>0000003385</t>
  </si>
  <si>
    <t>29/05PLANILLA MAYO IC O/B</t>
  </si>
  <si>
    <t>RPR -0054951993</t>
  </si>
  <si>
    <t>RPR 0054951993</t>
  </si>
  <si>
    <t>RPR -0054951994</t>
  </si>
  <si>
    <t>RPR 0054951994</t>
  </si>
  <si>
    <t>RPR -0054951995</t>
  </si>
  <si>
    <t>RPR 0054951995</t>
  </si>
  <si>
    <t>0000003383</t>
  </si>
  <si>
    <t>RPR -0054952000</t>
  </si>
  <si>
    <t>RPR 0054952000</t>
  </si>
  <si>
    <t>29/05 PLANILLA PRACTICANTES MAYO IC</t>
  </si>
  <si>
    <t>0000003382</t>
  </si>
  <si>
    <t>RPR -0054952001</t>
  </si>
  <si>
    <t>RPR 0054952001</t>
  </si>
  <si>
    <t>29/05PLANILLA PRACTICANTES MAYO IC O/B</t>
  </si>
  <si>
    <t>0000003421</t>
  </si>
  <si>
    <t>RPR -0054952002</t>
  </si>
  <si>
    <t>RPR 0054952002</t>
  </si>
  <si>
    <t>PLANILLA DE PAGO DE CTS</t>
  </si>
  <si>
    <t>18/05/ CTS JIMY BASTIDAS</t>
  </si>
  <si>
    <t>0000003380</t>
  </si>
  <si>
    <t>14/05/2026</t>
  </si>
  <si>
    <t>RPR -0054952003</t>
  </si>
  <si>
    <t>RPR 0054952003</t>
  </si>
  <si>
    <t>14/05/ CTS MAYO 26 OTRO BANCO</t>
  </si>
  <si>
    <t>0000002956</t>
  </si>
  <si>
    <t>DP 0000001068</t>
  </si>
  <si>
    <t>AJUSTE MONETARIO POR EL PAGO DE LOS TRIBUTOS 3042 // 3052 (0.50) // 5210 (0.39) // 5310 (0.35)</t>
  </si>
  <si>
    <t>15/05 SUNAT IMPUESTOS PRICO</t>
  </si>
  <si>
    <t>0000003329</t>
  </si>
  <si>
    <t>F FB27-27373130</t>
  </si>
  <si>
    <t>COMISIONES 001104860100203867 COMIS. TRASPASO O/P / 000005770</t>
  </si>
  <si>
    <t>26//05 COMISIÓN DE TRANSFERENCIA</t>
  </si>
  <si>
    <t>0000003389</t>
  </si>
  <si>
    <t>F FB27-27526426</t>
  </si>
  <si>
    <t>COMISIONES 001104860100203867 ENVIO DE EXTRACTO DE MOVIMIENTO / 000005825_x000D_
COMISIONES 001104860100203867 COMISION DE MANTENIMIENTO / 000005824</t>
  </si>
  <si>
    <t>29/05 COMISIÓN DE MANTENIMIENTO</t>
  </si>
  <si>
    <t>0000002973</t>
  </si>
  <si>
    <t>F FC05-05097906</t>
  </si>
  <si>
    <t>05/05 ENVIO DE EXTRACTO DE MOVIMIENTO</t>
  </si>
  <si>
    <t>0000003005</t>
  </si>
  <si>
    <t>F FB27-27270895</t>
  </si>
  <si>
    <t>COMISIONES 001104860100203875 COBRO DE COMISION AUDICIONES EXTERN/000000871</t>
  </si>
  <si>
    <t>08/05COM AUDIT EXT</t>
  </si>
  <si>
    <t>0000003536</t>
  </si>
  <si>
    <t>F FB27-27526427</t>
  </si>
  <si>
    <t>COMISIONES 001104860100203875 ENVIO DE EXTRACTO DE MOVIMIENTO / 000000902_x000D_
COMISIONES 001104860100203875 COMISIONES DE MANTENIMIENTO / 000000901</t>
  </si>
  <si>
    <t xml:space="preserve">29/05 PAGO DE COMISIONES BANCARIAS </t>
  </si>
  <si>
    <t>0000003534</t>
  </si>
  <si>
    <t>0000003492</t>
  </si>
  <si>
    <t>12/05/2026</t>
  </si>
  <si>
    <t>F FF19-19907656</t>
  </si>
  <si>
    <t>COMISIONES 00219113515728000253 EMISION TRANSF.CCE 0004609119/0011-0486-0100203867 // COMISIONES 00926420104814171539 EMISION TRANSF. CCE 0004609116/0011-0486-0100203867</t>
  </si>
  <si>
    <t>12/05COMISIÓN DE TRANSFERENCIA</t>
  </si>
  <si>
    <t>0000002975</t>
  </si>
  <si>
    <t>F FF19-19863531</t>
  </si>
  <si>
    <t>COMISIONES 00219113522254202453 EMISION TRANSF. CCE 0004523396/0011-0486-0100203867</t>
  </si>
  <si>
    <t>08/05COMISIÓN DE TRANSFERENCIA</t>
  </si>
  <si>
    <t>0000003395</t>
  </si>
  <si>
    <t>F FF20-20138752</t>
  </si>
  <si>
    <t>COMISIONES 00219300188725700019 EMISION TRANSF.CCE 0005059610/0011-0486-0100203867 _x000D_
COMISIONES 00219300118599807514 EMISION TRANSF.CCE 0005059609/0011-0486-0100203867 _x000D_
COMISIONES 00219300110227206018 EMISION TRANSF.CCE 0005059611/0011-0486-0100203867</t>
  </si>
  <si>
    <t>28/05 COMISIÓN DE TRANSFERENCIA</t>
  </si>
  <si>
    <t>F FF19-19826398</t>
  </si>
  <si>
    <t>COMISIONES 00219300193863417015 EMISION TRANSF. CCE 0004441197/0011-0486-0100203875 // COMISIONES 00219400149081716596 EMISION TRANSF. CCE 0004441196/0011-0486-0100203875.</t>
  </si>
  <si>
    <t>06/05 COMISIÓN DE TRANSFERENCIA</t>
  </si>
  <si>
    <t>0000003459</t>
  </si>
  <si>
    <t>F FF19-19969206</t>
  </si>
  <si>
    <t>COMISIONES 00219300225129808216 EMISION TRANSF. CCE 0004799638/0011-0486-0100203867</t>
  </si>
  <si>
    <t>15/05 COMISIÓN DE TRANSFERENCIA</t>
  </si>
  <si>
    <t>0000002977</t>
  </si>
  <si>
    <t>F FF19-19826397</t>
  </si>
  <si>
    <t>COMISIONES 00219300225651204914 EMISION TRANSF. CCE 0004441198/0011-0486-0100203867</t>
  </si>
  <si>
    <t>0000003451</t>
  </si>
  <si>
    <t>F FF19-19992605</t>
  </si>
  <si>
    <t xml:space="preserve">COMISIONES 00219311419490218415 EMISION TRANSF.CCE 0004789414/0011-0486-0100203875_x000D_
COMISIONES 00219319301534919611 EMISION TRANSF.CCE 0004789418/0011-0486-0100203875_x000D_
COMISIONES 00219400149081716596 EMISION TRANSF.CCE 0004789415/0011-0486-0100203875_x000D_
_x000D_
_x000D_
_x000D_
_x000D_
COMISIONES 00219300003344210710 EMISION TRANSF.CCE 0004843685/0011-0486-0100203875_x000D_
_x000D_
_x000D_
_x000D_
_x000D_
_x000D_
_x000D_
_x000D_
_x000D_
_x000D_
_x000D_
_x000D_
</t>
  </si>
  <si>
    <t>18/05COMISIÓN DE TRANSFERENCIA</t>
  </si>
  <si>
    <t>19/05/2026</t>
  </si>
  <si>
    <t>F FF19-19969207</t>
  </si>
  <si>
    <t>COMISIONES 00219311419490218415 EMISION TRANSF.CCE 0004789414/0011-0486-0100203875_x000D_
COMISIONES 00219319301534919611 EMISION TRANSF.CCE 0004789418/0011-0486-0100203875_x000D_
COMISIONES 00219400149081716596 EMISION TRANSF.CCE 0004789415/0011-0486-0100203875_x000D_
COMISIONES 00219400149081716596 EMISION TRANSF.CCE 0004789416/0011-0486-0100203875_x000D_
COMISIONES 00219411656845310998 EMISION TRANSF.CCE 0004789417/0011-0486-0100203875</t>
  </si>
  <si>
    <t>19/05 COMISIÓN DE TRANSFERENCIA</t>
  </si>
  <si>
    <t>0000003327</t>
  </si>
  <si>
    <t>F FF20-20104918</t>
  </si>
  <si>
    <t>COMISIONES 00219312528312901311 EMISION TRANSF.CCE 0005025847/0011-0486-0100203867_x000D_
COMISIONES 00219113765373207158 EMISION TRANSF.CCE 0005025842/0011-0486-0100203867_x000D_
COMISIONES 00320000300144590039 EMISION TRANSF.CCE 0005025851/0011-0486-0100203867_x000D_
COMISIONES 00312600300413978901 EMISION TRANSF.CCE 0005025827/0011-0486-0100203867_x000D_
COMISIONES 00221513419734606921 EMISION TRANSF.CCE 0005025848/0011-0486-0100203867_x000D_
COMISIONES 00221510949656808829 EMISION TRANSF.CCE 0005025849/0011-0486-0100203867_x000D_
COMISIONES 00221500246740206820 EMISION TRANSF.CCE 0005025850/0011-0486-0100203867_x000D_
COMISIONES 00219400150089606491 EMISION TRANSF.CCE 0005025828/0011-0486-0100203867_x000D_
COMISIONES 00219400149532701194 EMISION TRANSF.CCE 0005025843/0011-0486-0100203867</t>
  </si>
  <si>
    <t>26/05 COMISIÓN DE TRANSFERENCIA</t>
  </si>
  <si>
    <t>0000003311</t>
  </si>
  <si>
    <t>F FF20-20104919</t>
  </si>
  <si>
    <t>COMISIONES 00219313386793813611 EMISION TRANSF.CCE 0005025841/0011-0486-0100203875</t>
  </si>
  <si>
    <t>0000003334</t>
  </si>
  <si>
    <t>22/05/2026</t>
  </si>
  <si>
    <t>F FF20-20062104</t>
  </si>
  <si>
    <t>COMISIONES 00312600300413978901 EMISION TRANSF.CCE 0004941705/0011-0486-0100203867.</t>
  </si>
  <si>
    <t>22/05COMISIÓN DE TRANSFERENCIA</t>
  </si>
  <si>
    <t>0000003255</t>
  </si>
  <si>
    <t>20/05/2026</t>
  </si>
  <si>
    <t>F FF20-20030396</t>
  </si>
  <si>
    <t>COMISIONES 00926420104814171539 EMISION TRANSF.CCE 0004897307/0011-0486-0100203867</t>
  </si>
  <si>
    <t>20/05COMISIÓN DE TRANSFERENCIA</t>
  </si>
  <si>
    <t>0000003391</t>
  </si>
  <si>
    <t>F FF20-20162742</t>
  </si>
  <si>
    <t>COMISIONES 00926420104814171539 EMISION TRANSF.CCE 0005192789/0011-0486-0100203867_x000D_
COMISIONES 00389801346022372740 EMISION TRANSF.CCE 0005192796/0011-0486-0100203867_x000D_
COMISIONES 00389801342264475141 EMISION TRANSF.CCE 0005192791/0011-0486-0100203867_x000D_
COMISIONES 00389801342066818146 EMISION TRANSF.CCE 0005192788/0011-0486-0100203867_x000D_
COMISIONES 00389801333985495745 EMISION TRANSF.CCE 0005192786/0011-0486-0100203867_x000D_
COMISIONES 00304201313261960498 EMISION TRANSF.CCE 0005192787/0011-0486-0100203867_x000D_
COMISIONES 00300901338436722887 EMISION TRANSF.CCE 0005192794/0011-0486-0100203867_x000D_
COMISIONES 00219119792443306652 EMISION TRANSF.CCE 0005192792/0011-0486-0100203867_x000D_
COMISIONES 00219119792443306652 EMISION TRANSF.CCE 0005192793/0011-0486-0100203867_x000D_
COMISIONES 00219117973316204550 EMISION TRANSF.CCE 0001592790/0011-0486-0100203867_x000D_
COMISIONES 00219117084494304658 EMISION TRANSF.CCE 0005192795/0011-0486-0100203867</t>
  </si>
  <si>
    <t>29/05COMISIÓN DE TRANSFERENCIA</t>
  </si>
  <si>
    <t>0000002983</t>
  </si>
  <si>
    <t>F FF19-19945717</t>
  </si>
  <si>
    <t>COMISIONES 00972430833919709760 EMISION TRANSF. CCE 0004734136/0011-0486-0100203867 // COMISIONES 00917000000066494426 EMISION TRANSF. CCE 0004720998/0011-0486-0100203867 // COMISIONES 00235517207684703262 EMISION TRANSF. CCE 0004734137/0011-04886-0100203867 // COMISIONES 00219400984812207892 EMISION TRANSF. CCE 0004734069/0011-0486-0100203867 // COMISIONES 00219400935589205790 EMISION TRANSF. CCE 0004720999/0011-0486-0100203867 // COMISIONES 00219124885125107850 EMISION TRANSF. CCE 004721274/0011-0486-0100203867.</t>
  </si>
  <si>
    <t>14/05COMISIÓN DE TRANSFERENCIA</t>
  </si>
  <si>
    <t>F FR05-05353418</t>
  </si>
  <si>
    <t>COMISIONES PAGO DE SERVICIOS 20612061760 SUNAT DETRACCIONES/0011-0486-0100203867/000005634 // COMISIONES PAGO DE SERVICIOS 20612061760 SUNAT DETRACCIONES/0011-0486-0100203867/000005636 // COMISIONES PAGO DE SERVICIOS 20612061760 SUNAT DETRACCIONES/0011-0486-0100203867/000005638 // COMISIONES PAGO DE SERVICIOS 20612061760 SUNAT DETRACCIONES/0011-0486-0100203867/000005640 // COMISIONES PAGO DE SERVICIOS 20612061760 SUNAT DETRACCIONES/0011-0486-0100203867/000005642 // COMISIONES PAGO DE SERVICIOS 20612061760 SUNAT DETRACCIONES/0011-0486-0100203867/000005644 // COMISIONES PAGO DE SERVICIOS 20612061760 SUNAT DETRACCIONES/0011-0486-0100203867/000005646 // COMISIONES PAGO DE SERVICIOS 20612061760 SUNAT DETRACCIONES/0011-0486-0100203867/000005649 // COMISIONES PAGO DE SERVICIOS 20612061760 SUNAT DETRACCIONES/0011-0486-0100203867/000005651.</t>
  </si>
  <si>
    <t>08/05COMISIÓN SUNAT DETRACCIONES</t>
  </si>
  <si>
    <t>0000003538</t>
  </si>
  <si>
    <t>DP 0000001106</t>
  </si>
  <si>
    <t>ITF MAYO 2026</t>
  </si>
  <si>
    <t xml:space="preserve">10093004456         </t>
  </si>
  <si>
    <t>VEGA GONZALEZ, GUILLERMO MARTIN</t>
  </si>
  <si>
    <t>0000003425</t>
  </si>
  <si>
    <t>AP 0000000291</t>
  </si>
  <si>
    <t xml:space="preserve">DICTAMEN PERICIAL E001-1065 </t>
  </si>
  <si>
    <t>08/05GUILLERMO VEGA RH E001-1065 (TOTAL PAGADO POR RY ES S/7</t>
  </si>
  <si>
    <t>0000003349</t>
  </si>
  <si>
    <t>PR 0000000703</t>
  </si>
  <si>
    <t>PRESTAMO DE IC A CMO // PARA PAGO DE FT DE DCC CONSULTORES, ESTUDIO LOIC DUMAS Y PAGO DE LBS DE LUIS QUIROZ</t>
  </si>
  <si>
    <t>15/05/26 PRESTAMO DE IC A CMO // PARA PAGO DE FACTURAS DE DC</t>
  </si>
  <si>
    <t xml:space="preserve">20100017149         </t>
  </si>
  <si>
    <t>PANAMERICANA TELEVISION S A</t>
  </si>
  <si>
    <t>F F006-00014290</t>
  </si>
  <si>
    <t xml:space="preserve">PAUTA NO ESTATAL - PAUTA PUBLICITARIA SERVICIOS. - SERV. DIFERIDO    </t>
  </si>
  <si>
    <t>14/05/PANAMERICANA TELEVISIÓN (PAUTA NO ESTATAL) F006-000142</t>
  </si>
  <si>
    <t>0000003445</t>
  </si>
  <si>
    <t>PR 0000000729</t>
  </si>
  <si>
    <t>PRESTAMO A CMO // PARA EL PAGO DE LA FT F002-601 DCC CONSULTORES</t>
  </si>
  <si>
    <t>06/05/PRESTAMO DE IC A CMO // PARA PAGO DE FT DE DCC CONSULT</t>
  </si>
  <si>
    <t>0000003443</t>
  </si>
  <si>
    <t>15/05/ CMO PTMO PARA PAGO A CTA ESTUDIO CARLOS CARO US$ 10,0</t>
  </si>
  <si>
    <t>0000003352</t>
  </si>
  <si>
    <t>PR 0000000723</t>
  </si>
  <si>
    <t xml:space="preserve">PRESTAMO A CMO //REYES E001-1528 </t>
  </si>
  <si>
    <t xml:space="preserve">06/05/2026 PR DE IC A CMO REYES &amp; CONSULTORES ASOCIADOS SAC </t>
  </si>
  <si>
    <t>0000003242</t>
  </si>
  <si>
    <t>F F028-01074784</t>
  </si>
  <si>
    <t xml:space="preserve">SEGURO EPS // A/COB 10084108 // DOC R-4427325 // VIGENCIA 01/04/2026 AL 30/04/2026 </t>
  </si>
  <si>
    <t xml:space="preserve">12/05EPS PACÍFICO SALUD IC (FACTURA F028-01074784) </t>
  </si>
  <si>
    <t>0000003577</t>
  </si>
  <si>
    <t>PR 0000000732</t>
  </si>
  <si>
    <t xml:space="preserve">PRESTAMO A GG  IMPUESTOS </t>
  </si>
  <si>
    <t xml:space="preserve">29/05 PRESTAMO A GG IMPUESTOS </t>
  </si>
  <si>
    <t>0000003576</t>
  </si>
  <si>
    <t>07/05/2026</t>
  </si>
  <si>
    <t>RPR -0054951930</t>
  </si>
  <si>
    <t>RPR 0054951930</t>
  </si>
  <si>
    <t>07/05 AFP INTEGRA ABRIL</t>
  </si>
  <si>
    <t>0000003321</t>
  </si>
  <si>
    <t>PR 0000000698</t>
  </si>
  <si>
    <t>PRESTAMO DE IC A CMO // PARA EL PAGO DE LAS AFP´S</t>
  </si>
  <si>
    <t>12/05PR IC A CMO PARA EL PAGO DE AFP´S</t>
  </si>
  <si>
    <t xml:space="preserve">20555043261         </t>
  </si>
  <si>
    <t>ENGEREDE PERU S.A.C.</t>
  </si>
  <si>
    <t>0000003578</t>
  </si>
  <si>
    <t>PR 0000000702</t>
  </si>
  <si>
    <t>PRESTAMO DE IC A ENGEREDE // PARA PAGO A LA JUNTA DE PROPIETARIOS TORRE OMEGA OF 1304</t>
  </si>
  <si>
    <t>15/05 ENGEREDE PTMO PARA PAGO A LA JUNTA DE PROPIETARIOS TOR</t>
  </si>
  <si>
    <t>0000000040</t>
  </si>
  <si>
    <t>RPR -0054951938</t>
  </si>
  <si>
    <t>RPR 0054951938</t>
  </si>
  <si>
    <t>07/05 AFP HABITAT ABRIL</t>
  </si>
  <si>
    <t>0000003444</t>
  </si>
  <si>
    <t>15/05CMO PTMO PARA PAGO A CTA LBS LUIS FELIPE QUIROZ US$2,00</t>
  </si>
  <si>
    <t>0000003270</t>
  </si>
  <si>
    <t>04/05/2026</t>
  </si>
  <si>
    <t>F E001-00000032</t>
  </si>
  <si>
    <t>POR EL SALDO FINAL DEL 50% DEL SERVICIO DE AUDITORIA FINANCIERA DEL PERIODO 2025 EFECTUADO POR EL CONSORCIO DIAZ GALVEZ Y ASOCIADOS S.C/GUERRERO LAZABARA CC.PP S.C</t>
  </si>
  <si>
    <t>04/05DIAZ GALVEZ AUDITORES FACT E001-32 SALDO DE LA AUDITORÍ</t>
  </si>
  <si>
    <t>0000003304</t>
  </si>
  <si>
    <t>26/05 Reembolso N° 000000000303 a RY (almuerzo cumpleaños JC</t>
  </si>
  <si>
    <t>PR 0000000696</t>
  </si>
  <si>
    <t>PRESTAMO DE IC A CMO // PARA EL PAGO DE LA RENOVACION CF DEL CEA</t>
  </si>
  <si>
    <t>06/05 CMO PTMO PARA LA RENOVACIÓN CF DEL CEA</t>
  </si>
  <si>
    <t>0000003274</t>
  </si>
  <si>
    <t xml:space="preserve">POR EL SALDO FINAL DEL 50% DEL SERVICIO DE AUDITORIA FINANCIERA DEL PERIODO 2024 EFECTUADO POR EL CONSORCIO DIAZ GALVEZ Y ASOCIADOS S.C/GUERRERO LAZABARA CC.PP S.C  </t>
  </si>
  <si>
    <t>04/05DIAZ GALVEZ AUDITORES FACT E001-31 SALDO DE LA AUDITORÍ</t>
  </si>
  <si>
    <t>0000003453</t>
  </si>
  <si>
    <t>RPR 0054951942</t>
  </si>
  <si>
    <t>ptmo personal por S/ 5000 en 13 cuotas de 400 y la ultima de 200</t>
  </si>
  <si>
    <t>12/05 PRÉSTAMO A DANIEL VILLEGAS (A SER DESCONTADO EN 13 CUO</t>
  </si>
  <si>
    <t>RPR -0054951939</t>
  </si>
  <si>
    <t>RPR 0054951939</t>
  </si>
  <si>
    <t>07/05 AFP PRIMA ABRIL</t>
  </si>
  <si>
    <t>0000003442</t>
  </si>
  <si>
    <t>15/05 CMO PTMO PARA PAGO A ESTUDIO CARLOS CARO (detracción f</t>
  </si>
  <si>
    <t>0000003387</t>
  </si>
  <si>
    <t>29/05 CORREOS ENTEL IC</t>
  </si>
  <si>
    <t>RS S130-0000292285</t>
  </si>
  <si>
    <t xml:space="preserve">SERVICIO DE LUZ OFICINA MES DE ABRIL  - N° SUMINISTRO 1632540 OFICINA 1302 </t>
  </si>
  <si>
    <t>12/05LUZ DEL SUR N° SUMINISTRO 1632540 OF 1302 VCTO 18.05.26</t>
  </si>
  <si>
    <t>0000003585</t>
  </si>
  <si>
    <t>12/05 PAGO DE REEMBOLSO JCV - VIATICOS URUGUAY</t>
  </si>
  <si>
    <t>0000003579</t>
  </si>
  <si>
    <t xml:space="preserve">14/05 CAJA CHICA GB </t>
  </si>
  <si>
    <t>0000003310</t>
  </si>
  <si>
    <t>PR 0000000705</t>
  </si>
  <si>
    <t>PR DE IC A CMO // PARA EL PAGO DE S10 VENCIDOS DE CSZP</t>
  </si>
  <si>
    <t>15/05CMO PTMO PARA PAGO AL S10 (PAGOS VENCIDOS DEL CSZ) PR N</t>
  </si>
  <si>
    <t>0000003319</t>
  </si>
  <si>
    <t>12/05REEMBOLSO JCV Reembolso N° 000000000287, 291, 292 y 293</t>
  </si>
  <si>
    <t>0000003463</t>
  </si>
  <si>
    <t>DP 0000001097</t>
  </si>
  <si>
    <t xml:space="preserve"> POR REBOTE DE CUENTA - EXTORNO  CTS JB</t>
  </si>
  <si>
    <t>15/05 ABONO POR DEVOLUCION - CTS JIMY BASTIDAS</t>
  </si>
  <si>
    <t>0000003581</t>
  </si>
  <si>
    <t xml:space="preserve">26/05 CAJA CHICA GB </t>
  </si>
  <si>
    <t>RS S130-0000292267</t>
  </si>
  <si>
    <t xml:space="preserve">SERVICIO DE LUZ OFICINA MES DE ABRIL 2026  - N° SUMINISTRO 1632521 OF 1303  </t>
  </si>
  <si>
    <t>12/05 LUZ DEL SUR N° SUMINISTRO 1632521 OF 1303 VCTO 18.05.2</t>
  </si>
  <si>
    <t>0000003353</t>
  </si>
  <si>
    <t>PR 0000000713</t>
  </si>
  <si>
    <t>PRESTAMO A GG PARA EL PAGO A LA NOTARIA EL POZO - PRESENTACION DE DOCUMENTOS EN LA EMBAJADA EE.UU</t>
  </si>
  <si>
    <t>28/05/26PTMO A G GOMERO (PAGO A NOTARIA DEL POZO)</t>
  </si>
  <si>
    <t>0000000042</t>
  </si>
  <si>
    <t>RPR -0054951931</t>
  </si>
  <si>
    <t>RPR 0054951931</t>
  </si>
  <si>
    <t>07/05 AFP PROFUTURO</t>
  </si>
  <si>
    <t>F F027-01078898</t>
  </si>
  <si>
    <t>SEGURO EPS // A/COB 10052113 // DOC R-4400515 // VIGENCIA 01/03/2026 AL 31/03/2026</t>
  </si>
  <si>
    <t xml:space="preserve">12/05 EPS PACÍFICO SALUD IC (FACTURA F027-01078898) </t>
  </si>
  <si>
    <t>0000003356</t>
  </si>
  <si>
    <t>F F028-01074785</t>
  </si>
  <si>
    <t xml:space="preserve">SEGURO EPS // A/COB 10084109 // DOC R-4427326 // VIGENCIA 01/04/2026 AL 30/04/2026 </t>
  </si>
  <si>
    <t>29/05/26EPS PACIFICO ABRIL 2026</t>
  </si>
  <si>
    <t>F E001-00008773</t>
  </si>
  <si>
    <t xml:space="preserve">ASESORIA TRIBUTARIA Y COORPORATIVA - MES DE ABRIL 2026 </t>
  </si>
  <si>
    <t xml:space="preserve">08/05 PAGO DE DETRACCIONES </t>
  </si>
  <si>
    <t>F F050-02054178</t>
  </si>
  <si>
    <t>SEGURO VIDA LEY // DOC AC 3074369 // POLIZA 132563 // GIRO 110 // VIGENCIA 01/04/2026 AL 30/04/2026</t>
  </si>
  <si>
    <t xml:space="preserve">18/05PACIFICO COMPAÑÍA DE SEGUROS Y REASEGUROS (SEGURO VIDA </t>
  </si>
  <si>
    <t>0000002957</t>
  </si>
  <si>
    <t>12/05 Reembolso N° 000000000288 REGALOS DIA DE LA MADRE CARO</t>
  </si>
  <si>
    <t xml:space="preserve">20511346216         </t>
  </si>
  <si>
    <t>EL ALAMBIQUE DE AZPITIA S.A.C.</t>
  </si>
  <si>
    <t>0000003466</t>
  </si>
  <si>
    <t>F F001-00008338</t>
  </si>
  <si>
    <t xml:space="preserve">COMPRA DE PISCO SARCAY ITALIA BLACK EDITION 750ML OBSEQUIO POR EL DIA DEL PADRE </t>
  </si>
  <si>
    <t>26/05COMPRA DE PISCO SARCAY PARA EL DÍA DEL PADRE</t>
  </si>
  <si>
    <t>0000003350</t>
  </si>
  <si>
    <t>12/05/26REEMBOLSO N° 000000000290 YANIRA ROSALES (PASAJE A C</t>
  </si>
  <si>
    <t>0000003473</t>
  </si>
  <si>
    <t>F E001-00000185</t>
  </si>
  <si>
    <t xml:space="preserve">50% DE ADELANTO - SERVICIO DE MANTENIMIENTO PREVENTIVO Y CORRECTIVO DE EQUIPOS DE AIRE ACONDICIONADO - COT 078-26. </t>
  </si>
  <si>
    <t xml:space="preserve">14/05 NOVATECH J&amp;M SERVICIOS GENERALES (FACT E001-184 Y 185) </t>
  </si>
  <si>
    <t>0000003477</t>
  </si>
  <si>
    <t>20/05 PAGO DE REEMBOLSO 294 Y 300 DE JCV</t>
  </si>
  <si>
    <t>0000000047</t>
  </si>
  <si>
    <t>F E001-00000029</t>
  </si>
  <si>
    <t xml:space="preserve">POR EL 50% DE ADELANTO DEL SERVICIO DE AUDITORIA FINANCIERA DEL AÑO 2024. </t>
  </si>
  <si>
    <t>F E001-00000030</t>
  </si>
  <si>
    <t xml:space="preserve">POR EL 50% DE ADELANTO DEL SERVICIO DE AUDITORIA FINANCIERA DEL PERIODO 2025 / PAGO ANTICIPADO </t>
  </si>
  <si>
    <t>0000003475</t>
  </si>
  <si>
    <t>F E001-00000191</t>
  </si>
  <si>
    <t xml:space="preserve">50% SALDO - SERVICIO DE MANTENIMIENTO PREVENTIVO Y CORRECTIVO DE EQUIPO DE AIRE ACONDICIONADO - COT 078-26 </t>
  </si>
  <si>
    <t xml:space="preserve">26/05 PAGO A PROVEEDOR NOVATECH E001- 190 Y E001- 191 </t>
  </si>
  <si>
    <t>0000003398</t>
  </si>
  <si>
    <t>PR 0000000714</t>
  </si>
  <si>
    <t>PRESTAMO A GG PARA EL PAGO A LA NOTARIA VIDAL - PRESENTACION DE DOCUMENTOS EN LA EMBAJADA EE.UU</t>
  </si>
  <si>
    <t>28/05 PTMO A G GOMERO (PAGO A LA NOTARIA VIDAL)</t>
  </si>
  <si>
    <t>0000003001</t>
  </si>
  <si>
    <t>F F001-00040878</t>
  </si>
  <si>
    <t xml:space="preserve">ALQUILER DE LICENCIA DE NOMINAS Y CONTABILIDAD - MARZO 2026  </t>
  </si>
  <si>
    <t>12/05 LICENCIAS S10 $424.8 (FACT F001-41485 Y FACT F001-4087</t>
  </si>
  <si>
    <t>F F001-00041485</t>
  </si>
  <si>
    <t>ALQUILER DE LICENCIA DE NOMINAS Y CONTABILIDAD - PERIODO: 04 ABRIL 2026</t>
  </si>
  <si>
    <t>F E001-00000184</t>
  </si>
  <si>
    <t xml:space="preserve">50% ADELANTO - SERVICIO DE MANTENIMIENTO PREVENTIVO DE EQUIPOS DE AIRE ACONDICIONADO- COT 077.-26 </t>
  </si>
  <si>
    <t>0000003464</t>
  </si>
  <si>
    <t>F E001-00000503</t>
  </si>
  <si>
    <t>COMPRA DE 10 TOMATODOS BRANDEADOS GRABADO DE LOGO Y NOMBRE PERSONALIZADOS EN LASER - CLIENTES GG</t>
  </si>
  <si>
    <t>15/05 GRUPO RECRE8 SAC (FACTURA E001-503)</t>
  </si>
  <si>
    <t>F E001-00000190</t>
  </si>
  <si>
    <t xml:space="preserve">50% SALDO - SERVICIO DE MANTENIMIENTO PREVENTIVO DE EQUIPOS DE AIRE ACONDICIONADO - COT 077.1-26 </t>
  </si>
  <si>
    <t>0000003397</t>
  </si>
  <si>
    <t>PR 0000000715</t>
  </si>
  <si>
    <t>PRESTAMO A GG PARA EL PAGO A LA NOTARIA HERRERA CERRERA - PRESENTACION DE DOCUMENTOS EN LA EMBAJADA EE.UU</t>
  </si>
  <si>
    <t>28/05 PTMO A G GOMERO (PAGO A NOTARIA HERRERA CARRERA)</t>
  </si>
  <si>
    <t>0000003257</t>
  </si>
  <si>
    <t>RS S006-0000183566</t>
  </si>
  <si>
    <t xml:space="preserve">CARGOS FIJOS DEL 01/05/2026 AL 31/05/2026 ON EMPRESAS - 60MBPS // 01/05/2026 AL 31/05/2026 POOL 8 IP ADICIONALES. </t>
  </si>
  <si>
    <t>20/05 INTERNET ON NEGOCIOS (CLIENTE 1231200 Recibo N° S006-0</t>
  </si>
  <si>
    <t>0000003405</t>
  </si>
  <si>
    <t>PR 0000000716</t>
  </si>
  <si>
    <t>PRESTAMO A GG PARA EL PAGO A LA NOTARIA TAMBINI - PRESENTACION DE DOCUMENTOS EN LA EMBAJADA EE.UU</t>
  </si>
  <si>
    <t>28/05PTMO A G GOMERO (PAGO A NOTARIA TAMBINI)</t>
  </si>
  <si>
    <t>0000003483</t>
  </si>
  <si>
    <t xml:space="preserve">26/05/ PAGO DE REEMBOLSO PARCIAL A GB </t>
  </si>
  <si>
    <t>0000003244</t>
  </si>
  <si>
    <t>ER 0000000225</t>
  </si>
  <si>
    <t>VIATICOS DE ARAMIS POR VISITA TÉCNICA A LA OBRA HOSPITAL CHOTA EN EL DEPARTAMENTO DE CAJAMARCA</t>
  </si>
  <si>
    <t>06/05 ENTREGA A RENDIR N° 225(VIÁTICOS ARAMIS CUYUBAMBA PARA</t>
  </si>
  <si>
    <t>0000000053</t>
  </si>
  <si>
    <t>MANEJO DE REDES SOCIALES MARZO - ABRIL 2026</t>
  </si>
  <si>
    <t>0000003325</t>
  </si>
  <si>
    <t>26/05 Reembolso N° 000000000295 a Elizabeth V (gtos y movili</t>
  </si>
  <si>
    <t>0000003461</t>
  </si>
  <si>
    <t>F F091-00120101</t>
  </si>
  <si>
    <t xml:space="preserve">SEGURO FOLA // DOC AC 95044186 // POLIZA 21474364 // GIRO 116767745 // VIGENCIA 01/04/2026 AL 30/04/2026 </t>
  </si>
  <si>
    <t>29/05PACIFICO FOLA ABRIL 2026</t>
  </si>
  <si>
    <t>0000003393</t>
  </si>
  <si>
    <t>DP 0000001091</t>
  </si>
  <si>
    <t>ITF Y COMISIONES BANCARIAS MES DE MAYO 2026</t>
  </si>
  <si>
    <t>29/05 ITF Y COMISIONES BANCARIAS</t>
  </si>
  <si>
    <t>0000000068</t>
  </si>
  <si>
    <t>0000000065</t>
  </si>
  <si>
    <t>0000000059</t>
  </si>
  <si>
    <t>F F001-00039640</t>
  </si>
  <si>
    <t xml:space="preserve">ALQUILER DE LICENCIA DE NOMINAS Y CONTABILIDAD - ENERO2026 </t>
  </si>
  <si>
    <t>0000000062</t>
  </si>
  <si>
    <t>F F001-00040312</t>
  </si>
  <si>
    <t>ALQUILER DE LICENCIA DE NOMINAS Y CONTABILIDAD - FEBRERO 2026</t>
  </si>
  <si>
    <t>0000000044</t>
  </si>
  <si>
    <t xml:space="preserve">INSTALACION DEL SISTEMA DE CONTROL DE ASISTENCIA -CO-PE-1PE0126-017   </t>
  </si>
  <si>
    <t>0000003003</t>
  </si>
  <si>
    <t>F FF19-19907657</t>
  </si>
  <si>
    <t>COMISIONES 0090282112402190120 EMISION TRANSF. CCE 0004609117/0011-0486-0100203875 // COMISIONES 00219300003344210710 EMISION TRANSF. CCE 0004609120/0011-0486-0100203875 // COMISIONES 00219117736911011452 EMISION TRANSF. CCE 0004609118/0011-0486-0100203875</t>
  </si>
  <si>
    <t>12/05 COMISIÓN DE TRANSFERENCIA</t>
  </si>
  <si>
    <t>DP 0000001096</t>
  </si>
  <si>
    <t>AJUSTE MONETARIO POR EL PAGO DE PLANILLA MES DE MAYO 2026</t>
  </si>
  <si>
    <t>0000003552</t>
  </si>
  <si>
    <t>TR 0000000104</t>
  </si>
  <si>
    <t>TRANSFERENCIA DE FONDOS A CUENTA  SOLES ADM</t>
  </si>
  <si>
    <t>0000003481</t>
  </si>
  <si>
    <t>DP 0000000032</t>
  </si>
  <si>
    <t>ABONO POR EXTORNO CTS</t>
  </si>
  <si>
    <t>0000000107</t>
  </si>
  <si>
    <t>31/05/2026</t>
  </si>
  <si>
    <t>0000002979</t>
  </si>
  <si>
    <t>DP 0000001069</t>
  </si>
  <si>
    <t>RECTIFICATORIA PERIODO ENERO 2026 - PAGO DE RENTA 3ERA + INTERES + MULTA</t>
  </si>
  <si>
    <t>18/05 vTRIBUTO OMITIDO MÁS INT DE ENERO 26 (ingreso fue fact</t>
  </si>
  <si>
    <t>0000002980</t>
  </si>
  <si>
    <t>DP 0000001070</t>
  </si>
  <si>
    <t xml:space="preserve">PAGO DE RENTA 3ERA - ABRIL 2026  </t>
  </si>
  <si>
    <t xml:space="preserve">18/05RENTA ABRIL (S/44,728-14,160 BN) </t>
  </si>
  <si>
    <t>DP 0000001067</t>
  </si>
  <si>
    <t>PAGO DE RENTA DE 4TA - ABRIL 2026</t>
  </si>
  <si>
    <t>0000002967</t>
  </si>
  <si>
    <t xml:space="preserve">18/05 PAGO DE IMPUESTOS ABRIL RENTA 3ERA </t>
  </si>
  <si>
    <t>RPR -0054951929</t>
  </si>
  <si>
    <t>RPR 0054951929</t>
  </si>
  <si>
    <t>RPR -0054951932</t>
  </si>
  <si>
    <t>RPR 0054951932</t>
  </si>
  <si>
    <t>RPR -0054951940</t>
  </si>
  <si>
    <t>RPR 0054951940</t>
  </si>
  <si>
    <t>Fecha de Emisión</t>
  </si>
  <si>
    <t>t</t>
  </si>
  <si>
    <t>0000000489</t>
  </si>
  <si>
    <t>TR 0000000091</t>
  </si>
  <si>
    <t>0000002934</t>
  </si>
  <si>
    <t>TR 0000000098</t>
  </si>
  <si>
    <t xml:space="preserve">TRANSFERENCIA ENTRE CUENTAS DE SOLES A DOLARES  </t>
  </si>
  <si>
    <t>0000002935</t>
  </si>
  <si>
    <t>0000002960</t>
  </si>
  <si>
    <t>TR 0000000099</t>
  </si>
  <si>
    <t>0000002961</t>
  </si>
  <si>
    <t>0000003008</t>
  </si>
  <si>
    <t>TR 0000000100</t>
  </si>
  <si>
    <t xml:space="preserve">TRANSFERENCIA ENTRE CUENTAS DE SOLES A DOLARES </t>
  </si>
  <si>
    <t>0000003009</t>
  </si>
  <si>
    <t>0000003307</t>
  </si>
  <si>
    <t>TR 0000000101</t>
  </si>
  <si>
    <t>0000003308</t>
  </si>
  <si>
    <t>0000002850</t>
  </si>
  <si>
    <t>TR 0000000094</t>
  </si>
  <si>
    <t>0000002851</t>
  </si>
  <si>
    <t>0000002847</t>
  </si>
  <si>
    <t>TR 0000000093</t>
  </si>
  <si>
    <t>TRANSFERENCIA ENTRE CUENTAS</t>
  </si>
  <si>
    <t>0000002848</t>
  </si>
  <si>
    <t>0000002922</t>
  </si>
  <si>
    <t>TR 0000000095</t>
  </si>
  <si>
    <t>0000002923</t>
  </si>
  <si>
    <t>0000003181</t>
  </si>
  <si>
    <t>TR 0000000097</t>
  </si>
  <si>
    <t>0000003182</t>
  </si>
  <si>
    <t>TR 0000000090</t>
  </si>
  <si>
    <t>0000000538</t>
  </si>
  <si>
    <t>TR 0000000089</t>
  </si>
  <si>
    <t>0000000542</t>
  </si>
  <si>
    <t>0000002093</t>
  </si>
  <si>
    <t>TR 0000000087</t>
  </si>
  <si>
    <t>0000002094</t>
  </si>
  <si>
    <t>0000001989</t>
  </si>
  <si>
    <t>TR 0000000086</t>
  </si>
  <si>
    <t>TRANSFERENCIA DE FONDOS A  CTA USD</t>
  </si>
  <si>
    <t>0000001990</t>
  </si>
  <si>
    <t>10100021 Caja Chica MN</t>
  </si>
  <si>
    <t>02. Asignación de pago</t>
  </si>
  <si>
    <t>0000002005</t>
  </si>
  <si>
    <t>0000001995</t>
  </si>
  <si>
    <t>0000002147</t>
  </si>
  <si>
    <t>12. Reembolsos</t>
  </si>
  <si>
    <t>REMBOLSO DE CAJA CHICA  YROSALES</t>
  </si>
  <si>
    <t>17/12/2025</t>
  </si>
  <si>
    <t>FACTURAS POR CAJA CHICA AL 31.12.2025</t>
  </si>
  <si>
    <t>0000000115</t>
  </si>
  <si>
    <t>GASTOS CAJA CHICA AL 26.01.2026</t>
  </si>
  <si>
    <t>0000000075</t>
  </si>
  <si>
    <t xml:space="preserve">FACTURAS POR CAJA CHICA AL 14.01.2026 </t>
  </si>
  <si>
    <t>0000000558</t>
  </si>
  <si>
    <t>0000000188</t>
  </si>
  <si>
    <t>REMBOLSO DE GASTOS CAJA CHICA AL 12.02.2026</t>
  </si>
  <si>
    <t>0000000252</t>
  </si>
  <si>
    <t>16/02/2026</t>
  </si>
  <si>
    <t xml:space="preserve">REMBOLSO DE CAJA CHICA AL 20.02.26 </t>
  </si>
  <si>
    <t>0000000868</t>
  </si>
  <si>
    <t>0000000866</t>
  </si>
  <si>
    <t xml:space="preserve">REEMBOLSO POR GASTOS DE CAJA CHICA </t>
  </si>
  <si>
    <t>25/03/2026</t>
  </si>
  <si>
    <t>FACTURAS POR GASTOS DE CAJA CHICA AL 31.03.2026</t>
  </si>
  <si>
    <t>0000000045</t>
  </si>
  <si>
    <t>GASTOS POR CAJA CHICA AL 09.03.2026</t>
  </si>
  <si>
    <t>0000000377</t>
  </si>
  <si>
    <t xml:space="preserve">REEMBOLSO CAJA OPERATIVA FACTURA POR GASTOS AL 18.03.2026 </t>
  </si>
  <si>
    <t>0000003279</t>
  </si>
  <si>
    <t>0000003277</t>
  </si>
  <si>
    <t>0000003273</t>
  </si>
  <si>
    <t>0000002945</t>
  </si>
  <si>
    <t>REEMBOLSO POR GASTOS REALIZADOS DE CAJA CHICA AL 15.05.2026</t>
  </si>
  <si>
    <t>0000000005</t>
  </si>
  <si>
    <t xml:space="preserve">FACTURAS POR GASTOS DE CAJA CHICA AL 30.04.2026 </t>
  </si>
  <si>
    <t>0000002886</t>
  </si>
  <si>
    <t xml:space="preserve">REEMBOLSO POR GASTOS DE CAJA CHICA AL 20.04.2026 </t>
  </si>
  <si>
    <t>0000003580</t>
  </si>
  <si>
    <t>04. Asiento manual</t>
  </si>
  <si>
    <t>0000003612</t>
  </si>
  <si>
    <t>RECLASIFICACION DE CUENTAS REEEMBOLSO DE CAJA CHICA</t>
  </si>
  <si>
    <t>0000003582</t>
  </si>
  <si>
    <t>0000003269</t>
  </si>
  <si>
    <t>FACTURAS POR GASTOS DE CAJA CHICA AL 25.05.2026</t>
  </si>
  <si>
    <t>0000000020</t>
  </si>
  <si>
    <t>GASTOS REALIZADOS POR CAJA CHICA  AL 03.06.2026</t>
  </si>
  <si>
    <t>JUN</t>
  </si>
  <si>
    <t>N° Correlativo Libro</t>
  </si>
  <si>
    <t>000000000001</t>
  </si>
  <si>
    <t>202606 Junio 2026</t>
  </si>
  <si>
    <t>05/06/2026</t>
  </si>
  <si>
    <t>GASTOS REAIZADOS POR CAJA CHICA AL 08.06.2026</t>
  </si>
  <si>
    <t>80688541</t>
  </si>
  <si>
    <t xml:space="preserve">  </t>
  </si>
  <si>
    <t>Pagado</t>
  </si>
  <si>
    <t>19/09/2024</t>
  </si>
  <si>
    <t>0000003340</t>
  </si>
  <si>
    <t>11/06/2026</t>
  </si>
  <si>
    <t>0000003895</t>
  </si>
  <si>
    <t>03/06/2026</t>
  </si>
  <si>
    <t>03/06 REMBOLSO CAJA CHICA</t>
  </si>
  <si>
    <t>Transferencia Bancaria</t>
  </si>
  <si>
    <t>0011-0486-0100203867</t>
  </si>
  <si>
    <t>BBVA SOLES</t>
  </si>
  <si>
    <t>0000003897</t>
  </si>
  <si>
    <t>11/06 REMBOLSO CAJA CHICA</t>
  </si>
  <si>
    <t>0000004040</t>
  </si>
  <si>
    <t>15/06/2026</t>
  </si>
  <si>
    <t>15/06 CAJA OPERATIVA IC</t>
  </si>
  <si>
    <t>0000004042</t>
  </si>
  <si>
    <t>25/06/2026</t>
  </si>
  <si>
    <t xml:space="preserve">25/06 CAJA CHICA GB  </t>
  </si>
  <si>
    <t>0000003797</t>
  </si>
  <si>
    <t>0000000003</t>
  </si>
  <si>
    <t>10/06/2026</t>
  </si>
  <si>
    <t>FE E001-00000339</t>
  </si>
  <si>
    <t>Déposito</t>
  </si>
  <si>
    <t>Cobrado</t>
  </si>
  <si>
    <t>0000003798</t>
  </si>
  <si>
    <t>0000000004</t>
  </si>
  <si>
    <t>FE E001-00000340</t>
  </si>
  <si>
    <t>0000003803</t>
  </si>
  <si>
    <t>0000000023</t>
  </si>
  <si>
    <t>17/06/2026</t>
  </si>
  <si>
    <t>FE E001-00000289</t>
  </si>
  <si>
    <t>SERVICIO DE ASESORIA TECNICO - LEGAL ESPECIALIZADA EN ADMINISTRACION CONTRACTUAL EN EL PROYECTO : RECONSTRUCCION Y CULMINACION DE LA OBRA : REHABILITACION Y MEJORAMIENTO DE LA CARRETERA LIMA CANTA_x000D_
UNISH; TRAMO:LIMA CANTA , PROVINCIA DE LIMA,DPTO LIMA</t>
  </si>
  <si>
    <t>COBRANZA FACTURA E001-289</t>
  </si>
  <si>
    <t>0000003804</t>
  </si>
  <si>
    <t>FE E001-00000316</t>
  </si>
  <si>
    <t>COBRANZA DE FACTURA E001-316</t>
  </si>
  <si>
    <t>0000003805</t>
  </si>
  <si>
    <t>0000000006</t>
  </si>
  <si>
    <t>FE E001-00000342</t>
  </si>
  <si>
    <t>SERVICIO DE ASESORIA TECNICO - LEGAL ESPECIALIZADA EN ADMINISTRACION CONTRACTUAL EN EL PROYECTO : HOSPITAL DOCENTE REGIONAL DE TRUJILLO - CORRESPONDIENTE A MAYO 2026</t>
  </si>
  <si>
    <t>COBRANZA FACTURA E001-342</t>
  </si>
  <si>
    <t>0000003806</t>
  </si>
  <si>
    <t>0000000013</t>
  </si>
  <si>
    <t>FE E001-00000332</t>
  </si>
  <si>
    <t>SERVICIO DE ASESORIA TECNICO - LEGAL ESPECIALIZADA EN ADMINISTRACION CONTRACTUAL EN EL PROYECTO: RECONSTRUCCION Y CULMINACION DE LA OBRA : REHABILITACION Y MEJORAMIENTO DE LA CARRETERA LIMA CANTA UNISH; TRAMO:LIMA CANTA, PROV. LIMA; DPTA. LIMA</t>
  </si>
  <si>
    <t>COBRANZA FACTURA E001-332</t>
  </si>
  <si>
    <t>0000003815</t>
  </si>
  <si>
    <t>18/06/2026</t>
  </si>
  <si>
    <t>FE E001-00000337</t>
  </si>
  <si>
    <t>COBRANZA FACTURA E001-337</t>
  </si>
  <si>
    <t>0000003818</t>
  </si>
  <si>
    <t>23/06/2026</t>
  </si>
  <si>
    <t>FE E001-00000341</t>
  </si>
  <si>
    <t>SERVICIO DE ASESORIA TECNICO - LEGAL ESPECIALIZADA EN ADMINISTRACION CONTRACTUAL EN EL PROYECTO: RECONSTRUCCION Y CULMINACION DE LA OBRA : REHABILITACION Y MEJORAMIENTO DE LA CARRETERA LIMA CANTA UNISH; TRAMO:LIMA CANTA, PROV. LIMA; DPTA. LIMA - CORRESPON</t>
  </si>
  <si>
    <t>COBRANZA DE FACTURA E001-341</t>
  </si>
  <si>
    <t>0000003852</t>
  </si>
  <si>
    <t>COBRANZA DE FACTURA 357,358,359</t>
  </si>
  <si>
    <t>0000004010</t>
  </si>
  <si>
    <t>0000000007</t>
  </si>
  <si>
    <t>27/06/2026</t>
  </si>
  <si>
    <t>FE E001-00000343</t>
  </si>
  <si>
    <t>SERVICIO DE ASESORIA TECNICO - LEGAL ESPECIALIZADA EN ADMINISTRACION CONTRACTUAL EN EL PROYECTO : CREACION DE LOS SERVICIOS DE SALUD DEL HOSPITAL PARA FRANCISCO DE MANCHAY-PROV. LIMA - DPTO. LIMA - CUI 2525722 - CORRESPONDIENTE A MAYO 2026</t>
  </si>
  <si>
    <t>COBRANZA DE FACTURA E001-343</t>
  </si>
  <si>
    <t>0000003318</t>
  </si>
  <si>
    <t>08/06/2026</t>
  </si>
  <si>
    <t>COBRANZA DE DETRACCION E001-339</t>
  </si>
  <si>
    <t>0000000016</t>
  </si>
  <si>
    <t>12/06/2026</t>
  </si>
  <si>
    <t>COBRANZA DE FACTURA E001-335</t>
  </si>
  <si>
    <t>0000003322</t>
  </si>
  <si>
    <t>COBRANZA DE FACTURA E001-340</t>
  </si>
  <si>
    <t>0000003839</t>
  </si>
  <si>
    <t>24/06/2026</t>
  </si>
  <si>
    <t>COBRANZA DE FACTURA E001-289</t>
  </si>
  <si>
    <t>0000003840</t>
  </si>
  <si>
    <t>0000003841</t>
  </si>
  <si>
    <t>COBRANZA DE FACTURA E001-332</t>
  </si>
  <si>
    <t>0000003842</t>
  </si>
  <si>
    <t>COBRANZA DE FACTURA  E001-343</t>
  </si>
  <si>
    <t>0000003859</t>
  </si>
  <si>
    <t>02/06/2026</t>
  </si>
  <si>
    <t>PR 0000000743</t>
  </si>
  <si>
    <t xml:space="preserve">PRESTAMO DE RY  </t>
  </si>
  <si>
    <t>PRESTAMO RECIBIDO PR 743</t>
  </si>
  <si>
    <t>0000003925</t>
  </si>
  <si>
    <t>000000000107</t>
  </si>
  <si>
    <t>09/06/2026</t>
  </si>
  <si>
    <t>TR 0000000107</t>
  </si>
  <si>
    <t>TRANSFERENCIA BANCARIA</t>
  </si>
  <si>
    <t>0000004005</t>
  </si>
  <si>
    <t>DP 0000000035</t>
  </si>
  <si>
    <t xml:space="preserve">INGRESOS DE CMO   </t>
  </si>
  <si>
    <t xml:space="preserve">INGRESOS DE CMO </t>
  </si>
  <si>
    <t>0000004012</t>
  </si>
  <si>
    <t>30/06/2026</t>
  </si>
  <si>
    <t>PR 0000000752</t>
  </si>
  <si>
    <t xml:space="preserve">PRESTAMO DE RY   </t>
  </si>
  <si>
    <t xml:space="preserve">PRESTAMO RECIBIDO RY </t>
  </si>
  <si>
    <t>0000003945</t>
  </si>
  <si>
    <t>0000000002</t>
  </si>
  <si>
    <t>RH E001-0000000256</t>
  </si>
  <si>
    <t xml:space="preserve">SERVICIO DE ASESORIA EN GESTION CONTRACTUAL DE OBRAS PÚBLICAS MES DE JUNIO 2026  </t>
  </si>
  <si>
    <t>30/06HONORARIOS LOCADORES JUNIO IC</t>
  </si>
  <si>
    <t>0000003953</t>
  </si>
  <si>
    <t>000000000294</t>
  </si>
  <si>
    <t>AP 0000000294</t>
  </si>
  <si>
    <t xml:space="preserve">ANTICIPO A JCMF POR ASESORIA LEGAL MES DE JUNIO 2026 </t>
  </si>
  <si>
    <t>30/06HONORARIOS LOCADORES JUNIO IC O/B</t>
  </si>
  <si>
    <t>0000003968</t>
  </si>
  <si>
    <t>000000000295</t>
  </si>
  <si>
    <t>AP 0000000295</t>
  </si>
  <si>
    <t>ANTICIPO POR EL SERVICIO DE SOPORTE AL AREA DE SISTEMAS MES DE JUNIO RxH E001-72</t>
  </si>
  <si>
    <t>30/06 E001-84 GUZMAN EDUARDO // AP 295 CCORISAPRA MUÑOZ ALEX</t>
  </si>
  <si>
    <t>29/06/2026</t>
  </si>
  <si>
    <t xml:space="preserve">10729760167         </t>
  </si>
  <si>
    <t>GUZMAN LLOCLLA, EDUARDO ROGELIO</t>
  </si>
  <si>
    <t>000000000296</t>
  </si>
  <si>
    <t>AP 0000000296</t>
  </si>
  <si>
    <t xml:space="preserve">ADELANTO POR SERVICIO JULIO 2026  </t>
  </si>
  <si>
    <t>RH E001-0000000084</t>
  </si>
  <si>
    <t>SERVICIO DE ASESOR TECNICO - ADMINISTRACION DE CONTRATOS - DEL 08 AL 30 DE JUNIO 2026</t>
  </si>
  <si>
    <t>0000004018</t>
  </si>
  <si>
    <t>000000000434</t>
  </si>
  <si>
    <t>RPR 0054952104</t>
  </si>
  <si>
    <t>11/06LBS GEOVANNI AYALA</t>
  </si>
  <si>
    <t>000000000445</t>
  </si>
  <si>
    <t>RPR 0054952115</t>
  </si>
  <si>
    <t>0000004019</t>
  </si>
  <si>
    <t>24/06|LIQUIDACIÓN DE BENEFICIOS SOCIALES GUILLERMO ESPINO</t>
  </si>
  <si>
    <t>0000004020</t>
  </si>
  <si>
    <t>30/06 PLANILLA JUNIO IC</t>
  </si>
  <si>
    <t>0000004021</t>
  </si>
  <si>
    <t>30/06 PLANILLA JUNIO IC O/B</t>
  </si>
  <si>
    <t>0000004022</t>
  </si>
  <si>
    <t>000000000386</t>
  </si>
  <si>
    <t>RPR 0054952056</t>
  </si>
  <si>
    <t>30/06 PLANILLA PRACTICANTES JUNIO IC</t>
  </si>
  <si>
    <t>0000004023</t>
  </si>
  <si>
    <t>000000000387</t>
  </si>
  <si>
    <t>RPR 0054952057</t>
  </si>
  <si>
    <t>30/06 PLANILLA PRACTICANTES JUNIIO IC O/B</t>
  </si>
  <si>
    <t>0000004024</t>
  </si>
  <si>
    <t>30/06PLANILLA JUNIO IC - 2DA  PARTE</t>
  </si>
  <si>
    <t>000000000435</t>
  </si>
  <si>
    <t>RPR 0054952105</t>
  </si>
  <si>
    <t>000000000437</t>
  </si>
  <si>
    <t>RPR 0054952107</t>
  </si>
  <si>
    <t>0000004025</t>
  </si>
  <si>
    <t>000000000436</t>
  </si>
  <si>
    <t>RPR 0054952106</t>
  </si>
  <si>
    <t>30/06PLANILLA JUNIO IC O/B 2DA PARTE</t>
  </si>
  <si>
    <t>0000004026</t>
  </si>
  <si>
    <t>000000001151</t>
  </si>
  <si>
    <t>DP 0000001151</t>
  </si>
  <si>
    <t>INTERESES GENERADOS POR PAGAR FUERA DE FECHA LAS UTILIDADES IC - PERIODO: ANUAL 2025</t>
  </si>
  <si>
    <t>15/06 PARTICIPACIÓN DE UTILIDADES 25 A LOS TRABAJADORES O/B</t>
  </si>
  <si>
    <t xml:space="preserve">10007934969         </t>
  </si>
  <si>
    <t>SUMARRIVA LEZAMA, ILICH EDUARDO GUSTAVO</t>
  </si>
  <si>
    <t>000000000402</t>
  </si>
  <si>
    <t>RPR 0054952072</t>
  </si>
  <si>
    <t>PLANILLA DE PAGO UTILIDADES</t>
  </si>
  <si>
    <t>HUAMAN FLORES, ALBINA</t>
  </si>
  <si>
    <t>000000000403</t>
  </si>
  <si>
    <t>RPR 0054952073</t>
  </si>
  <si>
    <t>000000000406</t>
  </si>
  <si>
    <t>RPR 0054952076</t>
  </si>
  <si>
    <t>000000000418</t>
  </si>
  <si>
    <t>RPR 0054952088</t>
  </si>
  <si>
    <t>SALAZAR VALENZUELA, FLOR ALYSSA</t>
  </si>
  <si>
    <t>000000000422</t>
  </si>
  <si>
    <t>RPR 0054952092</t>
  </si>
  <si>
    <t>000000000426</t>
  </si>
  <si>
    <t>RPR 0054952096</t>
  </si>
  <si>
    <t>0000004027</t>
  </si>
  <si>
    <t>15/06 PARTICIPACIÓN DE UTILIDADES 25 A LOS TRABAJADORES M/B</t>
  </si>
  <si>
    <t>000000000400</t>
  </si>
  <si>
    <t>RPR 0054952070</t>
  </si>
  <si>
    <t>000000000401</t>
  </si>
  <si>
    <t>RPR 0054952071</t>
  </si>
  <si>
    <t xml:space="preserve">10452425756         </t>
  </si>
  <si>
    <t>CORDOVA CORDOVA, LIZBETH</t>
  </si>
  <si>
    <t>000000000404</t>
  </si>
  <si>
    <t>RPR 0054952074</t>
  </si>
  <si>
    <t>000000000405</t>
  </si>
  <si>
    <t>RPR 0054952075</t>
  </si>
  <si>
    <t xml:space="preserve">10477688174         </t>
  </si>
  <si>
    <t>CHUQUIPIONDO FLORES, ALVARO GUSTAVO</t>
  </si>
  <si>
    <t>000000000407</t>
  </si>
  <si>
    <t>RPR 0054952077</t>
  </si>
  <si>
    <t>000000000408</t>
  </si>
  <si>
    <t>RPR 0054952078</t>
  </si>
  <si>
    <t>000000000409</t>
  </si>
  <si>
    <t>RPR 0054952079</t>
  </si>
  <si>
    <t>000000000410</t>
  </si>
  <si>
    <t>RPR 0054952080</t>
  </si>
  <si>
    <t>RAMOS GUTIERREZ, ANGEL ABEL</t>
  </si>
  <si>
    <t>000000000411</t>
  </si>
  <si>
    <t>RPR 0054952081</t>
  </si>
  <si>
    <t>RUIZ MERA, DAVID</t>
  </si>
  <si>
    <t>000000000412</t>
  </si>
  <si>
    <t>RPR 0054952082</t>
  </si>
  <si>
    <t xml:space="preserve">10458802667         </t>
  </si>
  <si>
    <t>PAZOS CASTRO, JUAN MANUEL</t>
  </si>
  <si>
    <t>000000000413</t>
  </si>
  <si>
    <t>RPR 0054952083</t>
  </si>
  <si>
    <t>SALAS GARCIA GODOS, RENATO ANDRE</t>
  </si>
  <si>
    <t>000000000414</t>
  </si>
  <si>
    <t>RPR 0054952084</t>
  </si>
  <si>
    <t>000000000415</t>
  </si>
  <si>
    <t>RPR 0054952085</t>
  </si>
  <si>
    <t>BULEJE QUISPE, FIORELLA ELIZABETH</t>
  </si>
  <si>
    <t>000000000416</t>
  </si>
  <si>
    <t>RPR 0054952086</t>
  </si>
  <si>
    <t>CASTAÑEDA MORA, ALVARO CESAR</t>
  </si>
  <si>
    <t>000000000417</t>
  </si>
  <si>
    <t>RPR 0054952087</t>
  </si>
  <si>
    <t>PERALTA VALDERRAMA, MAURICIO ALEJANDRO</t>
  </si>
  <si>
    <t>000000000419</t>
  </si>
  <si>
    <t>RPR 0054952089</t>
  </si>
  <si>
    <t>CASTILLA CASTRO, MIGUEL ANGEL</t>
  </si>
  <si>
    <t>000000000420</t>
  </si>
  <si>
    <t>RPR 0054952090</t>
  </si>
  <si>
    <t>HERRERA SANCHEZ, RODRIGO DE JESUS</t>
  </si>
  <si>
    <t>000000000421</t>
  </si>
  <si>
    <t>RPR 0054952091</t>
  </si>
  <si>
    <t>GARCIA RAMIREZ, PATRICK LLOYD</t>
  </si>
  <si>
    <t>000000000423</t>
  </si>
  <si>
    <t>RPR 0054952093</t>
  </si>
  <si>
    <t>BENAVENTE ORELLANA, GIOVANNA MILAGROS</t>
  </si>
  <si>
    <t>000000000424</t>
  </si>
  <si>
    <t>RPR 0054952094</t>
  </si>
  <si>
    <t>RATH CASTRO, GIMENA PAOLA</t>
  </si>
  <si>
    <t>000000000425</t>
  </si>
  <si>
    <t>RPR 0054952095</t>
  </si>
  <si>
    <t>GONZALES TAPIA, ABEL ANDRES</t>
  </si>
  <si>
    <t>000000000427</t>
  </si>
  <si>
    <t>RPR 0054952097</t>
  </si>
  <si>
    <t xml:space="preserve">10701252361         </t>
  </si>
  <si>
    <t>ESPINO WONG, GUILLERMO ANDRES</t>
  </si>
  <si>
    <t>000000000428</t>
  </si>
  <si>
    <t>RPR 0054952098</t>
  </si>
  <si>
    <t>000000000429</t>
  </si>
  <si>
    <t>RPR 0054952099</t>
  </si>
  <si>
    <t>0000000029</t>
  </si>
  <si>
    <t>000000000722</t>
  </si>
  <si>
    <t>PR 0000000722</t>
  </si>
  <si>
    <t>PR DE IC A CMO // PARA PAGO DE PLANILLA DE CMO, PAGO DE HONORARIOS Y PAGO DE CORREOS ENTEL</t>
  </si>
  <si>
    <t>02/06 PR DE IC A CMO PARA PAGO DE PLANILLA, HONORARIOS Y COR</t>
  </si>
  <si>
    <t>0000000030</t>
  </si>
  <si>
    <t>0000000017</t>
  </si>
  <si>
    <t>F FF20-20215925</t>
  </si>
  <si>
    <t>COMISIONES 00219113740222702656 EMISION TRANSF.CCE 0005243354/0011-0486-0100203867</t>
  </si>
  <si>
    <t>02/06COMISIÓN DE TRANSFERENCIA</t>
  </si>
  <si>
    <t>0000000032</t>
  </si>
  <si>
    <t>F FC05-05191993</t>
  </si>
  <si>
    <t>COMISIONES 001104860100203867 POR USO DE CANAL / 000000002</t>
  </si>
  <si>
    <t>02/06 COMISIÓN BBVA EMPRESAS</t>
  </si>
  <si>
    <t>0000000034</t>
  </si>
  <si>
    <t>0000000018</t>
  </si>
  <si>
    <t>F FR05-05415480</t>
  </si>
  <si>
    <t>COMISIONES PAGO DE SERVICIOS 20612061760 SUNAT DETRACCIONES/0011-0486-0100203867/000005846_x000D_
COMISIONES PAGO DE SERVICIOS 20612061760 SUNAT DETRACCIONES/0011-0486-0100203867/000005844</t>
  </si>
  <si>
    <t>02/06COMISIÓN SUNAT DETRACCIONES</t>
  </si>
  <si>
    <t>0000003290</t>
  </si>
  <si>
    <t>02/06 PAGO DE DETRACCIONES DIAZ GALVEZ</t>
  </si>
  <si>
    <t>0000003293</t>
  </si>
  <si>
    <t>0000003690</t>
  </si>
  <si>
    <t>000000000736</t>
  </si>
  <si>
    <t>PR 0000000736</t>
  </si>
  <si>
    <t>PRESTAMO A GG // PARA EL PAGO A NOTARIA DEL POZO)</t>
  </si>
  <si>
    <t>15/06PTMO A G GOMERO (PAGO A NOTARÍA DEL POZO)</t>
  </si>
  <si>
    <t>0000003695</t>
  </si>
  <si>
    <t>000000000737</t>
  </si>
  <si>
    <t>PR 0000000737</t>
  </si>
  <si>
    <t>PRESTAMO A GG // PARA EL PAGO AUDITORIA DIAZ X RxH E001-109</t>
  </si>
  <si>
    <t>03/06 PTMO A GG PARA PAGO AUDITORA DIAZ RH E001-109 (SALDO)</t>
  </si>
  <si>
    <t>0000003696</t>
  </si>
  <si>
    <t>000000000739</t>
  </si>
  <si>
    <t>PR 0000000739</t>
  </si>
  <si>
    <t>PRESTAMO A GG // PARA EL PAGO AUDITORA DIAZ E001-108</t>
  </si>
  <si>
    <t>02/06PTMO A GG PARA PAGO AUDITORA DIAZ RH E001-108</t>
  </si>
  <si>
    <t>0000003697</t>
  </si>
  <si>
    <t>000000000738</t>
  </si>
  <si>
    <t>PR 0000000738</t>
  </si>
  <si>
    <t>PR DE IC A CMO // PARA PAGO DE SALDO DEL PERITO ANGULO (CSZ) E001-27</t>
  </si>
  <si>
    <t>02/06/CMO PTMO PARA PAGO SALDO 30% PERITO ANGULO (CSZ) E001-</t>
  </si>
  <si>
    <t>0000003883</t>
  </si>
  <si>
    <t>0000000038</t>
  </si>
  <si>
    <t>F E001-00001799</t>
  </si>
  <si>
    <t xml:space="preserve">JUEGO DE RECARGAS DE TONER COLORES CYAN, MAGENTA,YELLOW Y BLACK PARA FOTOCOPIADORA RICOH IMC3010 </t>
  </si>
  <si>
    <t>11/06INVERSIONES &amp; DISTRIBUIDORES L&amp;H PERÚ SAC E001-1799</t>
  </si>
  <si>
    <t>0000003894</t>
  </si>
  <si>
    <t>0000003896</t>
  </si>
  <si>
    <t>0000003898</t>
  </si>
  <si>
    <t>F FF20-20388156</t>
  </si>
  <si>
    <t>COMISIONES 00219117973316204550 EMISION TRANSF.CCE 0005571610/0011-0486-0100203867_x000D_
COMISIONES 00237519156652209245 EMISION TRANSF.CCE 0005571613/0011-0486-0100203867_x000D_
COMISIONES 00300901338436722887 EMISION TRANSF.CCE 0005571612/0011-0486-0100203867_x000D_
COM</t>
  </si>
  <si>
    <t>15/06COMISIÓN DE TRASPASO OTRO BANCO</t>
  </si>
  <si>
    <t>0000003900</t>
  </si>
  <si>
    <t>F FF20-20344856</t>
  </si>
  <si>
    <t>COMISIONES 00219311408839700215 EMISION TRANSF.CCE 0005469807/0011-0486-0100203867_x000D_
COMISIONES 00219100248967008054 EMISION TRANSF.CCE 0005469763/0011-0486-0100203867</t>
  </si>
  <si>
    <t>11/06 COMISIÓN DE TRANSFERENCIA</t>
  </si>
  <si>
    <t>0000003914</t>
  </si>
  <si>
    <t>18/06REEMBOLSO N° 000000000314 JC VELÁSQUEZ (ALMUERZO CON RE</t>
  </si>
  <si>
    <t>0000003916</t>
  </si>
  <si>
    <t>0000000051</t>
  </si>
  <si>
    <t>F FF20-20443395</t>
  </si>
  <si>
    <t>COMISIONES 00219110253500200755 EMISION TRANSF.CCE 0005649145/0011-0486-0100203867_x000D_
COMISIONES 00926420104814171539 EMISION TRANSF.CCE 0005649146/0011-0486-0100203867</t>
  </si>
  <si>
    <t>18/06 COMISIÓN DE TRANSFERENCIA</t>
  </si>
  <si>
    <t>0000003936</t>
  </si>
  <si>
    <t>RS S006-0000192276</t>
  </si>
  <si>
    <t xml:space="preserve">CARGOS FIJOS DEL 01/06/2026 AL 30/06/2026 ON EMPRESAS - 60MBPS // 01/06/2026 AL 30/06/2026 POOL 8 IP ADICIONALES.  </t>
  </si>
  <si>
    <t>30/06/26 ON EMPRESAS SOLES</t>
  </si>
  <si>
    <t>0000003938</t>
  </si>
  <si>
    <t>RS S130-0000317493</t>
  </si>
  <si>
    <t xml:space="preserve">SERVICIO DE LUZ OFICINA MES DE MAYO 2026  - N° SUMINISTRO 1632540 OFICINA 1302  </t>
  </si>
  <si>
    <t>30/06/26 LUZ DEL SUR</t>
  </si>
  <si>
    <t>0000003940</t>
  </si>
  <si>
    <t>RS S130-0000317475</t>
  </si>
  <si>
    <t xml:space="preserve">SERVICIO DE LUZ OFICINA MES DE MAYO 2026  - N° SUMINISTRO 1632521 OF 1303   </t>
  </si>
  <si>
    <t xml:space="preserve">30/06/26 LUZ DEL SUR </t>
  </si>
  <si>
    <t>0000003942</t>
  </si>
  <si>
    <t>000000000748</t>
  </si>
  <si>
    <t>PR 0000000748</t>
  </si>
  <si>
    <t xml:space="preserve">PRESTAMO A CMO  // HONORARIOS E001-377 MAYO / ARTURO DELGADO </t>
  </si>
  <si>
    <t>30/06 CMO PTMO PARA PAGO RH E001-377 MAYO ARTURO DELGADO</t>
  </si>
  <si>
    <t>0000003943</t>
  </si>
  <si>
    <t>000000000749</t>
  </si>
  <si>
    <t>PR 0000000749</t>
  </si>
  <si>
    <t>CMO PTMO PARA CAJA OPERATIVA S/1,000 Y ENTEL CORREOS S/2,288</t>
  </si>
  <si>
    <t>30/06 CMO PTMO PARA CAJA OPERATIVA S/1,000 Y ENTEL CORREOS S</t>
  </si>
  <si>
    <t>0000003944</t>
  </si>
  <si>
    <t>000000000750</t>
  </si>
  <si>
    <t>PR 0000000750</t>
  </si>
  <si>
    <t xml:space="preserve">PRESTAMO A CMO:  PLANILLA JUNIO </t>
  </si>
  <si>
    <t>30/06CMO PLANILLA JUNIO 2DA PARTE</t>
  </si>
  <si>
    <t>0000003948</t>
  </si>
  <si>
    <t>000000000746</t>
  </si>
  <si>
    <t>PR 0000000746</t>
  </si>
  <si>
    <t xml:space="preserve">PR A CMO // PARA PAGO DE EPS PACIFICO SALUD F028-1074565 // F028-1074566 </t>
  </si>
  <si>
    <t>25/06 CMO PTMO PARA PAGO A EPS PACÍFICO SALUD  F028-01074565</t>
  </si>
  <si>
    <t>26/06/2026</t>
  </si>
  <si>
    <t xml:space="preserve">20610493468         </t>
  </si>
  <si>
    <t>COMPAÑÍA AMERICANA DE CONSTRUCCION Y EQUIPAMIENTO S.A.C.</t>
  </si>
  <si>
    <t>0000003949</t>
  </si>
  <si>
    <t>000000000747</t>
  </si>
  <si>
    <t>PR 0000000747</t>
  </si>
  <si>
    <t>PRESTAMO A CIAMERICANA PARA PAGOS CORRIENTES</t>
  </si>
  <si>
    <t>25/06 AMERICANA DE CONSTRUCCIÓN PTMO PARA PAGOS CORRIENTES</t>
  </si>
  <si>
    <t>0000003950</t>
  </si>
  <si>
    <t>000000001075</t>
  </si>
  <si>
    <t>DP 0000003275</t>
  </si>
  <si>
    <t>MANTENIMIENTO EDIFICIO OMEGA 1302 - RM083-3275 - PERIODO ABRIL</t>
  </si>
  <si>
    <t>30/06MANTENIMIENTO EDIFICIO OMEGA 1303 y 1302 (ABRIL) RM083-</t>
  </si>
  <si>
    <t>000000001074</t>
  </si>
  <si>
    <t>DP 0000003276</t>
  </si>
  <si>
    <t>MANTENIMIENTO EDIFICIO OMEGA 1303 - RM083-3276 - PERIODO ABRIL</t>
  </si>
  <si>
    <t>0000003951</t>
  </si>
  <si>
    <t>0000000217</t>
  </si>
  <si>
    <t>F FB27-27979581</t>
  </si>
  <si>
    <t>COMISIONES 001104860100203867 COMISION DE MANTENIMIENTO/000005984_x000D_
COMISIONES 001104860100203867 ENVIO DE EXTRACTO DE MOVIMIENTO/000005985</t>
  </si>
  <si>
    <t>30/06COMISIÓN DE MANTENIMIENTO</t>
  </si>
  <si>
    <t>0000003954</t>
  </si>
  <si>
    <t>0000000219</t>
  </si>
  <si>
    <t>F FF20-20586992</t>
  </si>
  <si>
    <t>COMISIONES 00389801342264475141 EMISION TRANSF.CCE 0005958219/0011-0486-0100203867_x000D_
COMISIONES 00389801342066818146 EMISION TRANSF.CCE 0005958217/0011-0486-0100203867_x000D_
COMISIONES 00389801333985495745 EMISION TRANSF.CCE 0005958215/0011-0486-0100203867_x000D_
COM</t>
  </si>
  <si>
    <t>30/06COMISIÓN DE TRANSFERENCIA</t>
  </si>
  <si>
    <t>0000003960</t>
  </si>
  <si>
    <t>18/06CAJA OPERATIVA IC</t>
  </si>
  <si>
    <t>0000003962</t>
  </si>
  <si>
    <t>000000000751</t>
  </si>
  <si>
    <t>PR 0000000751</t>
  </si>
  <si>
    <t xml:space="preserve">PRESTAMO A CMO // VARIOS CONSORCIOS DESCA </t>
  </si>
  <si>
    <t>24/06 CMO PTMO PARA PAGO A DESCA (2DA CUOTA TRANSACCIÓN EXT</t>
  </si>
  <si>
    <t>0000003964</t>
  </si>
  <si>
    <t xml:space="preserve">02/06 RREMBOLSO GB PAGO DE PASAJES </t>
  </si>
  <si>
    <t>0000003966</t>
  </si>
  <si>
    <t>000000001149</t>
  </si>
  <si>
    <t>DP 0000001149</t>
  </si>
  <si>
    <t>ITF Y COMISIONES BANCARIAS MES DE JUNIO 2026</t>
  </si>
  <si>
    <t>30/06 ITF Y COMISIONES BANCARIAS</t>
  </si>
  <si>
    <t>0000004029</t>
  </si>
  <si>
    <t>0000000190</t>
  </si>
  <si>
    <t>F E001-00001823</t>
  </si>
  <si>
    <t>MANTENIMIENTO DE IMPRESORA - RODILLO REVELADO YELLOW, BOCINAS REVELADO YELLOW, CILINDRO CYAN, CILINDRO MAGENTA, CUCHILLA DE LIMPIEZA MAGENTA, REVELADOR MAGENTA, REVELADOR CYAN, PIÑONES DE REVELADO YELLOW.</t>
  </si>
  <si>
    <t>30/06 INVERSIONES &amp; DISTRIBUIDORES L&amp;H PERÚ SAC (REP.IMPRESO</t>
  </si>
  <si>
    <t>0000000191</t>
  </si>
  <si>
    <t>F E001-00001824</t>
  </si>
  <si>
    <t xml:space="preserve">SERVICIO DE MANTENIMIENTO PARA LA IMPRESORA </t>
  </si>
  <si>
    <t>0000004039</t>
  </si>
  <si>
    <t>0000004041</t>
  </si>
  <si>
    <t>000000000297</t>
  </si>
  <si>
    <t>AP 0000000297</t>
  </si>
  <si>
    <t xml:space="preserve">PAGO ADLTO DE CAJA CHICA   30/06  </t>
  </si>
  <si>
    <t>0000004043</t>
  </si>
  <si>
    <t xml:space="preserve">30/06 REEMBOLSO DE CAJA CHICA </t>
  </si>
  <si>
    <t>0000003698</t>
  </si>
  <si>
    <t>F E001-00025416</t>
  </si>
  <si>
    <t xml:space="preserve">SERVICIO DE AROMATIZACION MAYO 2026 // SERVICIO DE AROMATIZACION MAYO 2026 </t>
  </si>
  <si>
    <t>11/06MKT OLFATIVO SOCIEDAD ANONIMA CERRADA FACT E001-25416 m</t>
  </si>
  <si>
    <t>0011-0486-0100203875</t>
  </si>
  <si>
    <t>BBVA DOLARES</t>
  </si>
  <si>
    <t>0000003882</t>
  </si>
  <si>
    <t>000000000741</t>
  </si>
  <si>
    <t>PR 0000000741</t>
  </si>
  <si>
    <t>PRESTAMO A GG // PAGO A CLAUDIA TALAVERA - CUADROS FL</t>
  </si>
  <si>
    <t>18/06 PTMO A GUILLERMO GOMERO (PAGO A CLAUDIA TALAVERA CUADR</t>
  </si>
  <si>
    <t>22/06/2026</t>
  </si>
  <si>
    <t>0000003885</t>
  </si>
  <si>
    <t>F FF20-20443396</t>
  </si>
  <si>
    <t>COMISIONES 00219319301534919611 EMISION TRANSF.CCE 00056149147/0011-0486-0100203875</t>
  </si>
  <si>
    <t>0000003887</t>
  </si>
  <si>
    <t>F FF20-20344857</t>
  </si>
  <si>
    <t>COMISIONES 00219400193147717795 EMISION TRANSF.CCE 0005469764/0011-0486-0100203875_x000D_
COMISIONES 00219117736911011452 EMISION TRANSF.CCE 0005469765/0011-0486-0100203875</t>
  </si>
  <si>
    <t>0000003889</t>
  </si>
  <si>
    <t>11/06 Reembolso N° 000000000310 YANIRA ROSALES (COMPRA DE PA</t>
  </si>
  <si>
    <t>0000003891</t>
  </si>
  <si>
    <t>000000000731</t>
  </si>
  <si>
    <t>PR 0000000731</t>
  </si>
  <si>
    <t xml:space="preserve">PR DE IC A CMO // PARA PAGO DEL PROVEEDOR DE BRACAMONTE FT E001-11490 </t>
  </si>
  <si>
    <t>11/06CMO DE BRACAMONTE, HAAKER &amp; CASTELLARES ABOGADOS SCRL F</t>
  </si>
  <si>
    <t>0000003892</t>
  </si>
  <si>
    <t>0000003956</t>
  </si>
  <si>
    <t>0000000218</t>
  </si>
  <si>
    <t>F FB27-27979582</t>
  </si>
  <si>
    <t>COMISIONES 001104860100203875 COMISIONES DE MANTENIMIENTO/000000922_x000D_
COMISIONES 001104860100203875 ENVIO DE EXTRACTO DE MOVIMIENTO/000000923</t>
  </si>
  <si>
    <t>30/06 COMISIÓN DE TRANSFERENCIA</t>
  </si>
  <si>
    <t>0000004031</t>
  </si>
  <si>
    <t>000000001152</t>
  </si>
  <si>
    <t>DP 0000001152</t>
  </si>
  <si>
    <t xml:space="preserve">ITF Y COMISIONES BANCARIAS MES DE JUNIO 2026 </t>
  </si>
  <si>
    <t>25/06 ITF</t>
  </si>
  <si>
    <t>0000004032</t>
  </si>
  <si>
    <t>000000000754</t>
  </si>
  <si>
    <t>PR 0000000754</t>
  </si>
  <si>
    <t>PRESTAMO A CMO // PARA PAGO A DE BRACAMONTE FT E001-11581</t>
  </si>
  <si>
    <t>25/06 CMO PTMO PARA PAGO A DE BRACAMONTE, HAAKER &amp; CASTELLAR</t>
  </si>
  <si>
    <t>0000004033</t>
  </si>
  <si>
    <t>000000000753</t>
  </si>
  <si>
    <t>PR 0000000753</t>
  </si>
  <si>
    <t xml:space="preserve">PRESTAMO A VANINNA CORNEJO //PAGO BRIGHT TITLE SERVICES LLC </t>
  </si>
  <si>
    <t>25/06 PTMO TEMPORAL A VANINNA CORNEJO PARA PAGO A BRIGHT TIT</t>
  </si>
  <si>
    <t>0000004034</t>
  </si>
  <si>
    <t>F FF20-20533971</t>
  </si>
  <si>
    <t xml:space="preserve">COMISIONES 00219400193147717795 EMISION TRANSF.CCE 0005809795/0011-0486-0100203875 </t>
  </si>
  <si>
    <t>25/06 COMISIÓN DE TRANSFERENCIA</t>
  </si>
  <si>
    <t>0000004036</t>
  </si>
  <si>
    <t>F FN01-01090721</t>
  </si>
  <si>
    <t xml:space="preserve">COMISIONES 00110486880100203875 EMISION TRANSFERENCIA GASTOS SHA/0117629 </t>
  </si>
  <si>
    <t>25/06COMISIÓN Y LIQUIDACIÓN DE GASTOS</t>
  </si>
  <si>
    <t>0000003686</t>
  </si>
  <si>
    <t>000000001118</t>
  </si>
  <si>
    <t>DP 0000001118</t>
  </si>
  <si>
    <t xml:space="preserve">PAGO DE RENTA 3ERA - MAYO 2026  </t>
  </si>
  <si>
    <t>18/06 SUNAT IMPUESTO A LA RENTA DE 3ERA CAT. MAYO 26 IC</t>
  </si>
  <si>
    <t>0000003689</t>
  </si>
  <si>
    <t>000000001113</t>
  </si>
  <si>
    <t>DP 0000001113</t>
  </si>
  <si>
    <t>PAGO DE RENTA DE 4TA - MAYO 2026</t>
  </si>
  <si>
    <t>15/06SUNAT IC SALDO DE IR 4TA CATEGORÍA MAYO 26</t>
  </si>
  <si>
    <t>0000003691</t>
  </si>
  <si>
    <t>000000001117</t>
  </si>
  <si>
    <t>DP 0000001117</t>
  </si>
  <si>
    <t>INTERESES POR PAGAR FUERA DE FECHA // PERIODO 05</t>
  </si>
  <si>
    <t>18/06AFP INTEGRA MAYO IC S/9,394.23</t>
  </si>
  <si>
    <t>000000000358</t>
  </si>
  <si>
    <t>RPR 0054951989</t>
  </si>
  <si>
    <t>0000003692</t>
  </si>
  <si>
    <t>000000001116</t>
  </si>
  <si>
    <t>DP 0000001116</t>
  </si>
  <si>
    <t>11/06PROFUTURO AFP MAYO 26 S/1,812.02</t>
  </si>
  <si>
    <t>000000000359</t>
  </si>
  <si>
    <t>RPR 0054951990</t>
  </si>
  <si>
    <t>0000003693</t>
  </si>
  <si>
    <t>000000001115</t>
  </si>
  <si>
    <t>DP 0000001115</t>
  </si>
  <si>
    <t>11/06PRIMA AFP MAYO 26 S/4,856.53</t>
  </si>
  <si>
    <t>000000000367</t>
  </si>
  <si>
    <t>RPR 0054951998</t>
  </si>
  <si>
    <t>0000003694</t>
  </si>
  <si>
    <t>000000001114</t>
  </si>
  <si>
    <t>DP 0000001114</t>
  </si>
  <si>
    <t>11/06HABITAT AFP MAYO 26 S/7,686.38</t>
  </si>
  <si>
    <t>000000000366</t>
  </si>
  <si>
    <t>RPR 0054951997</t>
  </si>
  <si>
    <t>0000003963</t>
  </si>
  <si>
    <t>000000001150</t>
  </si>
  <si>
    <t>01/06/2026</t>
  </si>
  <si>
    <t>DP 0000001150</t>
  </si>
  <si>
    <t xml:space="preserve">PAGO DE INTERESES - ESSALUD NOV 2024 Y MAYO 2025 </t>
  </si>
  <si>
    <t>01/06 SUNAT INTERESES ESSALUD NOV 24 MAY 25</t>
  </si>
  <si>
    <t>0000004028</t>
  </si>
  <si>
    <t>000000001108</t>
  </si>
  <si>
    <t>DP 0000001108</t>
  </si>
  <si>
    <t xml:space="preserve">PAGO DE IGV - MAYO 2026  </t>
  </si>
  <si>
    <t>26/06 SUNAT IMPUESTOS PRICO (SALDO  DE IGV MAYO IC)</t>
  </si>
  <si>
    <t>000000000368</t>
  </si>
  <si>
    <t>RPR 0054951999</t>
  </si>
  <si>
    <t xml:space="preserve">10/06 PAGO DE IMPUESTOS MAYO </t>
  </si>
  <si>
    <t>0000003328</t>
  </si>
  <si>
    <t>000000001107</t>
  </si>
  <si>
    <t>DP 0000001107</t>
  </si>
  <si>
    <t>11/06 PAGO DE IMPUESTOS MAYO -4TA</t>
  </si>
  <si>
    <t>000000001109</t>
  </si>
  <si>
    <t>DP 0000001109</t>
  </si>
  <si>
    <t xml:space="preserve">15/06 PAGO DE IMPUESTOS MAYO </t>
  </si>
  <si>
    <t>0000003330</t>
  </si>
  <si>
    <t>000000000357</t>
  </si>
  <si>
    <t>RPR 0054951988</t>
  </si>
  <si>
    <t>15/06 PAGO DE IMPUESTOS MAYO  - ONP</t>
  </si>
  <si>
    <t>0000003331</t>
  </si>
  <si>
    <t>000000000360</t>
  </si>
  <si>
    <t>RPR 0054951991</t>
  </si>
  <si>
    <t>0000004206</t>
  </si>
  <si>
    <t>26/06 SALDO DE IGV MAYO 2026</t>
  </si>
  <si>
    <t>000000000103</t>
  </si>
  <si>
    <t>TR 0000000103</t>
  </si>
  <si>
    <t>00003705</t>
  </si>
  <si>
    <t>000009</t>
  </si>
  <si>
    <t>0000003918</t>
  </si>
  <si>
    <t>000000000105</t>
  </si>
  <si>
    <t>TR 0000000105</t>
  </si>
  <si>
    <t>00003773</t>
  </si>
  <si>
    <t>000042</t>
  </si>
  <si>
    <t>0000003919</t>
  </si>
  <si>
    <t>000000000106</t>
  </si>
  <si>
    <t>TR 0000000106</t>
  </si>
  <si>
    <t>00003774</t>
  </si>
  <si>
    <t>000043</t>
  </si>
  <si>
    <t>0000003967</t>
  </si>
  <si>
    <t>000000000108</t>
  </si>
  <si>
    <t>TR 0000000108</t>
  </si>
  <si>
    <t>00003806</t>
  </si>
  <si>
    <t>000045</t>
  </si>
  <si>
    <t>Diario 11 jun 2026 U$ [yrosales]</t>
  </si>
  <si>
    <t>0000000001BB</t>
  </si>
  <si>
    <t>0000004001</t>
  </si>
  <si>
    <t>Diario 25 jun 2026 U$ [yrosales]</t>
  </si>
  <si>
    <t>0000000019BB</t>
  </si>
  <si>
    <t>0000004003</t>
  </si>
  <si>
    <t>0000000020BB</t>
  </si>
  <si>
    <t>0000004009</t>
  </si>
  <si>
    <t>Diario 18 jun 2026 U$ [yrosales]</t>
  </si>
  <si>
    <t>0000000023BB</t>
  </si>
  <si>
    <t>POSICIÓN DE CAJA ENE - JUNIO 2026</t>
  </si>
  <si>
    <t>ENE-JUNIO TOTAL</t>
  </si>
  <si>
    <t>Total general Junio</t>
  </si>
  <si>
    <t>Total general Mayo</t>
  </si>
  <si>
    <t>Total general Abril</t>
  </si>
  <si>
    <t>Total general Enero - Marzo</t>
  </si>
  <si>
    <t>CMO</t>
  </si>
  <si>
    <t>AMERICANA</t>
  </si>
  <si>
    <t>VC</t>
  </si>
  <si>
    <t>ENGEREDE</t>
  </si>
  <si>
    <t>RY</t>
  </si>
  <si>
    <t>OTROS</t>
  </si>
  <si>
    <t>SALIDAS</t>
  </si>
  <si>
    <t>OTROS ACREEDORES</t>
  </si>
  <si>
    <t>ICYS</t>
  </si>
  <si>
    <t>ENTRADAS</t>
  </si>
  <si>
    <t>NETO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</si>
</sst>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00_);_(* \(#,##0.00\);_(* &quot;-&quot;??_);_(@_)"/>
    <numFmt numFmtId="165" formatCode="0.000"/>
    <numFmt numFmtId="166" formatCode="_-* #,##0_-;\-* #,##0_-;_-* &quot;-&quot;??_-;_-@_-"/>
    <numFmt numFmtId="167" formatCode="_ * #,##0_ ;_ * \-#,##0_ ;_ * &quot;-&quot;??_ ;_ @_ "/>
    <numFmt numFmtId="168" formatCode="_ * #,##0.000_ ;_ * \-#,##0.000_ ;_ * &quot;-&quot;??_ ;_ @_ "/>
    <numFmt numFmtId="169" formatCode="_-* #,##0.000_-;\-* #,##0.000_-;_-* &quot;-&quot;??_-;_-@_-"/>
  </numFmts>
  <fonts count="29" x14ac:knownFonts="1">
    <font>
      <sz val="11"/>
      <color theme="1"/>
      <name val="Aptos Narrow"/>
      <family val="2"/>
      <scheme val="minor"/>
    </font>
    <font>
      <b/>
      <sz val="11"/>
      <color theme="1"/>
      <name val="Aptos Narrow"/>
      <family val="2"/>
      <scheme val="minor"/>
    </font>
    <font>
      <sz val="11"/>
      <color theme="1"/>
      <name val="Aptos Narrow"/>
      <family val="2"/>
      <scheme val="minor"/>
    </font>
    <font>
      <sz val="11"/>
      <color indexed="8"/>
      <name val="Calibri"/>
      <family val="2"/>
    </font>
    <font>
      <b/>
      <sz val="8"/>
      <color indexed="10"/>
      <name val="Calibri"/>
      <family val="2"/>
    </font>
    <font>
      <sz val="10"/>
      <name val="Arial"/>
      <family val="2"/>
    </font>
    <font>
      <sz val="8"/>
      <color indexed="8"/>
      <name val="Calibri"/>
      <family val="2"/>
    </font>
    <font>
      <b/>
      <sz val="11"/>
      <color indexed="10"/>
      <name val="Calibri"/>
      <family val="2"/>
    </font>
    <font>
      <b/>
      <sz val="11"/>
      <color indexed="8"/>
      <name val="Calibri"/>
      <family val="2"/>
    </font>
    <font>
      <u/>
      <sz val="11"/>
      <color theme="10"/>
      <name val="Calibri"/>
      <family val="2"/>
    </font>
    <font>
      <b/>
      <u/>
      <sz val="8"/>
      <color indexed="48"/>
      <name val="Calibri"/>
      <family val="2"/>
    </font>
    <font>
      <u/>
      <sz val="8"/>
      <color indexed="12"/>
      <name val="Calibri"/>
      <family val="2"/>
    </font>
    <font>
      <b/>
      <sz val="8"/>
      <color indexed="8"/>
      <name val="Calibri"/>
      <family val="2"/>
    </font>
    <font>
      <b/>
      <sz val="8"/>
      <name val="Calibri"/>
      <family val="2"/>
    </font>
    <font>
      <sz val="8"/>
      <name val="Calibri"/>
      <family val="2"/>
    </font>
    <font>
      <sz val="8"/>
      <color theme="1"/>
      <name val="Aptos Narrow"/>
      <family val="2"/>
      <scheme val="minor"/>
    </font>
    <font>
      <sz val="8"/>
      <name val="Aptos Narrow"/>
      <family val="2"/>
      <scheme val="minor"/>
    </font>
    <font>
      <b/>
      <sz val="8"/>
      <color rgb="FFEE0000"/>
      <name val="Calibri"/>
      <family val="2"/>
    </font>
    <font>
      <b/>
      <sz val="8"/>
      <color rgb="FFFF0000"/>
      <name val="Calibri"/>
      <family val="2"/>
    </font>
    <font>
      <sz val="8"/>
      <color theme="1"/>
      <name val="Arial"/>
      <family val="2"/>
    </font>
    <font>
      <b/>
      <sz val="8"/>
      <color theme="1"/>
      <name val="Arial"/>
      <family val="2"/>
    </font>
    <font>
      <b/>
      <sz val="11"/>
      <color rgb="FFC00000"/>
      <name val="Aptos Narrow"/>
      <family val="2"/>
      <scheme val="minor"/>
    </font>
    <font>
      <b/>
      <sz val="8"/>
      <color rgb="FFC00000"/>
      <name val="Arial"/>
      <family val="2"/>
    </font>
    <font>
      <sz val="11"/>
      <name val="Aptos Narrow"/>
      <family val="2"/>
      <scheme val="minor"/>
    </font>
    <font>
      <sz val="8"/>
      <name val="Arial"/>
      <family val="2"/>
    </font>
    <font>
      <b/>
      <sz val="8"/>
      <name val="Arial"/>
      <family val="2"/>
    </font>
    <font>
      <b/>
      <sz val="11"/>
      <name val="Aptos Narrow"/>
      <family val="2"/>
      <scheme val="minor"/>
    </font>
    <font>
      <sz val="9"/>
      <color indexed="81"/>
      <name val="Tahoma"/>
      <family val="2"/>
    </font>
    <font>
      <b/>
      <sz val="9"/>
      <color indexed="81"/>
      <name val="Tahoma"/>
      <family val="2"/>
    </font>
  </fonts>
  <fills count="18">
    <fill>
      <patternFill patternType="none"/>
    </fill>
    <fill>
      <patternFill patternType="gray125"/>
    </fill>
    <fill>
      <patternFill patternType="solid">
        <fgColor theme="0" tint="-0.14999847407452621"/>
        <bgColor indexed="64"/>
      </patternFill>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8" tint="0.59999389629810485"/>
        <bgColor indexed="64"/>
      </patternFill>
    </fill>
    <fill>
      <patternFill patternType="solid">
        <fgColor rgb="FFFFFFCC"/>
        <bgColor indexed="64"/>
      </patternFill>
    </fill>
    <fill>
      <patternFill patternType="solid">
        <fgColor rgb="FFCCFFFF"/>
        <bgColor indexed="64"/>
      </patternFill>
    </fill>
    <fill>
      <patternFill patternType="solid">
        <fgColor rgb="FFDCDCDC"/>
        <bgColor indexed="64"/>
      </patternFill>
    </fill>
    <fill>
      <patternFill patternType="solid">
        <fgColor rgb="FFFFFF0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5" tint="0.79998168889431442"/>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5">
    <xf numFmtId="0" fontId="0" fillId="0" borderId="0"/>
    <xf numFmtId="164" fontId="5" fillId="0" borderId="0" applyFont="0" applyFill="0" applyBorder="0" applyAlignment="0" applyProtection="0"/>
    <xf numFmtId="0" fontId="9" fillId="0" borderId="0" applyNumberFormat="0" applyFill="0" applyBorder="0" applyAlignment="0" applyProtection="0">
      <alignment vertical="top"/>
      <protection locked="0"/>
    </xf>
    <xf numFmtId="43" fontId="2" fillId="0" borderId="0" applyFont="0" applyFill="0" applyBorder="0" applyAlignment="0" applyProtection="0"/>
    <xf numFmtId="43" fontId="2" fillId="0" borderId="0" applyFont="0" applyFill="0" applyBorder="0" applyAlignment="0" applyProtection="0"/>
  </cellStyleXfs>
  <cellXfs count="112">
    <xf numFmtId="0" fontId="0" fillId="0" borderId="0" xfId="0"/>
    <xf numFmtId="0" fontId="1" fillId="0" borderId="0" xfId="0" applyFont="1"/>
    <xf numFmtId="0" fontId="1" fillId="0" borderId="0" xfId="0" applyFont="1" applyAlignment="1">
      <alignment horizontal="center"/>
    </xf>
    <xf numFmtId="0" fontId="1" fillId="2" borderId="0" xfId="0" applyFont="1" applyFill="1"/>
    <xf numFmtId="0" fontId="0" fillId="0" borderId="0" xfId="0" applyAlignment="1">
      <alignment horizontal="center"/>
    </xf>
    <xf numFmtId="0" fontId="3" fillId="3" borderId="0" xfId="0" applyFont="1" applyFill="1"/>
    <xf numFmtId="0" fontId="4" fillId="0" borderId="0" xfId="0" applyFont="1"/>
    <xf numFmtId="164" fontId="4" fillId="3" borderId="0" xfId="1" applyFont="1" applyFill="1" applyBorder="1" applyAlignment="1">
      <alignment horizontal="left" vertical="center"/>
    </xf>
    <xf numFmtId="0" fontId="6" fillId="3" borderId="0" xfId="0" applyFont="1" applyFill="1"/>
    <xf numFmtId="0" fontId="4" fillId="3" borderId="0" xfId="0" applyFont="1" applyFill="1" applyAlignment="1">
      <alignment horizontal="left"/>
    </xf>
    <xf numFmtId="0" fontId="7" fillId="3" borderId="0" xfId="0" applyFont="1" applyFill="1"/>
    <xf numFmtId="0" fontId="8" fillId="3" borderId="0" xfId="0" applyFont="1" applyFill="1"/>
    <xf numFmtId="0" fontId="10" fillId="3" borderId="0" xfId="2" applyFont="1" applyFill="1" applyAlignment="1" applyProtection="1"/>
    <xf numFmtId="0" fontId="11" fillId="3" borderId="0" xfId="2" applyFont="1" applyFill="1" applyAlignment="1" applyProtection="1">
      <alignment horizontal="left"/>
    </xf>
    <xf numFmtId="0" fontId="12" fillId="3" borderId="0" xfId="0" applyFont="1" applyFill="1"/>
    <xf numFmtId="0" fontId="4" fillId="3" borderId="0" xfId="0" applyFont="1" applyFill="1" applyAlignment="1">
      <alignment horizontal="center"/>
    </xf>
    <xf numFmtId="165" fontId="4" fillId="3" borderId="0" xfId="0" applyNumberFormat="1" applyFont="1" applyFill="1" applyAlignment="1">
      <alignment horizontal="center"/>
    </xf>
    <xf numFmtId="0" fontId="13" fillId="4" borderId="0" xfId="0" applyFont="1" applyFill="1"/>
    <xf numFmtId="0" fontId="13" fillId="4" borderId="0" xfId="0" applyFont="1" applyFill="1" applyAlignment="1">
      <alignment horizontal="center"/>
    </xf>
    <xf numFmtId="0" fontId="13" fillId="3" borderId="0" xfId="0" applyFont="1" applyFill="1" applyAlignment="1">
      <alignment horizontal="center"/>
    </xf>
    <xf numFmtId="0" fontId="14" fillId="3" borderId="0" xfId="0" applyFont="1" applyFill="1"/>
    <xf numFmtId="49" fontId="15" fillId="5" borderId="0" xfId="0" applyNumberFormat="1" applyFont="1" applyFill="1"/>
    <xf numFmtId="0" fontId="6" fillId="5" borderId="0" xfId="0" applyFont="1" applyFill="1"/>
    <xf numFmtId="166" fontId="16" fillId="5" borderId="0" xfId="3" applyNumberFormat="1" applyFont="1" applyFill="1"/>
    <xf numFmtId="167" fontId="6" fillId="3" borderId="0" xfId="3" applyNumberFormat="1" applyFont="1" applyFill="1" applyBorder="1"/>
    <xf numFmtId="168" fontId="6" fillId="3" borderId="0" xfId="0" applyNumberFormat="1" applyFont="1" applyFill="1"/>
    <xf numFmtId="166" fontId="15" fillId="5" borderId="0" xfId="3" applyNumberFormat="1" applyFont="1" applyFill="1"/>
    <xf numFmtId="167" fontId="6" fillId="0" borderId="0" xfId="3" applyNumberFormat="1" applyFont="1" applyFill="1" applyBorder="1"/>
    <xf numFmtId="43" fontId="17" fillId="0" borderId="0" xfId="0" applyNumberFormat="1" applyFont="1"/>
    <xf numFmtId="167" fontId="6" fillId="3" borderId="0" xfId="0" applyNumberFormat="1" applyFont="1" applyFill="1"/>
    <xf numFmtId="167" fontId="14" fillId="3" borderId="0" xfId="3" applyNumberFormat="1" applyFont="1" applyFill="1" applyBorder="1"/>
    <xf numFmtId="0" fontId="12" fillId="6" borderId="0" xfId="0" applyFont="1" applyFill="1"/>
    <xf numFmtId="3" fontId="12" fillId="6" borderId="0" xfId="3" applyNumberFormat="1" applyFont="1" applyFill="1"/>
    <xf numFmtId="166" fontId="12" fillId="6" borderId="0" xfId="3" applyNumberFormat="1" applyFont="1" applyFill="1"/>
    <xf numFmtId="0" fontId="4" fillId="3" borderId="0" xfId="0" applyFont="1" applyFill="1"/>
    <xf numFmtId="169" fontId="6" fillId="3" borderId="0" xfId="0" applyNumberFormat="1" applyFont="1" applyFill="1"/>
    <xf numFmtId="167" fontId="6" fillId="3" borderId="0" xfId="3" applyNumberFormat="1" applyFont="1" applyFill="1"/>
    <xf numFmtId="4" fontId="12" fillId="3" borderId="0" xfId="0" applyNumberFormat="1" applyFont="1" applyFill="1"/>
    <xf numFmtId="167" fontId="12" fillId="3" borderId="0" xfId="3" applyNumberFormat="1" applyFont="1" applyFill="1" applyBorder="1"/>
    <xf numFmtId="0" fontId="18" fillId="3" borderId="0" xfId="0" applyFont="1" applyFill="1"/>
    <xf numFmtId="0" fontId="6" fillId="0" borderId="0" xfId="0" applyFont="1"/>
    <xf numFmtId="43" fontId="6" fillId="3" borderId="0" xfId="3" applyFont="1" applyFill="1"/>
    <xf numFmtId="167" fontId="13" fillId="7" borderId="2" xfId="3" applyNumberFormat="1" applyFont="1" applyFill="1" applyBorder="1"/>
    <xf numFmtId="0" fontId="13" fillId="7" borderId="2" xfId="0" applyFont="1" applyFill="1" applyBorder="1" applyAlignment="1">
      <alignment horizontal="center"/>
    </xf>
    <xf numFmtId="49" fontId="19" fillId="8" borderId="3" xfId="0" applyNumberFormat="1" applyFont="1" applyFill="1" applyBorder="1"/>
    <xf numFmtId="49" fontId="19" fillId="7" borderId="3" xfId="0" applyNumberFormat="1" applyFont="1" applyFill="1" applyBorder="1" applyAlignment="1">
      <alignment horizontal="center"/>
    </xf>
    <xf numFmtId="49" fontId="19" fillId="7" borderId="3" xfId="0" applyNumberFormat="1" applyFont="1" applyFill="1" applyBorder="1"/>
    <xf numFmtId="49" fontId="19" fillId="9" borderId="3" xfId="0" applyNumberFormat="1" applyFont="1" applyFill="1" applyBorder="1"/>
    <xf numFmtId="4" fontId="19" fillId="7" borderId="3" xfId="0" applyNumberFormat="1" applyFont="1" applyFill="1" applyBorder="1" applyAlignment="1">
      <alignment horizontal="center"/>
    </xf>
    <xf numFmtId="49" fontId="19" fillId="9" borderId="3" xfId="0" applyNumberFormat="1" applyFont="1" applyFill="1" applyBorder="1" applyAlignment="1">
      <alignment horizontal="center"/>
    </xf>
    <xf numFmtId="49" fontId="20" fillId="0" borderId="0" xfId="0" applyNumberFormat="1" applyFont="1"/>
    <xf numFmtId="4" fontId="20" fillId="0" borderId="0" xfId="0" applyNumberFormat="1" applyFont="1"/>
    <xf numFmtId="49" fontId="19" fillId="0" borderId="0" xfId="0" applyNumberFormat="1" applyFont="1"/>
    <xf numFmtId="4" fontId="19" fillId="0" borderId="0" xfId="0" applyNumberFormat="1" applyFont="1"/>
    <xf numFmtId="17" fontId="19" fillId="0" borderId="0" xfId="0" applyNumberFormat="1" applyFont="1"/>
    <xf numFmtId="49" fontId="19" fillId="0" borderId="0" xfId="0" applyNumberFormat="1" applyFont="1" applyAlignment="1">
      <alignment horizontal="center"/>
    </xf>
    <xf numFmtId="0" fontId="21" fillId="8" borderId="0" xfId="0" applyFont="1" applyFill="1"/>
    <xf numFmtId="49" fontId="22" fillId="8" borderId="0" xfId="0" applyNumberFormat="1" applyFont="1" applyFill="1"/>
    <xf numFmtId="4" fontId="22" fillId="8" borderId="0" xfId="0" applyNumberFormat="1" applyFont="1" applyFill="1"/>
    <xf numFmtId="0" fontId="21" fillId="0" borderId="0" xfId="0" applyFont="1"/>
    <xf numFmtId="49" fontId="22" fillId="0" borderId="0" xfId="0" applyNumberFormat="1" applyFont="1"/>
    <xf numFmtId="4" fontId="22" fillId="0" borderId="0" xfId="0" applyNumberFormat="1" applyFont="1"/>
    <xf numFmtId="49" fontId="22" fillId="0" borderId="0" xfId="0" applyNumberFormat="1" applyFont="1" applyAlignment="1">
      <alignment horizontal="center"/>
    </xf>
    <xf numFmtId="0" fontId="0" fillId="7" borderId="0" xfId="0" applyFill="1"/>
    <xf numFmtId="49" fontId="19" fillId="7" borderId="0" xfId="0" applyNumberFormat="1" applyFont="1" applyFill="1"/>
    <xf numFmtId="4" fontId="19" fillId="7" borderId="0" xfId="0" applyNumberFormat="1" applyFont="1" applyFill="1"/>
    <xf numFmtId="17" fontId="19" fillId="7" borderId="0" xfId="0" applyNumberFormat="1" applyFont="1" applyFill="1"/>
    <xf numFmtId="0" fontId="0" fillId="8" borderId="0" xfId="0" applyFill="1"/>
    <xf numFmtId="4" fontId="0" fillId="0" borderId="0" xfId="0" applyNumberFormat="1"/>
    <xf numFmtId="4" fontId="1" fillId="0" borderId="2" xfId="0" applyNumberFormat="1" applyFont="1" applyBorder="1"/>
    <xf numFmtId="0" fontId="23" fillId="0" borderId="0" xfId="0" applyFont="1"/>
    <xf numFmtId="49" fontId="24" fillId="0" borderId="0" xfId="0" applyNumberFormat="1" applyFont="1"/>
    <xf numFmtId="17" fontId="24" fillId="0" borderId="0" xfId="0" applyNumberFormat="1" applyFont="1"/>
    <xf numFmtId="4" fontId="24" fillId="0" borderId="0" xfId="0" applyNumberFormat="1" applyFont="1"/>
    <xf numFmtId="49" fontId="25" fillId="0" borderId="0" xfId="0" applyNumberFormat="1" applyFont="1"/>
    <xf numFmtId="49" fontId="24" fillId="0" borderId="0" xfId="0" applyNumberFormat="1" applyFont="1" applyAlignment="1">
      <alignment horizontal="center"/>
    </xf>
    <xf numFmtId="0" fontId="26" fillId="0" borderId="0" xfId="0" applyFont="1"/>
    <xf numFmtId="17" fontId="25" fillId="0" borderId="0" xfId="0" applyNumberFormat="1" applyFont="1"/>
    <xf numFmtId="4" fontId="25" fillId="0" borderId="0" xfId="0" applyNumberFormat="1" applyFont="1"/>
    <xf numFmtId="49" fontId="25" fillId="0" borderId="0" xfId="0" applyNumberFormat="1" applyFont="1" applyAlignment="1">
      <alignment horizontal="center"/>
    </xf>
    <xf numFmtId="43" fontId="0" fillId="0" borderId="0" xfId="4" applyFont="1"/>
    <xf numFmtId="166" fontId="12" fillId="3" borderId="0" xfId="3" applyNumberFormat="1" applyFont="1" applyFill="1" applyBorder="1"/>
    <xf numFmtId="166" fontId="6" fillId="0" borderId="0" xfId="3" applyNumberFormat="1" applyFont="1"/>
    <xf numFmtId="166" fontId="6" fillId="3" borderId="0" xfId="0" applyNumberFormat="1" applyFont="1" applyFill="1"/>
    <xf numFmtId="43" fontId="19" fillId="0" borderId="0" xfId="4" applyFont="1" applyAlignment="1"/>
    <xf numFmtId="43" fontId="24" fillId="0" borderId="0" xfId="4" applyFont="1" applyAlignment="1"/>
    <xf numFmtId="43" fontId="20" fillId="0" borderId="0" xfId="4" applyFont="1" applyAlignment="1"/>
    <xf numFmtId="3" fontId="1" fillId="0" borderId="0" xfId="0" applyNumberFormat="1" applyFont="1" applyAlignment="1">
      <alignment horizontal="right"/>
    </xf>
    <xf numFmtId="3" fontId="0" fillId="0" borderId="0" xfId="0" applyNumberFormat="1" applyAlignment="1">
      <alignment horizontal="right"/>
    </xf>
    <xf numFmtId="3" fontId="0" fillId="0" borderId="1" xfId="0" applyNumberFormat="1" applyBorder="1" applyAlignment="1">
      <alignment horizontal="right"/>
    </xf>
    <xf numFmtId="3" fontId="1" fillId="0" borderId="1" xfId="0" applyNumberFormat="1" applyFont="1" applyBorder="1" applyAlignment="1">
      <alignment horizontal="right"/>
    </xf>
    <xf numFmtId="3" fontId="1" fillId="7" borderId="0" xfId="0" applyNumberFormat="1" applyFont="1" applyFill="1" applyAlignment="1">
      <alignment horizontal="right"/>
    </xf>
    <xf numFmtId="3" fontId="20" fillId="0" borderId="0" xfId="0" applyNumberFormat="1" applyFont="1"/>
    <xf numFmtId="4" fontId="19" fillId="10" borderId="0" xfId="0" applyNumberFormat="1" applyFont="1" applyFill="1"/>
    <xf numFmtId="4" fontId="19" fillId="11" borderId="0" xfId="0" applyNumberFormat="1" applyFont="1" applyFill="1"/>
    <xf numFmtId="4" fontId="19" fillId="12" borderId="0" xfId="0" applyNumberFormat="1" applyFont="1" applyFill="1"/>
    <xf numFmtId="4" fontId="19" fillId="13" borderId="0" xfId="0" applyNumberFormat="1" applyFont="1" applyFill="1"/>
    <xf numFmtId="4" fontId="19" fillId="14" borderId="0" xfId="0" applyNumberFormat="1" applyFont="1" applyFill="1"/>
    <xf numFmtId="4" fontId="19" fillId="15" borderId="0" xfId="0" applyNumberFormat="1" applyFont="1" applyFill="1"/>
    <xf numFmtId="4" fontId="19" fillId="16" borderId="0" xfId="0" applyNumberFormat="1" applyFont="1" applyFill="1"/>
    <xf numFmtId="4" fontId="19" fillId="2" borderId="0" xfId="0" applyNumberFormat="1" applyFont="1" applyFill="1"/>
    <xf numFmtId="4" fontId="22" fillId="14" borderId="0" xfId="0" applyNumberFormat="1" applyFont="1" applyFill="1"/>
    <xf numFmtId="4" fontId="19" fillId="17" borderId="0" xfId="0" applyNumberFormat="1" applyFont="1" applyFill="1"/>
    <xf numFmtId="4" fontId="22" fillId="13" borderId="0" xfId="0" applyNumberFormat="1" applyFont="1" applyFill="1"/>
    <xf numFmtId="4" fontId="24" fillId="13" borderId="0" xfId="0" applyNumberFormat="1" applyFont="1" applyFill="1"/>
    <xf numFmtId="4" fontId="0" fillId="0" borderId="1" xfId="0" applyNumberFormat="1" applyBorder="1"/>
    <xf numFmtId="4" fontId="1" fillId="0" borderId="0" xfId="0" applyNumberFormat="1" applyFont="1" applyAlignment="1">
      <alignment horizontal="center"/>
    </xf>
    <xf numFmtId="4" fontId="1" fillId="0" borderId="0" xfId="0" applyNumberFormat="1" applyFont="1"/>
    <xf numFmtId="43" fontId="19" fillId="0" borderId="1" xfId="4" applyFont="1" applyBorder="1" applyAlignment="1"/>
    <xf numFmtId="43" fontId="0" fillId="0" borderId="0" xfId="0" applyNumberFormat="1"/>
    <xf numFmtId="43" fontId="0" fillId="0" borderId="1" xfId="4" applyFont="1" applyBorder="1"/>
    <xf numFmtId="43" fontId="1" fillId="0" borderId="0" xfId="4" applyFont="1"/>
  </cellXfs>
  <cellStyles count="5">
    <cellStyle name="Hipervínculo 2" xfId="2" xr:uid="{4727F886-A223-4DF1-A5B5-ADE13E0F0D47}"/>
    <cellStyle name="Millares" xfId="4" builtinId="3"/>
    <cellStyle name="Millares 2" xfId="3" xr:uid="{C7B93776-4ACC-4A85-8B40-4AC90E6EA529}"/>
    <cellStyle name="Millares 2 4 2 2" xfId="1" xr:uid="{DE3D3193-C22D-4B22-9CE5-89E4AF88D910}"/>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16</xdr:row>
      <xdr:rowOff>93246</xdr:rowOff>
    </xdr:from>
    <xdr:to>
      <xdr:col>8</xdr:col>
      <xdr:colOff>342901</xdr:colOff>
      <xdr:row>19</xdr:row>
      <xdr:rowOff>106680</xdr:rowOff>
    </xdr:to>
    <xdr:pic>
      <xdr:nvPicPr>
        <xdr:cNvPr id="2" name="Imagen 1">
          <a:extLst>
            <a:ext uri="{FF2B5EF4-FFF2-40B4-BE49-F238E27FC236}">
              <a16:creationId xmlns:a16="http://schemas.microsoft.com/office/drawing/2014/main" id="{67626F87-606B-1C04-3DEC-B01CC71DD602}"/>
            </a:ext>
          </a:extLst>
        </xdr:cNvPr>
        <xdr:cNvPicPr>
          <a:picLocks noChangeAspect="1"/>
        </xdr:cNvPicPr>
      </xdr:nvPicPr>
      <xdr:blipFill>
        <a:blip xmlns:r="http://schemas.openxmlformats.org/officeDocument/2006/relationships" r:embed="rId1"/>
        <a:stretch>
          <a:fillRect/>
        </a:stretch>
      </xdr:blipFill>
      <xdr:spPr>
        <a:xfrm>
          <a:off x="1" y="2303046"/>
          <a:ext cx="8328660" cy="4020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Documents%20and%20Settings\rguzman\Configuraci&#243;n%20local\Archivos%20temporales%20de%20Internet\Content.Outlook\R08J94Y2\Activos%20Fijos%202011%20-%20GC.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mrodriguezq\Desktop\Consolidate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
      <sheetName val="33211101-EDIFICACIONESok"/>
      <sheetName val="33311101-MAQUINARIA Y EQUIPOSok"/>
      <sheetName val="33411101-UNID.TRANSP.ok"/>
      <sheetName val="32241101-U.T. (ARREND.FINAN.)ok"/>
      <sheetName val="33511101-MUEBLES Y ENSERESok"/>
      <sheetName val="33611101-EQUIPOS DE COMPUTOok"/>
      <sheetName val="39420-INTANGIBLES"/>
      <sheetName val="EQUIPOS DE COMPUTO"/>
      <sheetName val="B_D_"/>
      <sheetName val="33311101-MAQUINARIA_Y_EQUIPOSok"/>
      <sheetName val="33411101-UNID_TRANSP_ok"/>
      <sheetName val="32241101-U_T__(ARREND_FINAN_)ok"/>
      <sheetName val="33511101-MUEBLES_Y_ENSERESok"/>
      <sheetName val="33611101-EQUIPOS_DE_COMPUTOok"/>
      <sheetName val="EQUIPOS_DE_COMPUTO"/>
    </sheetNames>
    <sheetDataSet>
      <sheetData sheetId="0">
        <row r="3">
          <cell r="A3">
            <v>39131101</v>
          </cell>
          <cell r="B3" t="str">
            <v>EDFICIOS Y OTRAS CONSTRUCCIONES</v>
          </cell>
          <cell r="C3">
            <v>0.05</v>
          </cell>
        </row>
        <row r="4">
          <cell r="A4">
            <v>39132101</v>
          </cell>
          <cell r="B4" t="str">
            <v>MAQUINARIAS Y EQUIPOS</v>
          </cell>
          <cell r="C4">
            <v>0.2</v>
          </cell>
        </row>
        <row r="5">
          <cell r="A5">
            <v>39133101</v>
          </cell>
          <cell r="B5" t="str">
            <v>UNIDADES DE TRANSPORTE</v>
          </cell>
          <cell r="C5">
            <v>0.2</v>
          </cell>
        </row>
        <row r="6">
          <cell r="A6">
            <v>39134101</v>
          </cell>
          <cell r="B6" t="str">
            <v>MUEBLES Y ENSEERES</v>
          </cell>
          <cell r="C6">
            <v>0.1</v>
          </cell>
        </row>
        <row r="7">
          <cell r="A7">
            <v>39135101</v>
          </cell>
          <cell r="B7" t="str">
            <v>EQUIPOS DE COMPUTO</v>
          </cell>
          <cell r="C7">
            <v>0.25</v>
          </cell>
        </row>
        <row r="8">
          <cell r="A8">
            <v>3921</v>
          </cell>
          <cell r="B8" t="str">
            <v>GASTOS DE ESTUDIOS Y PROYECTOS DE INVERSION</v>
          </cell>
          <cell r="C8">
            <v>0.33329999999999999</v>
          </cell>
        </row>
      </sheetData>
      <sheetData sheetId="1"/>
      <sheetData sheetId="2"/>
      <sheetData sheetId="3"/>
      <sheetData sheetId="4"/>
      <sheetData sheetId="5"/>
      <sheetData sheetId="6"/>
      <sheetData sheetId="7"/>
      <sheetData sheetId="8" refreshError="1"/>
      <sheetData sheetId="9">
        <row r="3">
          <cell r="A3">
            <v>39131101</v>
          </cell>
        </row>
      </sheetData>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ón IGV {2-3}"/>
      <sheetName val="Revisión IR {3-3}"/>
    </sheetNames>
    <sheetDataSet>
      <sheetData sheetId="0" refreshError="1"/>
      <sheetData sheetId="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EF0FA-79C6-441D-A9CA-D610EC6561B4}">
  <sheetPr>
    <pageSetUpPr fitToPage="1"/>
  </sheetPr>
  <dimension ref="A1:L27"/>
  <sheetViews>
    <sheetView topLeftCell="A6" workbookViewId="0">
      <selection activeCell="E18" sqref="E18"/>
    </sheetView>
  </sheetViews>
  <sheetFormatPr baseColWidth="10" defaultRowHeight="14.25" x14ac:dyDescent="0.45"/>
  <cols>
    <col min="1" max="1" width="7.796875" style="2" customWidth="1"/>
    <col min="2" max="2" width="42" customWidth="1"/>
    <col min="3" max="3" width="14.53125" customWidth="1"/>
    <col min="4" max="4" width="15.1328125" customWidth="1"/>
    <col min="5" max="6" width="14.796875" customWidth="1"/>
    <col min="7" max="7" width="16.19921875" customWidth="1"/>
    <col min="8" max="9" width="13" style="80" bestFit="1" customWidth="1"/>
  </cols>
  <sheetData>
    <row r="1" spans="1:12" x14ac:dyDescent="0.45">
      <c r="B1" s="1" t="s">
        <v>3380</v>
      </c>
    </row>
    <row r="2" spans="1:12" x14ac:dyDescent="0.45">
      <c r="C2" s="2" t="s">
        <v>0</v>
      </c>
      <c r="D2" s="2" t="s">
        <v>1</v>
      </c>
      <c r="E2" s="2" t="s">
        <v>2</v>
      </c>
      <c r="F2" s="2" t="s">
        <v>2830</v>
      </c>
      <c r="G2" s="2" t="s">
        <v>3381</v>
      </c>
    </row>
    <row r="3" spans="1:12" x14ac:dyDescent="0.45">
      <c r="A3" s="2" t="s">
        <v>21</v>
      </c>
      <c r="B3" s="1" t="s">
        <v>3</v>
      </c>
      <c r="C3" s="87">
        <f>+'Detalle S10_Junio 2026'!O5</f>
        <v>213970.44999999998</v>
      </c>
      <c r="D3" s="87">
        <f>+C13</f>
        <v>1214667.4300000025</v>
      </c>
      <c r="E3" s="87">
        <f>+D13</f>
        <v>11226.400000002701</v>
      </c>
      <c r="F3" s="87">
        <f>+E13</f>
        <v>47528.470000002766</v>
      </c>
      <c r="G3" s="87">
        <f>+C3</f>
        <v>213970.44999999998</v>
      </c>
    </row>
    <row r="4" spans="1:12" x14ac:dyDescent="0.45">
      <c r="B4" s="3" t="s">
        <v>4</v>
      </c>
      <c r="C4" s="88"/>
      <c r="D4" s="88"/>
      <c r="E4" s="88"/>
      <c r="F4" s="88"/>
      <c r="G4" s="88"/>
      <c r="J4" s="80"/>
      <c r="K4" s="80"/>
      <c r="L4" s="80"/>
    </row>
    <row r="5" spans="1:12" x14ac:dyDescent="0.45">
      <c r="A5" s="2" t="s">
        <v>14</v>
      </c>
      <c r="B5" t="s">
        <v>5</v>
      </c>
      <c r="C5" s="88">
        <f>+'Detalle S10_Junio 2026'!O86</f>
        <v>5560371.1699999999</v>
      </c>
      <c r="D5" s="88">
        <f>+'Detalle S10_Junio 2026'!O676</f>
        <v>147028</v>
      </c>
      <c r="E5" s="88">
        <f>+'Detalle S10_Junio 2026'!O814</f>
        <v>449918.21</v>
      </c>
      <c r="F5" s="88">
        <f>+'Detalle S10_Junio 2026'!O990</f>
        <v>1249284.3799999999</v>
      </c>
      <c r="G5" s="88">
        <f>SUM(C5:F5)</f>
        <v>7406601.7599999998</v>
      </c>
      <c r="J5" s="80"/>
      <c r="K5" s="80"/>
      <c r="L5" s="80"/>
    </row>
    <row r="6" spans="1:12" x14ac:dyDescent="0.45">
      <c r="A6" s="2" t="s">
        <v>15</v>
      </c>
      <c r="B6" t="s">
        <v>6</v>
      </c>
      <c r="C6" s="89">
        <f>+'Detalle S10_Junio 2026'!O96</f>
        <v>774938.87000000011</v>
      </c>
      <c r="D6" s="89">
        <f>+'Detalle S10_Junio 2026'!O679</f>
        <v>213085.26</v>
      </c>
      <c r="E6" s="89">
        <f>+'Detalle S10_Junio 2026'!O822</f>
        <v>854089.05</v>
      </c>
      <c r="F6" s="89">
        <f>+'Detalle S10_Junio 2026'!O995</f>
        <v>233685.99</v>
      </c>
      <c r="G6" s="88">
        <f>SUM(C6:F6)</f>
        <v>2075799.1700000002</v>
      </c>
      <c r="J6" s="80"/>
      <c r="K6" s="80"/>
      <c r="L6" s="80"/>
    </row>
    <row r="7" spans="1:12" x14ac:dyDescent="0.45">
      <c r="A7" s="2" t="s">
        <v>19</v>
      </c>
      <c r="B7" t="s">
        <v>7</v>
      </c>
      <c r="C7" s="87">
        <f>SUM(C5:C6)</f>
        <v>6335310.04</v>
      </c>
      <c r="D7" s="87">
        <f>SUM(D5:D6)</f>
        <v>360113.26</v>
      </c>
      <c r="E7" s="87">
        <f>SUM(E5:E6)</f>
        <v>1304007.26</v>
      </c>
      <c r="F7" s="87">
        <f>SUM(F5:F6)</f>
        <v>1482970.3699999999</v>
      </c>
      <c r="G7" s="87">
        <f>SUM(G5:G6)</f>
        <v>9482400.9299999997</v>
      </c>
      <c r="J7" s="80"/>
      <c r="K7" s="80"/>
      <c r="L7" s="80"/>
    </row>
    <row r="8" spans="1:12" x14ac:dyDescent="0.45">
      <c r="B8" s="3" t="s">
        <v>8</v>
      </c>
      <c r="C8" s="88"/>
      <c r="D8" s="88"/>
      <c r="E8" s="88"/>
      <c r="F8" s="88"/>
      <c r="G8" s="88"/>
      <c r="J8" s="80"/>
      <c r="K8" s="80"/>
      <c r="L8" s="80"/>
    </row>
    <row r="9" spans="1:12" x14ac:dyDescent="0.45">
      <c r="A9" s="2" t="s">
        <v>16</v>
      </c>
      <c r="B9" t="s">
        <v>9</v>
      </c>
      <c r="C9" s="88">
        <f>-+'Detalle S10_Junio 2026'!O139</f>
        <v>835295.83000000007</v>
      </c>
      <c r="D9" s="88">
        <f>-+'Detalle S10_Junio 2026'!O695</f>
        <v>275321.89</v>
      </c>
      <c r="E9" s="88">
        <f>-+'Detalle S10_Junio 2026'!O841</f>
        <v>405879.13999999996</v>
      </c>
      <c r="F9" s="88">
        <f>-'Detalle S10_Junio 2026'!O1075</f>
        <v>479140.47000000009</v>
      </c>
      <c r="G9" s="88">
        <f>SUM(C9:F9)</f>
        <v>1995637.33</v>
      </c>
      <c r="J9" s="80"/>
      <c r="K9" s="80"/>
      <c r="L9" s="80"/>
    </row>
    <row r="10" spans="1:12" x14ac:dyDescent="0.45">
      <c r="A10" s="2" t="s">
        <v>17</v>
      </c>
      <c r="B10" t="s">
        <v>10</v>
      </c>
      <c r="C10" s="88">
        <f>-+'Detalle S10_Junio 2026'!O631</f>
        <v>3124544.2299999977</v>
      </c>
      <c r="D10" s="88">
        <f>-+'Detalle S10_Junio 2026'!O793</f>
        <v>820967.39999999979</v>
      </c>
      <c r="E10" s="88">
        <f>-+'Detalle S10_Junio 2026'!O958</f>
        <v>693222.28999999992</v>
      </c>
      <c r="F10" s="88">
        <f>-'Detalle S10_Junio 2026'!O1147</f>
        <v>767445.90999999992</v>
      </c>
      <c r="G10" s="88">
        <f>SUM(C10:F10)</f>
        <v>5406179.8299999973</v>
      </c>
      <c r="J10" s="80"/>
      <c r="K10" s="80"/>
      <c r="L10" s="80"/>
    </row>
    <row r="11" spans="1:12" x14ac:dyDescent="0.45">
      <c r="A11" s="2" t="s">
        <v>18</v>
      </c>
      <c r="B11" t="s">
        <v>11</v>
      </c>
      <c r="C11" s="89">
        <f>-+'Detalle S10_Junio 2026'!O662</f>
        <v>1374773</v>
      </c>
      <c r="D11" s="89">
        <f>-+'Detalle S10_Junio 2026'!O803</f>
        <v>467265</v>
      </c>
      <c r="E11" s="89">
        <f>-+'Detalle S10_Junio 2026'!O968</f>
        <v>168603.76</v>
      </c>
      <c r="F11" s="89">
        <f>-'Detalle S10_Junio 2026'!O1167</f>
        <v>277542.15999999997</v>
      </c>
      <c r="G11" s="88">
        <f>SUM(C11:F11)</f>
        <v>2288183.92</v>
      </c>
      <c r="J11" s="80"/>
      <c r="K11" s="80"/>
      <c r="L11" s="80"/>
    </row>
    <row r="12" spans="1:12" x14ac:dyDescent="0.45">
      <c r="A12" s="2" t="s">
        <v>20</v>
      </c>
      <c r="B12" t="s">
        <v>12</v>
      </c>
      <c r="C12" s="90">
        <f>SUM(C9:C11)</f>
        <v>5334613.0599999977</v>
      </c>
      <c r="D12" s="90">
        <f t="shared" ref="D12:F12" si="0">SUM(D9:D11)</f>
        <v>1563554.2899999998</v>
      </c>
      <c r="E12" s="90">
        <f t="shared" si="0"/>
        <v>1267705.19</v>
      </c>
      <c r="F12" s="90">
        <f t="shared" si="0"/>
        <v>1524128.5399999998</v>
      </c>
      <c r="G12" s="90">
        <f>SUM(G9:G11)</f>
        <v>9690001.0799999982</v>
      </c>
      <c r="J12" s="80"/>
      <c r="K12" s="80"/>
      <c r="L12" s="80"/>
    </row>
    <row r="13" spans="1:12" ht="21" customHeight="1" x14ac:dyDescent="0.45">
      <c r="A13" s="2" t="s">
        <v>22</v>
      </c>
      <c r="B13" t="s">
        <v>13</v>
      </c>
      <c r="C13" s="87">
        <f>+C3+C7-C12</f>
        <v>1214667.4300000025</v>
      </c>
      <c r="D13" s="87">
        <f>+D3+D7-D12</f>
        <v>11226.400000002701</v>
      </c>
      <c r="E13" s="87">
        <f>+E3+E7-E12</f>
        <v>47528.470000002766</v>
      </c>
      <c r="F13" s="87">
        <f>+F3+F7-F12</f>
        <v>6370.3000000028405</v>
      </c>
      <c r="G13" s="91">
        <f>+G3+G7-G12</f>
        <v>6370.3000000007451</v>
      </c>
      <c r="J13" s="80"/>
      <c r="K13" s="80"/>
      <c r="L13" s="80"/>
    </row>
    <row r="14" spans="1:12" x14ac:dyDescent="0.45">
      <c r="G14" s="4"/>
      <c r="J14" s="80"/>
      <c r="K14" s="80"/>
      <c r="L14" s="80"/>
    </row>
    <row r="15" spans="1:12" x14ac:dyDescent="0.45">
      <c r="G15" s="4"/>
      <c r="J15" s="80"/>
      <c r="K15" s="80"/>
      <c r="L15" s="80"/>
    </row>
    <row r="16" spans="1:12" x14ac:dyDescent="0.45">
      <c r="J16" s="80"/>
      <c r="K16" s="80"/>
      <c r="L16" s="80"/>
    </row>
    <row r="17" spans="2:5" x14ac:dyDescent="0.45">
      <c r="C17" s="2" t="s">
        <v>3392</v>
      </c>
      <c r="D17" s="2" t="s">
        <v>3395</v>
      </c>
      <c r="E17" s="2" t="s">
        <v>3396</v>
      </c>
    </row>
    <row r="18" spans="2:5" x14ac:dyDescent="0.45">
      <c r="B18" t="s">
        <v>3386</v>
      </c>
      <c r="C18" s="80">
        <v>2818347.39</v>
      </c>
      <c r="D18" s="80">
        <v>886628</v>
      </c>
      <c r="E18" s="80">
        <v>-1931719.3900000001</v>
      </c>
    </row>
    <row r="19" spans="2:5" x14ac:dyDescent="0.45">
      <c r="B19" t="s">
        <v>3387</v>
      </c>
      <c r="C19" s="80">
        <v>28000</v>
      </c>
      <c r="D19" s="80"/>
      <c r="E19" s="80">
        <v>-28000</v>
      </c>
    </row>
    <row r="20" spans="2:5" x14ac:dyDescent="0.45">
      <c r="B20" t="s">
        <v>3388</v>
      </c>
      <c r="C20" s="80">
        <v>566408</v>
      </c>
      <c r="D20" s="80"/>
      <c r="E20" s="80">
        <v>-566408</v>
      </c>
    </row>
    <row r="21" spans="2:5" x14ac:dyDescent="0.45">
      <c r="B21" t="s">
        <v>3389</v>
      </c>
      <c r="C21" s="80">
        <v>8911</v>
      </c>
      <c r="D21" s="80"/>
      <c r="E21" s="80">
        <v>-8911</v>
      </c>
    </row>
    <row r="22" spans="2:5" x14ac:dyDescent="0.45">
      <c r="B22" t="s">
        <v>3394</v>
      </c>
      <c r="C22" s="80"/>
      <c r="D22" s="80">
        <v>289100</v>
      </c>
      <c r="E22" s="80">
        <v>289100</v>
      </c>
    </row>
    <row r="23" spans="2:5" x14ac:dyDescent="0.45">
      <c r="B23" t="s">
        <v>3390</v>
      </c>
      <c r="C23" s="80">
        <v>215936</v>
      </c>
      <c r="D23" s="80">
        <v>955402</v>
      </c>
      <c r="E23" s="80">
        <v>739466</v>
      </c>
    </row>
    <row r="24" spans="2:5" x14ac:dyDescent="0.45">
      <c r="B24" t="s">
        <v>3393</v>
      </c>
      <c r="C24" s="110">
        <v>1768576</v>
      </c>
      <c r="D24" s="110">
        <v>-55630</v>
      </c>
      <c r="E24" s="110">
        <v>-1824206</v>
      </c>
    </row>
    <row r="25" spans="2:5" x14ac:dyDescent="0.45">
      <c r="C25" s="111">
        <v>5406178.3900000006</v>
      </c>
      <c r="D25" s="111">
        <v>2075500</v>
      </c>
      <c r="E25" s="111">
        <v>-3330678.39</v>
      </c>
    </row>
    <row r="26" spans="2:5" x14ac:dyDescent="0.45">
      <c r="C26" s="80"/>
      <c r="D26" s="80">
        <v>3330678.3900000006</v>
      </c>
      <c r="E26" s="80"/>
    </row>
    <row r="27" spans="2:5" x14ac:dyDescent="0.45">
      <c r="C27" s="80"/>
      <c r="D27" s="80"/>
      <c r="E27" s="80"/>
    </row>
  </sheetData>
  <phoneticPr fontId="16" type="noConversion"/>
  <pageMargins left="0.70866141732283472" right="0.70866141732283472" top="0.74803149606299213" bottom="0.74803149606299213" header="0.31496062992125984" footer="0.31496062992125984"/>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C40A1-E734-4C15-87FF-BF46F304EBC7}">
  <sheetPr>
    <tabColor rgb="FF3B8D81"/>
  </sheetPr>
  <dimension ref="B1:M141"/>
  <sheetViews>
    <sheetView showGridLines="0" topLeftCell="A3" zoomScaleNormal="100" workbookViewId="0">
      <selection activeCell="E12" sqref="E12"/>
    </sheetView>
  </sheetViews>
  <sheetFormatPr baseColWidth="10" defaultRowHeight="10.5" x14ac:dyDescent="0.35"/>
  <cols>
    <col min="1" max="1" width="5.33203125" style="8" customWidth="1"/>
    <col min="2" max="2" width="48.46484375" style="8" customWidth="1"/>
    <col min="3" max="3" width="8" style="8" customWidth="1"/>
    <col min="4" max="4" width="12.1328125" style="8" bestFit="1" customWidth="1"/>
    <col min="5" max="5" width="10.33203125" style="8" customWidth="1"/>
    <col min="6" max="6" width="11.53125" style="8" customWidth="1"/>
    <col min="7" max="9" width="10.33203125" style="8" customWidth="1"/>
    <col min="10" max="10" width="15.1328125" style="8" bestFit="1" customWidth="1"/>
    <col min="11" max="256" width="11.53125" style="8"/>
    <col min="257" max="257" width="5.33203125" style="8" customWidth="1"/>
    <col min="258" max="258" width="48.46484375" style="8" customWidth="1"/>
    <col min="259" max="259" width="11.53125" style="8" bestFit="1" customWidth="1"/>
    <col min="260" max="260" width="13.1328125" style="8" bestFit="1" customWidth="1"/>
    <col min="261" max="265" width="10.33203125" style="8" customWidth="1"/>
    <col min="266" max="266" width="15.1328125" style="8" bestFit="1" customWidth="1"/>
    <col min="267" max="512" width="11.53125" style="8"/>
    <col min="513" max="513" width="5.33203125" style="8" customWidth="1"/>
    <col min="514" max="514" width="48.46484375" style="8" customWidth="1"/>
    <col min="515" max="515" width="11.53125" style="8" bestFit="1" customWidth="1"/>
    <col min="516" max="516" width="13.1328125" style="8" bestFit="1" customWidth="1"/>
    <col min="517" max="521" width="10.33203125" style="8" customWidth="1"/>
    <col min="522" max="522" width="15.1328125" style="8" bestFit="1" customWidth="1"/>
    <col min="523" max="768" width="11.53125" style="8"/>
    <col min="769" max="769" width="5.33203125" style="8" customWidth="1"/>
    <col min="770" max="770" width="48.46484375" style="8" customWidth="1"/>
    <col min="771" max="771" width="11.53125" style="8" bestFit="1" customWidth="1"/>
    <col min="772" max="772" width="13.1328125" style="8" bestFit="1" customWidth="1"/>
    <col min="773" max="777" width="10.33203125" style="8" customWidth="1"/>
    <col min="778" max="778" width="15.1328125" style="8" bestFit="1" customWidth="1"/>
    <col min="779" max="1024" width="11.53125" style="8"/>
    <col min="1025" max="1025" width="5.33203125" style="8" customWidth="1"/>
    <col min="1026" max="1026" width="48.46484375" style="8" customWidth="1"/>
    <col min="1027" max="1027" width="11.53125" style="8" bestFit="1" customWidth="1"/>
    <col min="1028" max="1028" width="13.1328125" style="8" bestFit="1" customWidth="1"/>
    <col min="1029" max="1033" width="10.33203125" style="8" customWidth="1"/>
    <col min="1034" max="1034" width="15.1328125" style="8" bestFit="1" customWidth="1"/>
    <col min="1035" max="1280" width="11.53125" style="8"/>
    <col min="1281" max="1281" width="5.33203125" style="8" customWidth="1"/>
    <col min="1282" max="1282" width="48.46484375" style="8" customWidth="1"/>
    <col min="1283" max="1283" width="11.53125" style="8" bestFit="1" customWidth="1"/>
    <col min="1284" max="1284" width="13.1328125" style="8" bestFit="1" customWidth="1"/>
    <col min="1285" max="1289" width="10.33203125" style="8" customWidth="1"/>
    <col min="1290" max="1290" width="15.1328125" style="8" bestFit="1" customWidth="1"/>
    <col min="1291" max="1536" width="11.53125" style="8"/>
    <col min="1537" max="1537" width="5.33203125" style="8" customWidth="1"/>
    <col min="1538" max="1538" width="48.46484375" style="8" customWidth="1"/>
    <col min="1539" max="1539" width="11.53125" style="8" bestFit="1" customWidth="1"/>
    <col min="1540" max="1540" width="13.1328125" style="8" bestFit="1" customWidth="1"/>
    <col min="1541" max="1545" width="10.33203125" style="8" customWidth="1"/>
    <col min="1546" max="1546" width="15.1328125" style="8" bestFit="1" customWidth="1"/>
    <col min="1547" max="1792" width="11.53125" style="8"/>
    <col min="1793" max="1793" width="5.33203125" style="8" customWidth="1"/>
    <col min="1794" max="1794" width="48.46484375" style="8" customWidth="1"/>
    <col min="1795" max="1795" width="11.53125" style="8" bestFit="1" customWidth="1"/>
    <col min="1796" max="1796" width="13.1328125" style="8" bestFit="1" customWidth="1"/>
    <col min="1797" max="1801" width="10.33203125" style="8" customWidth="1"/>
    <col min="1802" max="1802" width="15.1328125" style="8" bestFit="1" customWidth="1"/>
    <col min="1803" max="2048" width="11.53125" style="8"/>
    <col min="2049" max="2049" width="5.33203125" style="8" customWidth="1"/>
    <col min="2050" max="2050" width="48.46484375" style="8" customWidth="1"/>
    <col min="2051" max="2051" width="11.53125" style="8" bestFit="1" customWidth="1"/>
    <col min="2052" max="2052" width="13.1328125" style="8" bestFit="1" customWidth="1"/>
    <col min="2053" max="2057" width="10.33203125" style="8" customWidth="1"/>
    <col min="2058" max="2058" width="15.1328125" style="8" bestFit="1" customWidth="1"/>
    <col min="2059" max="2304" width="11.53125" style="8"/>
    <col min="2305" max="2305" width="5.33203125" style="8" customWidth="1"/>
    <col min="2306" max="2306" width="48.46484375" style="8" customWidth="1"/>
    <col min="2307" max="2307" width="11.53125" style="8" bestFit="1" customWidth="1"/>
    <col min="2308" max="2308" width="13.1328125" style="8" bestFit="1" customWidth="1"/>
    <col min="2309" max="2313" width="10.33203125" style="8" customWidth="1"/>
    <col min="2314" max="2314" width="15.1328125" style="8" bestFit="1" customWidth="1"/>
    <col min="2315" max="2560" width="11.53125" style="8"/>
    <col min="2561" max="2561" width="5.33203125" style="8" customWidth="1"/>
    <col min="2562" max="2562" width="48.46484375" style="8" customWidth="1"/>
    <col min="2563" max="2563" width="11.53125" style="8" bestFit="1" customWidth="1"/>
    <col min="2564" max="2564" width="13.1328125" style="8" bestFit="1" customWidth="1"/>
    <col min="2565" max="2569" width="10.33203125" style="8" customWidth="1"/>
    <col min="2570" max="2570" width="15.1328125" style="8" bestFit="1" customWidth="1"/>
    <col min="2571" max="2816" width="11.53125" style="8"/>
    <col min="2817" max="2817" width="5.33203125" style="8" customWidth="1"/>
    <col min="2818" max="2818" width="48.46484375" style="8" customWidth="1"/>
    <col min="2819" max="2819" width="11.53125" style="8" bestFit="1" customWidth="1"/>
    <col min="2820" max="2820" width="13.1328125" style="8" bestFit="1" customWidth="1"/>
    <col min="2821" max="2825" width="10.33203125" style="8" customWidth="1"/>
    <col min="2826" max="2826" width="15.1328125" style="8" bestFit="1" customWidth="1"/>
    <col min="2827" max="3072" width="11.53125" style="8"/>
    <col min="3073" max="3073" width="5.33203125" style="8" customWidth="1"/>
    <col min="3074" max="3074" width="48.46484375" style="8" customWidth="1"/>
    <col min="3075" max="3075" width="11.53125" style="8" bestFit="1" customWidth="1"/>
    <col min="3076" max="3076" width="13.1328125" style="8" bestFit="1" customWidth="1"/>
    <col min="3077" max="3081" width="10.33203125" style="8" customWidth="1"/>
    <col min="3082" max="3082" width="15.1328125" style="8" bestFit="1" customWidth="1"/>
    <col min="3083" max="3328" width="11.53125" style="8"/>
    <col min="3329" max="3329" width="5.33203125" style="8" customWidth="1"/>
    <col min="3330" max="3330" width="48.46484375" style="8" customWidth="1"/>
    <col min="3331" max="3331" width="11.53125" style="8" bestFit="1" customWidth="1"/>
    <col min="3332" max="3332" width="13.1328125" style="8" bestFit="1" customWidth="1"/>
    <col min="3333" max="3337" width="10.33203125" style="8" customWidth="1"/>
    <col min="3338" max="3338" width="15.1328125" style="8" bestFit="1" customWidth="1"/>
    <col min="3339" max="3584" width="11.53125" style="8"/>
    <col min="3585" max="3585" width="5.33203125" style="8" customWidth="1"/>
    <col min="3586" max="3586" width="48.46484375" style="8" customWidth="1"/>
    <col min="3587" max="3587" width="11.53125" style="8" bestFit="1" customWidth="1"/>
    <col min="3588" max="3588" width="13.1328125" style="8" bestFit="1" customWidth="1"/>
    <col min="3589" max="3593" width="10.33203125" style="8" customWidth="1"/>
    <col min="3594" max="3594" width="15.1328125" style="8" bestFit="1" customWidth="1"/>
    <col min="3595" max="3840" width="11.53125" style="8"/>
    <col min="3841" max="3841" width="5.33203125" style="8" customWidth="1"/>
    <col min="3842" max="3842" width="48.46484375" style="8" customWidth="1"/>
    <col min="3843" max="3843" width="11.53125" style="8" bestFit="1" customWidth="1"/>
    <col min="3844" max="3844" width="13.1328125" style="8" bestFit="1" customWidth="1"/>
    <col min="3845" max="3849" width="10.33203125" style="8" customWidth="1"/>
    <col min="3850" max="3850" width="15.1328125" style="8" bestFit="1" customWidth="1"/>
    <col min="3851" max="4096" width="11.53125" style="8"/>
    <col min="4097" max="4097" width="5.33203125" style="8" customWidth="1"/>
    <col min="4098" max="4098" width="48.46484375" style="8" customWidth="1"/>
    <col min="4099" max="4099" width="11.53125" style="8" bestFit="1" customWidth="1"/>
    <col min="4100" max="4100" width="13.1328125" style="8" bestFit="1" customWidth="1"/>
    <col min="4101" max="4105" width="10.33203125" style="8" customWidth="1"/>
    <col min="4106" max="4106" width="15.1328125" style="8" bestFit="1" customWidth="1"/>
    <col min="4107" max="4352" width="11.53125" style="8"/>
    <col min="4353" max="4353" width="5.33203125" style="8" customWidth="1"/>
    <col min="4354" max="4354" width="48.46484375" style="8" customWidth="1"/>
    <col min="4355" max="4355" width="11.53125" style="8" bestFit="1" customWidth="1"/>
    <col min="4356" max="4356" width="13.1328125" style="8" bestFit="1" customWidth="1"/>
    <col min="4357" max="4361" width="10.33203125" style="8" customWidth="1"/>
    <col min="4362" max="4362" width="15.1328125" style="8" bestFit="1" customWidth="1"/>
    <col min="4363" max="4608" width="11.53125" style="8"/>
    <col min="4609" max="4609" width="5.33203125" style="8" customWidth="1"/>
    <col min="4610" max="4610" width="48.46484375" style="8" customWidth="1"/>
    <col min="4611" max="4611" width="11.53125" style="8" bestFit="1" customWidth="1"/>
    <col min="4612" max="4612" width="13.1328125" style="8" bestFit="1" customWidth="1"/>
    <col min="4613" max="4617" width="10.33203125" style="8" customWidth="1"/>
    <col min="4618" max="4618" width="15.1328125" style="8" bestFit="1" customWidth="1"/>
    <col min="4619" max="4864" width="11.53125" style="8"/>
    <col min="4865" max="4865" width="5.33203125" style="8" customWidth="1"/>
    <col min="4866" max="4866" width="48.46484375" style="8" customWidth="1"/>
    <col min="4867" max="4867" width="11.53125" style="8" bestFit="1" customWidth="1"/>
    <col min="4868" max="4868" width="13.1328125" style="8" bestFit="1" customWidth="1"/>
    <col min="4869" max="4873" width="10.33203125" style="8" customWidth="1"/>
    <col min="4874" max="4874" width="15.1328125" style="8" bestFit="1" customWidth="1"/>
    <col min="4875" max="5120" width="11.53125" style="8"/>
    <col min="5121" max="5121" width="5.33203125" style="8" customWidth="1"/>
    <col min="5122" max="5122" width="48.46484375" style="8" customWidth="1"/>
    <col min="5123" max="5123" width="11.53125" style="8" bestFit="1" customWidth="1"/>
    <col min="5124" max="5124" width="13.1328125" style="8" bestFit="1" customWidth="1"/>
    <col min="5125" max="5129" width="10.33203125" style="8" customWidth="1"/>
    <col min="5130" max="5130" width="15.1328125" style="8" bestFit="1" customWidth="1"/>
    <col min="5131" max="5376" width="11.53125" style="8"/>
    <col min="5377" max="5377" width="5.33203125" style="8" customWidth="1"/>
    <col min="5378" max="5378" width="48.46484375" style="8" customWidth="1"/>
    <col min="5379" max="5379" width="11.53125" style="8" bestFit="1" customWidth="1"/>
    <col min="5380" max="5380" width="13.1328125" style="8" bestFit="1" customWidth="1"/>
    <col min="5381" max="5385" width="10.33203125" style="8" customWidth="1"/>
    <col min="5386" max="5386" width="15.1328125" style="8" bestFit="1" customWidth="1"/>
    <col min="5387" max="5632" width="11.53125" style="8"/>
    <col min="5633" max="5633" width="5.33203125" style="8" customWidth="1"/>
    <col min="5634" max="5634" width="48.46484375" style="8" customWidth="1"/>
    <col min="5635" max="5635" width="11.53125" style="8" bestFit="1" customWidth="1"/>
    <col min="5636" max="5636" width="13.1328125" style="8" bestFit="1" customWidth="1"/>
    <col min="5637" max="5641" width="10.33203125" style="8" customWidth="1"/>
    <col min="5642" max="5642" width="15.1328125" style="8" bestFit="1" customWidth="1"/>
    <col min="5643" max="5888" width="11.53125" style="8"/>
    <col min="5889" max="5889" width="5.33203125" style="8" customWidth="1"/>
    <col min="5890" max="5890" width="48.46484375" style="8" customWidth="1"/>
    <col min="5891" max="5891" width="11.53125" style="8" bestFit="1" customWidth="1"/>
    <col min="5892" max="5892" width="13.1328125" style="8" bestFit="1" customWidth="1"/>
    <col min="5893" max="5897" width="10.33203125" style="8" customWidth="1"/>
    <col min="5898" max="5898" width="15.1328125" style="8" bestFit="1" customWidth="1"/>
    <col min="5899" max="6144" width="11.53125" style="8"/>
    <col min="6145" max="6145" width="5.33203125" style="8" customWidth="1"/>
    <col min="6146" max="6146" width="48.46484375" style="8" customWidth="1"/>
    <col min="6147" max="6147" width="11.53125" style="8" bestFit="1" customWidth="1"/>
    <col min="6148" max="6148" width="13.1328125" style="8" bestFit="1" customWidth="1"/>
    <col min="6149" max="6153" width="10.33203125" style="8" customWidth="1"/>
    <col min="6154" max="6154" width="15.1328125" style="8" bestFit="1" customWidth="1"/>
    <col min="6155" max="6400" width="11.53125" style="8"/>
    <col min="6401" max="6401" width="5.33203125" style="8" customWidth="1"/>
    <col min="6402" max="6402" width="48.46484375" style="8" customWidth="1"/>
    <col min="6403" max="6403" width="11.53125" style="8" bestFit="1" customWidth="1"/>
    <col min="6404" max="6404" width="13.1328125" style="8" bestFit="1" customWidth="1"/>
    <col min="6405" max="6409" width="10.33203125" style="8" customWidth="1"/>
    <col min="6410" max="6410" width="15.1328125" style="8" bestFit="1" customWidth="1"/>
    <col min="6411" max="6656" width="11.53125" style="8"/>
    <col min="6657" max="6657" width="5.33203125" style="8" customWidth="1"/>
    <col min="6658" max="6658" width="48.46484375" style="8" customWidth="1"/>
    <col min="6659" max="6659" width="11.53125" style="8" bestFit="1" customWidth="1"/>
    <col min="6660" max="6660" width="13.1328125" style="8" bestFit="1" customWidth="1"/>
    <col min="6661" max="6665" width="10.33203125" style="8" customWidth="1"/>
    <col min="6666" max="6666" width="15.1328125" style="8" bestFit="1" customWidth="1"/>
    <col min="6667" max="6912" width="11.53125" style="8"/>
    <col min="6913" max="6913" width="5.33203125" style="8" customWidth="1"/>
    <col min="6914" max="6914" width="48.46484375" style="8" customWidth="1"/>
    <col min="6915" max="6915" width="11.53125" style="8" bestFit="1" customWidth="1"/>
    <col min="6916" max="6916" width="13.1328125" style="8" bestFit="1" customWidth="1"/>
    <col min="6917" max="6921" width="10.33203125" style="8" customWidth="1"/>
    <col min="6922" max="6922" width="15.1328125" style="8" bestFit="1" customWidth="1"/>
    <col min="6923" max="7168" width="11.53125" style="8"/>
    <col min="7169" max="7169" width="5.33203125" style="8" customWidth="1"/>
    <col min="7170" max="7170" width="48.46484375" style="8" customWidth="1"/>
    <col min="7171" max="7171" width="11.53125" style="8" bestFit="1" customWidth="1"/>
    <col min="7172" max="7172" width="13.1328125" style="8" bestFit="1" customWidth="1"/>
    <col min="7173" max="7177" width="10.33203125" style="8" customWidth="1"/>
    <col min="7178" max="7178" width="15.1328125" style="8" bestFit="1" customWidth="1"/>
    <col min="7179" max="7424" width="11.53125" style="8"/>
    <col min="7425" max="7425" width="5.33203125" style="8" customWidth="1"/>
    <col min="7426" max="7426" width="48.46484375" style="8" customWidth="1"/>
    <col min="7427" max="7427" width="11.53125" style="8" bestFit="1" customWidth="1"/>
    <col min="7428" max="7428" width="13.1328125" style="8" bestFit="1" customWidth="1"/>
    <col min="7429" max="7433" width="10.33203125" style="8" customWidth="1"/>
    <col min="7434" max="7434" width="15.1328125" style="8" bestFit="1" customWidth="1"/>
    <col min="7435" max="7680" width="11.53125" style="8"/>
    <col min="7681" max="7681" width="5.33203125" style="8" customWidth="1"/>
    <col min="7682" max="7682" width="48.46484375" style="8" customWidth="1"/>
    <col min="7683" max="7683" width="11.53125" style="8" bestFit="1" customWidth="1"/>
    <col min="7684" max="7684" width="13.1328125" style="8" bestFit="1" customWidth="1"/>
    <col min="7685" max="7689" width="10.33203125" style="8" customWidth="1"/>
    <col min="7690" max="7690" width="15.1328125" style="8" bestFit="1" customWidth="1"/>
    <col min="7691" max="7936" width="11.53125" style="8"/>
    <col min="7937" max="7937" width="5.33203125" style="8" customWidth="1"/>
    <col min="7938" max="7938" width="48.46484375" style="8" customWidth="1"/>
    <col min="7939" max="7939" width="11.53125" style="8" bestFit="1" customWidth="1"/>
    <col min="7940" max="7940" width="13.1328125" style="8" bestFit="1" customWidth="1"/>
    <col min="7941" max="7945" width="10.33203125" style="8" customWidth="1"/>
    <col min="7946" max="7946" width="15.1328125" style="8" bestFit="1" customWidth="1"/>
    <col min="7947" max="8192" width="11.53125" style="8"/>
    <col min="8193" max="8193" width="5.33203125" style="8" customWidth="1"/>
    <col min="8194" max="8194" width="48.46484375" style="8" customWidth="1"/>
    <col min="8195" max="8195" width="11.53125" style="8" bestFit="1" customWidth="1"/>
    <col min="8196" max="8196" width="13.1328125" style="8" bestFit="1" customWidth="1"/>
    <col min="8197" max="8201" width="10.33203125" style="8" customWidth="1"/>
    <col min="8202" max="8202" width="15.1328125" style="8" bestFit="1" customWidth="1"/>
    <col min="8203" max="8448" width="11.53125" style="8"/>
    <col min="8449" max="8449" width="5.33203125" style="8" customWidth="1"/>
    <col min="8450" max="8450" width="48.46484375" style="8" customWidth="1"/>
    <col min="8451" max="8451" width="11.53125" style="8" bestFit="1" customWidth="1"/>
    <col min="8452" max="8452" width="13.1328125" style="8" bestFit="1" customWidth="1"/>
    <col min="8453" max="8457" width="10.33203125" style="8" customWidth="1"/>
    <col min="8458" max="8458" width="15.1328125" style="8" bestFit="1" customWidth="1"/>
    <col min="8459" max="8704" width="11.53125" style="8"/>
    <col min="8705" max="8705" width="5.33203125" style="8" customWidth="1"/>
    <col min="8706" max="8706" width="48.46484375" style="8" customWidth="1"/>
    <col min="8707" max="8707" width="11.53125" style="8" bestFit="1" customWidth="1"/>
    <col min="8708" max="8708" width="13.1328125" style="8" bestFit="1" customWidth="1"/>
    <col min="8709" max="8713" width="10.33203125" style="8" customWidth="1"/>
    <col min="8714" max="8714" width="15.1328125" style="8" bestFit="1" customWidth="1"/>
    <col min="8715" max="8960" width="11.53125" style="8"/>
    <col min="8961" max="8961" width="5.33203125" style="8" customWidth="1"/>
    <col min="8962" max="8962" width="48.46484375" style="8" customWidth="1"/>
    <col min="8963" max="8963" width="11.53125" style="8" bestFit="1" customWidth="1"/>
    <col min="8964" max="8964" width="13.1328125" style="8" bestFit="1" customWidth="1"/>
    <col min="8965" max="8969" width="10.33203125" style="8" customWidth="1"/>
    <col min="8970" max="8970" width="15.1328125" style="8" bestFit="1" customWidth="1"/>
    <col min="8971" max="9216" width="11.53125" style="8"/>
    <col min="9217" max="9217" width="5.33203125" style="8" customWidth="1"/>
    <col min="9218" max="9218" width="48.46484375" style="8" customWidth="1"/>
    <col min="9219" max="9219" width="11.53125" style="8" bestFit="1" customWidth="1"/>
    <col min="9220" max="9220" width="13.1328125" style="8" bestFit="1" customWidth="1"/>
    <col min="9221" max="9225" width="10.33203125" style="8" customWidth="1"/>
    <col min="9226" max="9226" width="15.1328125" style="8" bestFit="1" customWidth="1"/>
    <col min="9227" max="9472" width="11.53125" style="8"/>
    <col min="9473" max="9473" width="5.33203125" style="8" customWidth="1"/>
    <col min="9474" max="9474" width="48.46484375" style="8" customWidth="1"/>
    <col min="9475" max="9475" width="11.53125" style="8" bestFit="1" customWidth="1"/>
    <col min="9476" max="9476" width="13.1328125" style="8" bestFit="1" customWidth="1"/>
    <col min="9477" max="9481" width="10.33203125" style="8" customWidth="1"/>
    <col min="9482" max="9482" width="15.1328125" style="8" bestFit="1" customWidth="1"/>
    <col min="9483" max="9728" width="11.53125" style="8"/>
    <col min="9729" max="9729" width="5.33203125" style="8" customWidth="1"/>
    <col min="9730" max="9730" width="48.46484375" style="8" customWidth="1"/>
    <col min="9731" max="9731" width="11.53125" style="8" bestFit="1" customWidth="1"/>
    <col min="9732" max="9732" width="13.1328125" style="8" bestFit="1" customWidth="1"/>
    <col min="9733" max="9737" width="10.33203125" style="8" customWidth="1"/>
    <col min="9738" max="9738" width="15.1328125" style="8" bestFit="1" customWidth="1"/>
    <col min="9739" max="9984" width="11.53125" style="8"/>
    <col min="9985" max="9985" width="5.33203125" style="8" customWidth="1"/>
    <col min="9986" max="9986" width="48.46484375" style="8" customWidth="1"/>
    <col min="9987" max="9987" width="11.53125" style="8" bestFit="1" customWidth="1"/>
    <col min="9988" max="9988" width="13.1328125" style="8" bestFit="1" customWidth="1"/>
    <col min="9989" max="9993" width="10.33203125" style="8" customWidth="1"/>
    <col min="9994" max="9994" width="15.1328125" style="8" bestFit="1" customWidth="1"/>
    <col min="9995" max="10240" width="11.53125" style="8"/>
    <col min="10241" max="10241" width="5.33203125" style="8" customWidth="1"/>
    <col min="10242" max="10242" width="48.46484375" style="8" customWidth="1"/>
    <col min="10243" max="10243" width="11.53125" style="8" bestFit="1" customWidth="1"/>
    <col min="10244" max="10244" width="13.1328125" style="8" bestFit="1" customWidth="1"/>
    <col min="10245" max="10249" width="10.33203125" style="8" customWidth="1"/>
    <col min="10250" max="10250" width="15.1328125" style="8" bestFit="1" customWidth="1"/>
    <col min="10251" max="10496" width="11.53125" style="8"/>
    <col min="10497" max="10497" width="5.33203125" style="8" customWidth="1"/>
    <col min="10498" max="10498" width="48.46484375" style="8" customWidth="1"/>
    <col min="10499" max="10499" width="11.53125" style="8" bestFit="1" customWidth="1"/>
    <col min="10500" max="10500" width="13.1328125" style="8" bestFit="1" customWidth="1"/>
    <col min="10501" max="10505" width="10.33203125" style="8" customWidth="1"/>
    <col min="10506" max="10506" width="15.1328125" style="8" bestFit="1" customWidth="1"/>
    <col min="10507" max="10752" width="11.53125" style="8"/>
    <col min="10753" max="10753" width="5.33203125" style="8" customWidth="1"/>
    <col min="10754" max="10754" width="48.46484375" style="8" customWidth="1"/>
    <col min="10755" max="10755" width="11.53125" style="8" bestFit="1" customWidth="1"/>
    <col min="10756" max="10756" width="13.1328125" style="8" bestFit="1" customWidth="1"/>
    <col min="10757" max="10761" width="10.33203125" style="8" customWidth="1"/>
    <col min="10762" max="10762" width="15.1328125" style="8" bestFit="1" customWidth="1"/>
    <col min="10763" max="11008" width="11.53125" style="8"/>
    <col min="11009" max="11009" width="5.33203125" style="8" customWidth="1"/>
    <col min="11010" max="11010" width="48.46484375" style="8" customWidth="1"/>
    <col min="11011" max="11011" width="11.53125" style="8" bestFit="1" customWidth="1"/>
    <col min="11012" max="11012" width="13.1328125" style="8" bestFit="1" customWidth="1"/>
    <col min="11013" max="11017" width="10.33203125" style="8" customWidth="1"/>
    <col min="11018" max="11018" width="15.1328125" style="8" bestFit="1" customWidth="1"/>
    <col min="11019" max="11264" width="11.53125" style="8"/>
    <col min="11265" max="11265" width="5.33203125" style="8" customWidth="1"/>
    <col min="11266" max="11266" width="48.46484375" style="8" customWidth="1"/>
    <col min="11267" max="11267" width="11.53125" style="8" bestFit="1" customWidth="1"/>
    <col min="11268" max="11268" width="13.1328125" style="8" bestFit="1" customWidth="1"/>
    <col min="11269" max="11273" width="10.33203125" style="8" customWidth="1"/>
    <col min="11274" max="11274" width="15.1328125" style="8" bestFit="1" customWidth="1"/>
    <col min="11275" max="11520" width="11.53125" style="8"/>
    <col min="11521" max="11521" width="5.33203125" style="8" customWidth="1"/>
    <col min="11522" max="11522" width="48.46484375" style="8" customWidth="1"/>
    <col min="11523" max="11523" width="11.53125" style="8" bestFit="1" customWidth="1"/>
    <col min="11524" max="11524" width="13.1328125" style="8" bestFit="1" customWidth="1"/>
    <col min="11525" max="11529" width="10.33203125" style="8" customWidth="1"/>
    <col min="11530" max="11530" width="15.1328125" style="8" bestFit="1" customWidth="1"/>
    <col min="11531" max="11776" width="11.53125" style="8"/>
    <col min="11777" max="11777" width="5.33203125" style="8" customWidth="1"/>
    <col min="11778" max="11778" width="48.46484375" style="8" customWidth="1"/>
    <col min="11779" max="11779" width="11.53125" style="8" bestFit="1" customWidth="1"/>
    <col min="11780" max="11780" width="13.1328125" style="8" bestFit="1" customWidth="1"/>
    <col min="11781" max="11785" width="10.33203125" style="8" customWidth="1"/>
    <col min="11786" max="11786" width="15.1328125" style="8" bestFit="1" customWidth="1"/>
    <col min="11787" max="12032" width="11.53125" style="8"/>
    <col min="12033" max="12033" width="5.33203125" style="8" customWidth="1"/>
    <col min="12034" max="12034" width="48.46484375" style="8" customWidth="1"/>
    <col min="12035" max="12035" width="11.53125" style="8" bestFit="1" customWidth="1"/>
    <col min="12036" max="12036" width="13.1328125" style="8" bestFit="1" customWidth="1"/>
    <col min="12037" max="12041" width="10.33203125" style="8" customWidth="1"/>
    <col min="12042" max="12042" width="15.1328125" style="8" bestFit="1" customWidth="1"/>
    <col min="12043" max="12288" width="11.53125" style="8"/>
    <col min="12289" max="12289" width="5.33203125" style="8" customWidth="1"/>
    <col min="12290" max="12290" width="48.46484375" style="8" customWidth="1"/>
    <col min="12291" max="12291" width="11.53125" style="8" bestFit="1" customWidth="1"/>
    <col min="12292" max="12292" width="13.1328125" style="8" bestFit="1" customWidth="1"/>
    <col min="12293" max="12297" width="10.33203125" style="8" customWidth="1"/>
    <col min="12298" max="12298" width="15.1328125" style="8" bestFit="1" customWidth="1"/>
    <col min="12299" max="12544" width="11.53125" style="8"/>
    <col min="12545" max="12545" width="5.33203125" style="8" customWidth="1"/>
    <col min="12546" max="12546" width="48.46484375" style="8" customWidth="1"/>
    <col min="12547" max="12547" width="11.53125" style="8" bestFit="1" customWidth="1"/>
    <col min="12548" max="12548" width="13.1328125" style="8" bestFit="1" customWidth="1"/>
    <col min="12549" max="12553" width="10.33203125" style="8" customWidth="1"/>
    <col min="12554" max="12554" width="15.1328125" style="8" bestFit="1" customWidth="1"/>
    <col min="12555" max="12800" width="11.53125" style="8"/>
    <col min="12801" max="12801" width="5.33203125" style="8" customWidth="1"/>
    <col min="12802" max="12802" width="48.46484375" style="8" customWidth="1"/>
    <col min="12803" max="12803" width="11.53125" style="8" bestFit="1" customWidth="1"/>
    <col min="12804" max="12804" width="13.1328125" style="8" bestFit="1" customWidth="1"/>
    <col min="12805" max="12809" width="10.33203125" style="8" customWidth="1"/>
    <col min="12810" max="12810" width="15.1328125" style="8" bestFit="1" customWidth="1"/>
    <col min="12811" max="13056" width="11.53125" style="8"/>
    <col min="13057" max="13057" width="5.33203125" style="8" customWidth="1"/>
    <col min="13058" max="13058" width="48.46484375" style="8" customWidth="1"/>
    <col min="13059" max="13059" width="11.53125" style="8" bestFit="1" customWidth="1"/>
    <col min="13060" max="13060" width="13.1328125" style="8" bestFit="1" customWidth="1"/>
    <col min="13061" max="13065" width="10.33203125" style="8" customWidth="1"/>
    <col min="13066" max="13066" width="15.1328125" style="8" bestFit="1" customWidth="1"/>
    <col min="13067" max="13312" width="11.53125" style="8"/>
    <col min="13313" max="13313" width="5.33203125" style="8" customWidth="1"/>
    <col min="13314" max="13314" width="48.46484375" style="8" customWidth="1"/>
    <col min="13315" max="13315" width="11.53125" style="8" bestFit="1" customWidth="1"/>
    <col min="13316" max="13316" width="13.1328125" style="8" bestFit="1" customWidth="1"/>
    <col min="13317" max="13321" width="10.33203125" style="8" customWidth="1"/>
    <col min="13322" max="13322" width="15.1328125" style="8" bestFit="1" customWidth="1"/>
    <col min="13323" max="13568" width="11.53125" style="8"/>
    <col min="13569" max="13569" width="5.33203125" style="8" customWidth="1"/>
    <col min="13570" max="13570" width="48.46484375" style="8" customWidth="1"/>
    <col min="13571" max="13571" width="11.53125" style="8" bestFit="1" customWidth="1"/>
    <col min="13572" max="13572" width="13.1328125" style="8" bestFit="1" customWidth="1"/>
    <col min="13573" max="13577" width="10.33203125" style="8" customWidth="1"/>
    <col min="13578" max="13578" width="15.1328125" style="8" bestFit="1" customWidth="1"/>
    <col min="13579" max="13824" width="11.53125" style="8"/>
    <col min="13825" max="13825" width="5.33203125" style="8" customWidth="1"/>
    <col min="13826" max="13826" width="48.46484375" style="8" customWidth="1"/>
    <col min="13827" max="13827" width="11.53125" style="8" bestFit="1" customWidth="1"/>
    <col min="13828" max="13828" width="13.1328125" style="8" bestFit="1" customWidth="1"/>
    <col min="13829" max="13833" width="10.33203125" style="8" customWidth="1"/>
    <col min="13834" max="13834" width="15.1328125" style="8" bestFit="1" customWidth="1"/>
    <col min="13835" max="14080" width="11.53125" style="8"/>
    <col min="14081" max="14081" width="5.33203125" style="8" customWidth="1"/>
    <col min="14082" max="14082" width="48.46484375" style="8" customWidth="1"/>
    <col min="14083" max="14083" width="11.53125" style="8" bestFit="1" customWidth="1"/>
    <col min="14084" max="14084" width="13.1328125" style="8" bestFit="1" customWidth="1"/>
    <col min="14085" max="14089" width="10.33203125" style="8" customWidth="1"/>
    <col min="14090" max="14090" width="15.1328125" style="8" bestFit="1" customWidth="1"/>
    <col min="14091" max="14336" width="11.53125" style="8"/>
    <col min="14337" max="14337" width="5.33203125" style="8" customWidth="1"/>
    <col min="14338" max="14338" width="48.46484375" style="8" customWidth="1"/>
    <col min="14339" max="14339" width="11.53125" style="8" bestFit="1" customWidth="1"/>
    <col min="14340" max="14340" width="13.1328125" style="8" bestFit="1" customWidth="1"/>
    <col min="14341" max="14345" width="10.33203125" style="8" customWidth="1"/>
    <col min="14346" max="14346" width="15.1328125" style="8" bestFit="1" customWidth="1"/>
    <col min="14347" max="14592" width="11.53125" style="8"/>
    <col min="14593" max="14593" width="5.33203125" style="8" customWidth="1"/>
    <col min="14594" max="14594" width="48.46484375" style="8" customWidth="1"/>
    <col min="14595" max="14595" width="11.53125" style="8" bestFit="1" customWidth="1"/>
    <col min="14596" max="14596" width="13.1328125" style="8" bestFit="1" customWidth="1"/>
    <col min="14597" max="14601" width="10.33203125" style="8" customWidth="1"/>
    <col min="14602" max="14602" width="15.1328125" style="8" bestFit="1" customWidth="1"/>
    <col min="14603" max="14848" width="11.53125" style="8"/>
    <col min="14849" max="14849" width="5.33203125" style="8" customWidth="1"/>
    <col min="14850" max="14850" width="48.46484375" style="8" customWidth="1"/>
    <col min="14851" max="14851" width="11.53125" style="8" bestFit="1" customWidth="1"/>
    <col min="14852" max="14852" width="13.1328125" style="8" bestFit="1" customWidth="1"/>
    <col min="14853" max="14857" width="10.33203125" style="8" customWidth="1"/>
    <col min="14858" max="14858" width="15.1328125" style="8" bestFit="1" customWidth="1"/>
    <col min="14859" max="15104" width="11.53125" style="8"/>
    <col min="15105" max="15105" width="5.33203125" style="8" customWidth="1"/>
    <col min="15106" max="15106" width="48.46484375" style="8" customWidth="1"/>
    <col min="15107" max="15107" width="11.53125" style="8" bestFit="1" customWidth="1"/>
    <col min="15108" max="15108" width="13.1328125" style="8" bestFit="1" customWidth="1"/>
    <col min="15109" max="15113" width="10.33203125" style="8" customWidth="1"/>
    <col min="15114" max="15114" width="15.1328125" style="8" bestFit="1" customWidth="1"/>
    <col min="15115" max="15360" width="11.53125" style="8"/>
    <col min="15361" max="15361" width="5.33203125" style="8" customWidth="1"/>
    <col min="15362" max="15362" width="48.46484375" style="8" customWidth="1"/>
    <col min="15363" max="15363" width="11.53125" style="8" bestFit="1" customWidth="1"/>
    <col min="15364" max="15364" width="13.1328125" style="8" bestFit="1" customWidth="1"/>
    <col min="15365" max="15369" width="10.33203125" style="8" customWidth="1"/>
    <col min="15370" max="15370" width="15.1328125" style="8" bestFit="1" customWidth="1"/>
    <col min="15371" max="15616" width="11.53125" style="8"/>
    <col min="15617" max="15617" width="5.33203125" style="8" customWidth="1"/>
    <col min="15618" max="15618" width="48.46484375" style="8" customWidth="1"/>
    <col min="15619" max="15619" width="11.53125" style="8" bestFit="1" customWidth="1"/>
    <col min="15620" max="15620" width="13.1328125" style="8" bestFit="1" customWidth="1"/>
    <col min="15621" max="15625" width="10.33203125" style="8" customWidth="1"/>
    <col min="15626" max="15626" width="15.1328125" style="8" bestFit="1" customWidth="1"/>
    <col min="15627" max="15872" width="11.53125" style="8"/>
    <col min="15873" max="15873" width="5.33203125" style="8" customWidth="1"/>
    <col min="15874" max="15874" width="48.46484375" style="8" customWidth="1"/>
    <col min="15875" max="15875" width="11.53125" style="8" bestFit="1" customWidth="1"/>
    <col min="15876" max="15876" width="13.1328125" style="8" bestFit="1" customWidth="1"/>
    <col min="15877" max="15881" width="10.33203125" style="8" customWidth="1"/>
    <col min="15882" max="15882" width="15.1328125" style="8" bestFit="1" customWidth="1"/>
    <col min="15883" max="16128" width="11.53125" style="8"/>
    <col min="16129" max="16129" width="5.33203125" style="8" customWidth="1"/>
    <col min="16130" max="16130" width="48.46484375" style="8" customWidth="1"/>
    <col min="16131" max="16131" width="11.53125" style="8" bestFit="1" customWidth="1"/>
    <col min="16132" max="16132" width="13.1328125" style="8" bestFit="1" customWidth="1"/>
    <col min="16133" max="16137" width="10.33203125" style="8" customWidth="1"/>
    <col min="16138" max="16138" width="15.1328125" style="8" bestFit="1" customWidth="1"/>
    <col min="16139" max="16384" width="11.53125" style="8"/>
  </cols>
  <sheetData>
    <row r="1" spans="2:10" s="5" customFormat="1" ht="14.25" x14ac:dyDescent="0.45"/>
    <row r="2" spans="2:10" x14ac:dyDescent="0.35">
      <c r="B2" s="6" t="s">
        <v>23</v>
      </c>
      <c r="C2" s="6"/>
      <c r="D2" s="6"/>
      <c r="E2" s="7"/>
    </row>
    <row r="3" spans="2:10" x14ac:dyDescent="0.35">
      <c r="B3" s="6" t="s">
        <v>24</v>
      </c>
      <c r="C3" s="6"/>
      <c r="D3" s="6"/>
      <c r="E3" s="9"/>
    </row>
    <row r="4" spans="2:10" s="5" customFormat="1" ht="14.25" x14ac:dyDescent="0.45">
      <c r="B4" s="10"/>
      <c r="C4" s="11"/>
      <c r="D4" s="11"/>
      <c r="E4" s="11"/>
    </row>
    <row r="5" spans="2:10" s="14" customFormat="1" x14ac:dyDescent="0.35">
      <c r="B5" s="12" t="s">
        <v>25</v>
      </c>
      <c r="C5" s="12"/>
      <c r="D5" s="12"/>
      <c r="E5" s="13"/>
    </row>
    <row r="6" spans="2:10" x14ac:dyDescent="0.35">
      <c r="C6" s="15" t="s">
        <v>26</v>
      </c>
      <c r="D6" s="16">
        <v>3.403</v>
      </c>
      <c r="E6" s="16"/>
    </row>
    <row r="7" spans="2:10" s="20" customFormat="1" x14ac:dyDescent="0.35">
      <c r="B7" s="17" t="s">
        <v>27</v>
      </c>
      <c r="C7" s="18" t="s">
        <v>28</v>
      </c>
      <c r="D7" s="18" t="s">
        <v>29</v>
      </c>
      <c r="E7" s="19"/>
    </row>
    <row r="8" spans="2:10" x14ac:dyDescent="0.35">
      <c r="B8" s="21" t="s">
        <v>30</v>
      </c>
      <c r="C8" s="22"/>
      <c r="D8" s="23">
        <v>2000</v>
      </c>
      <c r="E8" s="24" t="s">
        <v>35</v>
      </c>
      <c r="G8" s="25"/>
      <c r="J8" s="24"/>
    </row>
    <row r="9" spans="2:10" x14ac:dyDescent="0.35">
      <c r="B9" s="21" t="s">
        <v>31</v>
      </c>
      <c r="C9" s="22"/>
      <c r="D9" s="26">
        <v>1100.52</v>
      </c>
      <c r="E9" s="27"/>
      <c r="F9" s="28"/>
      <c r="G9" s="29"/>
      <c r="J9" s="24"/>
    </row>
    <row r="10" spans="2:10" x14ac:dyDescent="0.35">
      <c r="B10" s="21" t="s">
        <v>32</v>
      </c>
      <c r="C10" s="22">
        <v>1548.57</v>
      </c>
      <c r="D10" s="26">
        <f>+C10*D6</f>
        <v>5269.7837099999997</v>
      </c>
      <c r="E10" s="30"/>
      <c r="J10" s="24"/>
    </row>
    <row r="11" spans="2:10" x14ac:dyDescent="0.35">
      <c r="B11" s="21" t="s">
        <v>33</v>
      </c>
      <c r="C11" s="22"/>
      <c r="D11" s="26">
        <v>0</v>
      </c>
      <c r="E11" s="30"/>
      <c r="J11" s="24"/>
    </row>
    <row r="12" spans="2:10" x14ac:dyDescent="0.35">
      <c r="B12" s="31" t="s">
        <v>34</v>
      </c>
      <c r="C12" s="32"/>
      <c r="D12" s="33">
        <f>SUM(D8:D11)</f>
        <v>8370.3037100000001</v>
      </c>
      <c r="E12" s="42">
        <f>+D11+D10+D9</f>
        <v>6370.3037100000001</v>
      </c>
      <c r="F12" s="43" t="s">
        <v>36</v>
      </c>
      <c r="G12" s="35"/>
      <c r="J12" s="36"/>
    </row>
    <row r="13" spans="2:10" x14ac:dyDescent="0.35">
      <c r="B13" s="34"/>
      <c r="C13" s="37"/>
      <c r="D13" s="81"/>
      <c r="E13" s="38"/>
    </row>
    <row r="14" spans="2:10" x14ac:dyDescent="0.35">
      <c r="B14" s="39"/>
      <c r="C14" s="37"/>
      <c r="D14" s="82"/>
      <c r="E14" s="40"/>
    </row>
    <row r="15" spans="2:10" x14ac:dyDescent="0.35">
      <c r="C15" s="29"/>
      <c r="D15" s="41"/>
    </row>
    <row r="19" spans="4:4" x14ac:dyDescent="0.35">
      <c r="D19" s="83"/>
    </row>
    <row r="20" spans="4:4" x14ac:dyDescent="0.35">
      <c r="D20" s="83"/>
    </row>
    <row r="48" spans="12:13" x14ac:dyDescent="0.35">
      <c r="L48" s="41"/>
      <c r="M48" s="41"/>
    </row>
    <row r="49" spans="12:13" x14ac:dyDescent="0.35">
      <c r="L49" s="41"/>
      <c r="M49" s="41"/>
    </row>
    <row r="50" spans="12:13" x14ac:dyDescent="0.35">
      <c r="L50" s="41"/>
      <c r="M50" s="41"/>
    </row>
    <row r="51" spans="12:13" x14ac:dyDescent="0.35">
      <c r="L51" s="41"/>
      <c r="M51" s="41"/>
    </row>
    <row r="52" spans="12:13" x14ac:dyDescent="0.35">
      <c r="L52" s="41"/>
      <c r="M52" s="41"/>
    </row>
    <row r="53" spans="12:13" x14ac:dyDescent="0.35">
      <c r="L53" s="41"/>
      <c r="M53" s="41"/>
    </row>
    <row r="54" spans="12:13" x14ac:dyDescent="0.35">
      <c r="L54" s="41"/>
      <c r="M54" s="41"/>
    </row>
    <row r="55" spans="12:13" x14ac:dyDescent="0.35">
      <c r="L55" s="41"/>
      <c r="M55" s="41"/>
    </row>
    <row r="56" spans="12:13" x14ac:dyDescent="0.35">
      <c r="L56" s="41"/>
      <c r="M56" s="41"/>
    </row>
    <row r="57" spans="12:13" x14ac:dyDescent="0.35">
      <c r="L57" s="41"/>
      <c r="M57" s="41"/>
    </row>
    <row r="58" spans="12:13" x14ac:dyDescent="0.35">
      <c r="L58" s="41"/>
      <c r="M58" s="41"/>
    </row>
    <row r="59" spans="12:13" x14ac:dyDescent="0.35">
      <c r="L59" s="41"/>
      <c r="M59" s="41"/>
    </row>
    <row r="60" spans="12:13" x14ac:dyDescent="0.35">
      <c r="L60" s="8">
        <f>+L48+L56+L59+L51+L53</f>
        <v>0</v>
      </c>
    </row>
    <row r="141" spans="13:13" x14ac:dyDescent="0.35">
      <c r="M141" s="8">
        <f>14899454.51-M140</f>
        <v>14899454.51</v>
      </c>
    </row>
  </sheetData>
  <hyperlinks>
    <hyperlink ref="B5:D5" location="Notas!A1" display="CAJA Y BANCOS" xr:uid="{D0D80E86-4B05-42BE-BA33-1A37AA9F250C}"/>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5A590-54BE-46A9-A0A5-B354BDCBBBC5}">
  <dimension ref="A1:BH1272"/>
  <sheetViews>
    <sheetView tabSelected="1" topLeftCell="B1" workbookViewId="0">
      <pane ySplit="1" topLeftCell="A972" activePane="bottomLeft" state="frozen"/>
      <selection activeCell="A2" sqref="A2"/>
      <selection pane="bottomLeft" activeCell="S237" sqref="S237"/>
    </sheetView>
  </sheetViews>
  <sheetFormatPr baseColWidth="10" defaultColWidth="8.86328125" defaultRowHeight="14.25" outlineLevelRow="2" x14ac:dyDescent="0.45"/>
  <cols>
    <col min="1" max="1" width="9.6640625" customWidth="1"/>
    <col min="2" max="2" width="11.6640625" customWidth="1"/>
    <col min="3" max="3" width="14.1328125" customWidth="1"/>
    <col min="4" max="4" width="22" customWidth="1"/>
    <col min="5" max="5" width="17" hidden="1" customWidth="1"/>
    <col min="6" max="6" width="11.46484375" hidden="1" customWidth="1"/>
    <col min="7" max="8" width="9.796875" hidden="1" customWidth="1"/>
    <col min="9" max="9" width="17.19921875" hidden="1" customWidth="1"/>
    <col min="10" max="10" width="10" customWidth="1"/>
    <col min="11" max="11" width="14" customWidth="1"/>
    <col min="12" max="12" width="18.1328125" hidden="1" customWidth="1"/>
    <col min="13" max="13" width="3.6640625" customWidth="1"/>
    <col min="14" max="14" width="12.33203125" style="68" customWidth="1"/>
    <col min="15" max="15" width="13.53125" style="68" customWidth="1"/>
    <col min="16" max="16" width="20.53125" customWidth="1"/>
    <col min="17" max="17" width="29.796875" customWidth="1"/>
    <col min="18" max="18" width="8" style="4" customWidth="1"/>
    <col min="19" max="19" width="13.1328125" customWidth="1"/>
  </cols>
  <sheetData>
    <row r="1" spans="1:19" x14ac:dyDescent="0.45">
      <c r="A1" s="44" t="s">
        <v>37</v>
      </c>
      <c r="B1" s="45" t="s">
        <v>38</v>
      </c>
      <c r="C1" s="46" t="s">
        <v>39</v>
      </c>
      <c r="D1" s="46" t="s">
        <v>40</v>
      </c>
      <c r="E1" s="46" t="s">
        <v>41</v>
      </c>
      <c r="F1" s="47" t="s">
        <v>42</v>
      </c>
      <c r="G1" s="47" t="s">
        <v>43</v>
      </c>
      <c r="H1" s="46" t="s">
        <v>44</v>
      </c>
      <c r="I1" s="47" t="s">
        <v>45</v>
      </c>
      <c r="J1" s="46" t="s">
        <v>46</v>
      </c>
      <c r="K1" s="47" t="s">
        <v>47</v>
      </c>
      <c r="L1" s="47" t="s">
        <v>48</v>
      </c>
      <c r="M1" s="45" t="s">
        <v>49</v>
      </c>
      <c r="N1" s="48" t="s">
        <v>50</v>
      </c>
      <c r="O1" s="48" t="s">
        <v>51</v>
      </c>
      <c r="P1" s="47" t="s">
        <v>52</v>
      </c>
      <c r="Q1" s="47" t="s">
        <v>53</v>
      </c>
      <c r="R1" s="49" t="s">
        <v>54</v>
      </c>
      <c r="S1" s="46" t="s">
        <v>55</v>
      </c>
    </row>
    <row r="2" spans="1:19" hidden="1" outlineLevel="2" x14ac:dyDescent="0.45">
      <c r="A2" s="1" t="s">
        <v>56</v>
      </c>
      <c r="B2" s="50" t="s">
        <v>57</v>
      </c>
      <c r="C2" s="50"/>
      <c r="D2" s="50"/>
      <c r="E2" s="50" t="s">
        <v>58</v>
      </c>
      <c r="F2" s="50" t="s">
        <v>59</v>
      </c>
      <c r="G2" s="50" t="s">
        <v>60</v>
      </c>
      <c r="H2" s="50"/>
      <c r="I2" s="50" t="s">
        <v>61</v>
      </c>
      <c r="J2" s="50" t="s">
        <v>62</v>
      </c>
      <c r="K2" s="50"/>
      <c r="L2" s="50"/>
      <c r="M2" s="50" t="s">
        <v>29</v>
      </c>
      <c r="N2" s="51">
        <v>121320.92</v>
      </c>
      <c r="O2" s="51">
        <v>121321.12</v>
      </c>
      <c r="P2" s="50" t="s">
        <v>63</v>
      </c>
      <c r="Q2" s="50" t="s">
        <v>63</v>
      </c>
      <c r="R2" s="50" t="s">
        <v>64</v>
      </c>
      <c r="S2" s="50" t="s">
        <v>62</v>
      </c>
    </row>
    <row r="3" spans="1:19" hidden="1" outlineLevel="2" x14ac:dyDescent="0.45">
      <c r="A3" t="s">
        <v>56</v>
      </c>
      <c r="B3" s="52" t="s">
        <v>65</v>
      </c>
      <c r="C3" s="52"/>
      <c r="D3" s="52"/>
      <c r="E3" s="52" t="s">
        <v>58</v>
      </c>
      <c r="F3" s="52" t="s">
        <v>59</v>
      </c>
      <c r="G3" s="52" t="s">
        <v>60</v>
      </c>
      <c r="H3" s="52"/>
      <c r="I3" s="52" t="s">
        <v>61</v>
      </c>
      <c r="J3" s="52" t="s">
        <v>62</v>
      </c>
      <c r="K3" s="52"/>
      <c r="L3" s="52"/>
      <c r="M3" s="52" t="s">
        <v>29</v>
      </c>
      <c r="N3" s="53">
        <v>91070</v>
      </c>
      <c r="O3" s="53">
        <v>91070</v>
      </c>
      <c r="P3" s="52" t="s">
        <v>63</v>
      </c>
      <c r="Q3" s="52" t="s">
        <v>63</v>
      </c>
      <c r="R3" s="52" t="s">
        <v>64</v>
      </c>
      <c r="S3" s="52" t="s">
        <v>62</v>
      </c>
    </row>
    <row r="4" spans="1:19" hidden="1" outlineLevel="2" x14ac:dyDescent="0.45">
      <c r="A4" t="s">
        <v>56</v>
      </c>
      <c r="B4" s="50" t="s">
        <v>66</v>
      </c>
      <c r="C4" s="50"/>
      <c r="D4" s="50"/>
      <c r="E4" s="50" t="s">
        <v>58</v>
      </c>
      <c r="F4" s="50" t="s">
        <v>59</v>
      </c>
      <c r="G4" s="50" t="s">
        <v>60</v>
      </c>
      <c r="H4" s="50"/>
      <c r="I4" s="50" t="s">
        <v>61</v>
      </c>
      <c r="J4" s="50" t="s">
        <v>62</v>
      </c>
      <c r="K4" s="50"/>
      <c r="L4" s="50"/>
      <c r="M4" s="50" t="s">
        <v>67</v>
      </c>
      <c r="N4" s="51">
        <v>470.04</v>
      </c>
      <c r="O4" s="51">
        <v>1579.33</v>
      </c>
      <c r="P4" s="50" t="s">
        <v>63</v>
      </c>
      <c r="Q4" s="50" t="s">
        <v>63</v>
      </c>
      <c r="R4" s="50" t="s">
        <v>64</v>
      </c>
      <c r="S4" s="50" t="s">
        <v>62</v>
      </c>
    </row>
    <row r="5" spans="1:19" outlineLevel="1" collapsed="1" x14ac:dyDescent="0.45">
      <c r="A5" s="1" t="s">
        <v>68</v>
      </c>
      <c r="B5" s="50"/>
      <c r="C5" s="50"/>
      <c r="D5" s="50"/>
      <c r="E5" s="50"/>
      <c r="F5" s="50"/>
      <c r="G5" s="50"/>
      <c r="H5" s="50"/>
      <c r="I5" s="50"/>
      <c r="J5" s="50"/>
      <c r="K5" s="50"/>
      <c r="L5" s="50"/>
      <c r="M5" s="50"/>
      <c r="N5" s="51"/>
      <c r="O5" s="51">
        <f>SUBTOTAL(9,O2:O4)</f>
        <v>213970.44999999998</v>
      </c>
      <c r="P5" s="50"/>
      <c r="Q5" s="50"/>
      <c r="R5" s="50"/>
      <c r="S5" s="50"/>
    </row>
    <row r="6" spans="1:19" s="1" customFormat="1" hidden="1" outlineLevel="2" x14ac:dyDescent="0.45">
      <c r="A6" t="s">
        <v>14</v>
      </c>
      <c r="B6" s="52" t="s">
        <v>57</v>
      </c>
      <c r="C6" s="52" t="s">
        <v>69</v>
      </c>
      <c r="D6" s="52" t="s">
        <v>70</v>
      </c>
      <c r="E6" s="52" t="s">
        <v>71</v>
      </c>
      <c r="F6" s="52" t="s">
        <v>72</v>
      </c>
      <c r="G6" s="52" t="s">
        <v>73</v>
      </c>
      <c r="H6" s="54">
        <v>46023</v>
      </c>
      <c r="I6" s="52" t="s">
        <v>74</v>
      </c>
      <c r="J6" s="52" t="s">
        <v>75</v>
      </c>
      <c r="K6" s="52" t="s">
        <v>76</v>
      </c>
      <c r="L6" s="52" t="s">
        <v>76</v>
      </c>
      <c r="M6" s="52" t="s">
        <v>29</v>
      </c>
      <c r="N6" s="53">
        <v>320360.5</v>
      </c>
      <c r="O6" s="53">
        <v>320360.5</v>
      </c>
      <c r="P6" s="52" t="s">
        <v>77</v>
      </c>
      <c r="Q6" s="52" t="s">
        <v>78</v>
      </c>
      <c r="R6" s="52" t="s">
        <v>64</v>
      </c>
      <c r="S6" s="52" t="s">
        <v>79</v>
      </c>
    </row>
    <row r="7" spans="1:19" hidden="1" outlineLevel="2" x14ac:dyDescent="0.45">
      <c r="A7" t="s">
        <v>14</v>
      </c>
      <c r="B7" s="52" t="s">
        <v>57</v>
      </c>
      <c r="C7" s="52" t="s">
        <v>80</v>
      </c>
      <c r="D7" s="52" t="s">
        <v>81</v>
      </c>
      <c r="E7" s="52" t="s">
        <v>71</v>
      </c>
      <c r="F7" s="52" t="s">
        <v>82</v>
      </c>
      <c r="G7" s="52" t="s">
        <v>73</v>
      </c>
      <c r="H7" s="54">
        <v>46023</v>
      </c>
      <c r="I7" s="52" t="s">
        <v>74</v>
      </c>
      <c r="J7" s="52" t="s">
        <v>83</v>
      </c>
      <c r="K7" s="52" t="s">
        <v>84</v>
      </c>
      <c r="L7" s="52" t="s">
        <v>84</v>
      </c>
      <c r="M7" s="52" t="s">
        <v>29</v>
      </c>
      <c r="N7" s="53">
        <v>252483.54</v>
      </c>
      <c r="O7" s="53">
        <v>252483.54</v>
      </c>
      <c r="P7" s="52" t="s">
        <v>85</v>
      </c>
      <c r="Q7" s="52" t="s">
        <v>86</v>
      </c>
      <c r="R7" s="52" t="s">
        <v>64</v>
      </c>
      <c r="S7" s="52" t="s">
        <v>87</v>
      </c>
    </row>
    <row r="8" spans="1:19" hidden="1" outlineLevel="2" x14ac:dyDescent="0.45">
      <c r="A8" t="s">
        <v>14</v>
      </c>
      <c r="B8" s="52" t="s">
        <v>57</v>
      </c>
      <c r="C8" s="52" t="s">
        <v>88</v>
      </c>
      <c r="D8" s="52" t="s">
        <v>89</v>
      </c>
      <c r="E8" s="52" t="s">
        <v>71</v>
      </c>
      <c r="F8" s="52" t="s">
        <v>90</v>
      </c>
      <c r="G8" s="52" t="s">
        <v>73</v>
      </c>
      <c r="H8" s="54">
        <v>46023</v>
      </c>
      <c r="I8" s="52" t="s">
        <v>74</v>
      </c>
      <c r="J8" s="52" t="s">
        <v>91</v>
      </c>
      <c r="K8" s="52" t="s">
        <v>92</v>
      </c>
      <c r="L8" s="52" t="s">
        <v>92</v>
      </c>
      <c r="M8" s="52" t="s">
        <v>29</v>
      </c>
      <c r="N8" s="53">
        <v>191834.46</v>
      </c>
      <c r="O8" s="53">
        <v>191834.46</v>
      </c>
      <c r="P8" s="52" t="s">
        <v>93</v>
      </c>
      <c r="Q8" s="52" t="s">
        <v>94</v>
      </c>
      <c r="R8" s="52" t="s">
        <v>64</v>
      </c>
      <c r="S8" s="52" t="s">
        <v>95</v>
      </c>
    </row>
    <row r="9" spans="1:19" hidden="1" outlineLevel="2" x14ac:dyDescent="0.45">
      <c r="A9" t="s">
        <v>14</v>
      </c>
      <c r="B9" s="52" t="s">
        <v>57</v>
      </c>
      <c r="C9" s="52" t="s">
        <v>96</v>
      </c>
      <c r="D9" s="52" t="s">
        <v>97</v>
      </c>
      <c r="E9" s="52" t="s">
        <v>71</v>
      </c>
      <c r="F9" s="52" t="s">
        <v>98</v>
      </c>
      <c r="G9" s="52" t="s">
        <v>73</v>
      </c>
      <c r="H9" s="54">
        <v>46023</v>
      </c>
      <c r="I9" s="52" t="s">
        <v>74</v>
      </c>
      <c r="J9" s="52" t="s">
        <v>99</v>
      </c>
      <c r="K9" s="52" t="s">
        <v>100</v>
      </c>
      <c r="L9" s="52" t="s">
        <v>100</v>
      </c>
      <c r="M9" s="52" t="s">
        <v>29</v>
      </c>
      <c r="N9" s="53">
        <v>165229.54999999999</v>
      </c>
      <c r="O9" s="53">
        <v>165229.54999999999</v>
      </c>
      <c r="P9" s="52" t="s">
        <v>101</v>
      </c>
      <c r="Q9" s="52" t="s">
        <v>102</v>
      </c>
      <c r="R9" s="52" t="s">
        <v>64</v>
      </c>
      <c r="S9" s="52" t="s">
        <v>103</v>
      </c>
    </row>
    <row r="10" spans="1:19" hidden="1" outlineLevel="2" x14ac:dyDescent="0.45">
      <c r="A10" t="s">
        <v>14</v>
      </c>
      <c r="B10" s="52" t="s">
        <v>57</v>
      </c>
      <c r="C10" s="52" t="s">
        <v>104</v>
      </c>
      <c r="D10" s="52" t="s">
        <v>105</v>
      </c>
      <c r="E10" s="52" t="s">
        <v>71</v>
      </c>
      <c r="F10" s="52" t="s">
        <v>106</v>
      </c>
      <c r="G10" s="52" t="s">
        <v>73</v>
      </c>
      <c r="H10" s="54">
        <v>46023</v>
      </c>
      <c r="I10" s="52" t="s">
        <v>74</v>
      </c>
      <c r="J10" s="52" t="s">
        <v>107</v>
      </c>
      <c r="K10" s="52" t="s">
        <v>108</v>
      </c>
      <c r="L10" s="52" t="s">
        <v>108</v>
      </c>
      <c r="M10" s="52" t="s">
        <v>29</v>
      </c>
      <c r="N10" s="53">
        <v>139577.18</v>
      </c>
      <c r="O10" s="53">
        <v>139577.18</v>
      </c>
      <c r="P10" s="52" t="s">
        <v>109</v>
      </c>
      <c r="Q10" s="52" t="s">
        <v>110</v>
      </c>
      <c r="R10" s="52" t="s">
        <v>64</v>
      </c>
      <c r="S10" s="52" t="s">
        <v>111</v>
      </c>
    </row>
    <row r="11" spans="1:19" hidden="1" outlineLevel="2" x14ac:dyDescent="0.45">
      <c r="A11" t="s">
        <v>14</v>
      </c>
      <c r="B11" s="52" t="s">
        <v>65</v>
      </c>
      <c r="C11" s="52" t="s">
        <v>112</v>
      </c>
      <c r="D11" s="52" t="s">
        <v>113</v>
      </c>
      <c r="E11" s="52" t="s">
        <v>71</v>
      </c>
      <c r="F11" s="52" t="s">
        <v>114</v>
      </c>
      <c r="G11" s="52" t="s">
        <v>73</v>
      </c>
      <c r="H11" s="54">
        <v>46023</v>
      </c>
      <c r="I11" s="52" t="s">
        <v>74</v>
      </c>
      <c r="J11" s="52" t="s">
        <v>115</v>
      </c>
      <c r="K11" s="52" t="s">
        <v>116</v>
      </c>
      <c r="L11" s="52" t="s">
        <v>116</v>
      </c>
      <c r="M11" s="52" t="s">
        <v>29</v>
      </c>
      <c r="N11" s="53">
        <v>2124</v>
      </c>
      <c r="O11" s="53">
        <v>2124</v>
      </c>
      <c r="P11" s="52" t="s">
        <v>117</v>
      </c>
      <c r="Q11" s="52" t="s">
        <v>118</v>
      </c>
      <c r="R11" s="52" t="s">
        <v>64</v>
      </c>
      <c r="S11" s="52" t="s">
        <v>119</v>
      </c>
    </row>
    <row r="12" spans="1:19" hidden="1" outlineLevel="2" x14ac:dyDescent="0.45">
      <c r="A12" t="s">
        <v>14</v>
      </c>
      <c r="B12" s="52" t="s">
        <v>65</v>
      </c>
      <c r="C12" s="52" t="s">
        <v>112</v>
      </c>
      <c r="D12" s="52" t="s">
        <v>113</v>
      </c>
      <c r="E12" s="52" t="s">
        <v>71</v>
      </c>
      <c r="F12" s="52" t="s">
        <v>120</v>
      </c>
      <c r="G12" s="52" t="s">
        <v>73</v>
      </c>
      <c r="H12" s="54">
        <v>46023</v>
      </c>
      <c r="I12" s="52" t="s">
        <v>74</v>
      </c>
      <c r="J12" s="52" t="s">
        <v>115</v>
      </c>
      <c r="K12" s="52" t="s">
        <v>121</v>
      </c>
      <c r="L12" s="52" t="s">
        <v>121</v>
      </c>
      <c r="M12" s="52" t="s">
        <v>29</v>
      </c>
      <c r="N12" s="53">
        <v>2124</v>
      </c>
      <c r="O12" s="53">
        <v>2124</v>
      </c>
      <c r="P12" s="52" t="s">
        <v>117</v>
      </c>
      <c r="Q12" s="52" t="s">
        <v>118</v>
      </c>
      <c r="R12" s="52" t="s">
        <v>64</v>
      </c>
      <c r="S12" s="52" t="s">
        <v>122</v>
      </c>
    </row>
    <row r="13" spans="1:19" hidden="1" outlineLevel="2" x14ac:dyDescent="0.45">
      <c r="A13" t="s">
        <v>14</v>
      </c>
      <c r="B13" s="52" t="s">
        <v>65</v>
      </c>
      <c r="C13" s="52" t="s">
        <v>112</v>
      </c>
      <c r="D13" s="52" t="s">
        <v>113</v>
      </c>
      <c r="E13" s="52" t="s">
        <v>71</v>
      </c>
      <c r="F13" s="52" t="s">
        <v>123</v>
      </c>
      <c r="G13" s="52" t="s">
        <v>73</v>
      </c>
      <c r="H13" s="54">
        <v>46023</v>
      </c>
      <c r="I13" s="52" t="s">
        <v>74</v>
      </c>
      <c r="J13" s="52" t="s">
        <v>115</v>
      </c>
      <c r="K13" s="52" t="s">
        <v>124</v>
      </c>
      <c r="L13" s="52" t="s">
        <v>124</v>
      </c>
      <c r="M13" s="52" t="s">
        <v>29</v>
      </c>
      <c r="N13" s="53">
        <v>2124</v>
      </c>
      <c r="O13" s="53">
        <v>2124</v>
      </c>
      <c r="P13" s="52" t="s">
        <v>125</v>
      </c>
      <c r="Q13" s="52" t="s">
        <v>118</v>
      </c>
      <c r="R13" s="52" t="s">
        <v>64</v>
      </c>
      <c r="S13" s="52" t="s">
        <v>119</v>
      </c>
    </row>
    <row r="14" spans="1:19" hidden="1" outlineLevel="2" x14ac:dyDescent="0.45">
      <c r="A14" t="s">
        <v>14</v>
      </c>
      <c r="B14" s="52" t="s">
        <v>65</v>
      </c>
      <c r="C14" s="52" t="s">
        <v>112</v>
      </c>
      <c r="D14" s="52" t="s">
        <v>113</v>
      </c>
      <c r="E14" s="52" t="s">
        <v>71</v>
      </c>
      <c r="F14" s="52" t="s">
        <v>126</v>
      </c>
      <c r="G14" s="52" t="s">
        <v>73</v>
      </c>
      <c r="H14" s="54">
        <v>46023</v>
      </c>
      <c r="I14" s="52" t="s">
        <v>74</v>
      </c>
      <c r="J14" s="52" t="s">
        <v>115</v>
      </c>
      <c r="K14" s="52" t="s">
        <v>127</v>
      </c>
      <c r="L14" s="52" t="s">
        <v>127</v>
      </c>
      <c r="M14" s="52" t="s">
        <v>29</v>
      </c>
      <c r="N14" s="53">
        <v>2124</v>
      </c>
      <c r="O14" s="53">
        <v>2124</v>
      </c>
      <c r="P14" s="52" t="s">
        <v>125</v>
      </c>
      <c r="Q14" s="52" t="s">
        <v>118</v>
      </c>
      <c r="R14" s="52" t="s">
        <v>64</v>
      </c>
      <c r="S14" s="52" t="s">
        <v>122</v>
      </c>
    </row>
    <row r="15" spans="1:19" hidden="1" outlineLevel="2" x14ac:dyDescent="0.45">
      <c r="A15" t="s">
        <v>14</v>
      </c>
      <c r="B15" s="52" t="s">
        <v>65</v>
      </c>
      <c r="C15" s="52" t="s">
        <v>112</v>
      </c>
      <c r="D15" s="52" t="s">
        <v>113</v>
      </c>
      <c r="E15" s="52" t="s">
        <v>71</v>
      </c>
      <c r="F15" s="52" t="s">
        <v>128</v>
      </c>
      <c r="G15" s="52" t="s">
        <v>73</v>
      </c>
      <c r="H15" s="54">
        <v>46023</v>
      </c>
      <c r="I15" s="52" t="s">
        <v>74</v>
      </c>
      <c r="J15" s="52" t="s">
        <v>115</v>
      </c>
      <c r="K15" s="52" t="s">
        <v>129</v>
      </c>
      <c r="L15" s="52" t="s">
        <v>129</v>
      </c>
      <c r="M15" s="52" t="s">
        <v>29</v>
      </c>
      <c r="N15" s="53">
        <v>2124</v>
      </c>
      <c r="O15" s="53">
        <v>2124</v>
      </c>
      <c r="P15" s="52" t="s">
        <v>130</v>
      </c>
      <c r="Q15" s="52" t="s">
        <v>118</v>
      </c>
      <c r="R15" s="52" t="s">
        <v>64</v>
      </c>
      <c r="S15" s="52" t="s">
        <v>119</v>
      </c>
    </row>
    <row r="16" spans="1:19" hidden="1" outlineLevel="2" x14ac:dyDescent="0.45">
      <c r="A16" t="s">
        <v>14</v>
      </c>
      <c r="B16" s="52" t="s">
        <v>65</v>
      </c>
      <c r="C16" s="52" t="s">
        <v>112</v>
      </c>
      <c r="D16" s="52" t="s">
        <v>113</v>
      </c>
      <c r="E16" s="52" t="s">
        <v>71</v>
      </c>
      <c r="F16" s="52" t="s">
        <v>131</v>
      </c>
      <c r="G16" s="52" t="s">
        <v>73</v>
      </c>
      <c r="H16" s="54">
        <v>46023</v>
      </c>
      <c r="I16" s="52" t="s">
        <v>74</v>
      </c>
      <c r="J16" s="52" t="s">
        <v>115</v>
      </c>
      <c r="K16" s="52" t="s">
        <v>132</v>
      </c>
      <c r="L16" s="52" t="s">
        <v>132</v>
      </c>
      <c r="M16" s="52" t="s">
        <v>29</v>
      </c>
      <c r="N16" s="53">
        <v>2124</v>
      </c>
      <c r="O16" s="53">
        <v>2124</v>
      </c>
      <c r="P16" s="52" t="s">
        <v>130</v>
      </c>
      <c r="Q16" s="52" t="s">
        <v>118</v>
      </c>
      <c r="R16" s="52" t="s">
        <v>64</v>
      </c>
      <c r="S16" s="52" t="s">
        <v>122</v>
      </c>
    </row>
    <row r="17" spans="1:19" hidden="1" outlineLevel="2" x14ac:dyDescent="0.45">
      <c r="A17" t="s">
        <v>14</v>
      </c>
      <c r="B17" s="52" t="s">
        <v>65</v>
      </c>
      <c r="C17" s="52" t="s">
        <v>112</v>
      </c>
      <c r="D17" s="52" t="s">
        <v>113</v>
      </c>
      <c r="E17" s="52" t="s">
        <v>71</v>
      </c>
      <c r="F17" s="52" t="s">
        <v>133</v>
      </c>
      <c r="G17" s="52" t="s">
        <v>73</v>
      </c>
      <c r="H17" s="54">
        <v>46023</v>
      </c>
      <c r="I17" s="52" t="s">
        <v>74</v>
      </c>
      <c r="J17" s="52" t="s">
        <v>115</v>
      </c>
      <c r="K17" s="52" t="s">
        <v>134</v>
      </c>
      <c r="L17" s="52" t="s">
        <v>134</v>
      </c>
      <c r="M17" s="52" t="s">
        <v>29</v>
      </c>
      <c r="N17" s="53">
        <v>2124</v>
      </c>
      <c r="O17" s="53">
        <v>2124</v>
      </c>
      <c r="P17" s="52" t="s">
        <v>135</v>
      </c>
      <c r="Q17" s="52" t="s">
        <v>118</v>
      </c>
      <c r="R17" s="52" t="s">
        <v>64</v>
      </c>
      <c r="S17" s="52" t="s">
        <v>119</v>
      </c>
    </row>
    <row r="18" spans="1:19" hidden="1" outlineLevel="2" x14ac:dyDescent="0.45">
      <c r="A18" t="s">
        <v>14</v>
      </c>
      <c r="B18" s="52" t="s">
        <v>65</v>
      </c>
      <c r="C18" s="52" t="s">
        <v>112</v>
      </c>
      <c r="D18" s="52" t="s">
        <v>113</v>
      </c>
      <c r="E18" s="52" t="s">
        <v>71</v>
      </c>
      <c r="F18" s="52" t="s">
        <v>136</v>
      </c>
      <c r="G18" s="52" t="s">
        <v>73</v>
      </c>
      <c r="H18" s="54">
        <v>46023</v>
      </c>
      <c r="I18" s="52" t="s">
        <v>74</v>
      </c>
      <c r="J18" s="52" t="s">
        <v>115</v>
      </c>
      <c r="K18" s="52" t="s">
        <v>137</v>
      </c>
      <c r="L18" s="52" t="s">
        <v>137</v>
      </c>
      <c r="M18" s="52" t="s">
        <v>29</v>
      </c>
      <c r="N18" s="53">
        <v>2124</v>
      </c>
      <c r="O18" s="53">
        <v>2124</v>
      </c>
      <c r="P18" s="52" t="s">
        <v>135</v>
      </c>
      <c r="Q18" s="52" t="s">
        <v>118</v>
      </c>
      <c r="R18" s="52" t="s">
        <v>64</v>
      </c>
      <c r="S18" s="52" t="s">
        <v>122</v>
      </c>
    </row>
    <row r="19" spans="1:19" hidden="1" outlineLevel="2" x14ac:dyDescent="0.45">
      <c r="A19" t="s">
        <v>14</v>
      </c>
      <c r="B19" s="52" t="s">
        <v>65</v>
      </c>
      <c r="C19" s="52" t="s">
        <v>112</v>
      </c>
      <c r="D19" s="52" t="s">
        <v>113</v>
      </c>
      <c r="E19" s="52" t="s">
        <v>71</v>
      </c>
      <c r="F19" s="52" t="s">
        <v>138</v>
      </c>
      <c r="G19" s="52" t="s">
        <v>73</v>
      </c>
      <c r="H19" s="54">
        <v>46023</v>
      </c>
      <c r="I19" s="52" t="s">
        <v>74</v>
      </c>
      <c r="J19" s="52" t="s">
        <v>115</v>
      </c>
      <c r="K19" s="52" t="s">
        <v>139</v>
      </c>
      <c r="L19" s="52" t="s">
        <v>139</v>
      </c>
      <c r="M19" s="52" t="s">
        <v>29</v>
      </c>
      <c r="N19" s="53">
        <v>2124</v>
      </c>
      <c r="O19" s="53">
        <v>2124</v>
      </c>
      <c r="P19" s="52" t="s">
        <v>140</v>
      </c>
      <c r="Q19" s="52" t="s">
        <v>118</v>
      </c>
      <c r="R19" s="52" t="s">
        <v>64</v>
      </c>
      <c r="S19" s="52" t="s">
        <v>141</v>
      </c>
    </row>
    <row r="20" spans="1:19" hidden="1" outlineLevel="2" x14ac:dyDescent="0.45">
      <c r="A20" t="s">
        <v>14</v>
      </c>
      <c r="B20" s="52" t="s">
        <v>65</v>
      </c>
      <c r="C20" s="52" t="s">
        <v>112</v>
      </c>
      <c r="D20" s="52" t="s">
        <v>113</v>
      </c>
      <c r="E20" s="52" t="s">
        <v>71</v>
      </c>
      <c r="F20" s="52" t="s">
        <v>142</v>
      </c>
      <c r="G20" s="52" t="s">
        <v>73</v>
      </c>
      <c r="H20" s="54">
        <v>46023</v>
      </c>
      <c r="I20" s="52" t="s">
        <v>74</v>
      </c>
      <c r="J20" s="52" t="s">
        <v>115</v>
      </c>
      <c r="K20" s="52" t="s">
        <v>143</v>
      </c>
      <c r="L20" s="52" t="s">
        <v>143</v>
      </c>
      <c r="M20" s="52" t="s">
        <v>29</v>
      </c>
      <c r="N20" s="53">
        <v>2124</v>
      </c>
      <c r="O20" s="53">
        <v>2124</v>
      </c>
      <c r="P20" s="52" t="s">
        <v>144</v>
      </c>
      <c r="Q20" s="52" t="s">
        <v>118</v>
      </c>
      <c r="R20" s="52" t="s">
        <v>64</v>
      </c>
      <c r="S20" s="52" t="s">
        <v>141</v>
      </c>
    </row>
    <row r="21" spans="1:19" hidden="1" outlineLevel="2" x14ac:dyDescent="0.45">
      <c r="A21" t="s">
        <v>14</v>
      </c>
      <c r="B21" s="52" t="s">
        <v>65</v>
      </c>
      <c r="C21" s="52" t="s">
        <v>112</v>
      </c>
      <c r="D21" s="52" t="s">
        <v>113</v>
      </c>
      <c r="E21" s="52" t="s">
        <v>71</v>
      </c>
      <c r="F21" s="52" t="s">
        <v>145</v>
      </c>
      <c r="G21" s="52" t="s">
        <v>73</v>
      </c>
      <c r="H21" s="54">
        <v>46023</v>
      </c>
      <c r="I21" s="52" t="s">
        <v>74</v>
      </c>
      <c r="J21" s="52" t="s">
        <v>115</v>
      </c>
      <c r="K21" s="52" t="s">
        <v>146</v>
      </c>
      <c r="L21" s="52" t="s">
        <v>146</v>
      </c>
      <c r="M21" s="52" t="s">
        <v>29</v>
      </c>
      <c r="N21" s="53">
        <v>2124</v>
      </c>
      <c r="O21" s="53">
        <v>2124</v>
      </c>
      <c r="P21" s="52" t="s">
        <v>147</v>
      </c>
      <c r="Q21" s="52" t="s">
        <v>118</v>
      </c>
      <c r="R21" s="52" t="s">
        <v>64</v>
      </c>
      <c r="S21" s="52" t="s">
        <v>141</v>
      </c>
    </row>
    <row r="22" spans="1:19" hidden="1" outlineLevel="2" x14ac:dyDescent="0.45">
      <c r="A22" t="s">
        <v>14</v>
      </c>
      <c r="B22" s="52" t="s">
        <v>65</v>
      </c>
      <c r="C22" s="52" t="s">
        <v>112</v>
      </c>
      <c r="D22" s="52" t="s">
        <v>113</v>
      </c>
      <c r="E22" s="52" t="s">
        <v>71</v>
      </c>
      <c r="F22" s="52" t="s">
        <v>148</v>
      </c>
      <c r="G22" s="52" t="s">
        <v>73</v>
      </c>
      <c r="H22" s="54">
        <v>46023</v>
      </c>
      <c r="I22" s="52" t="s">
        <v>74</v>
      </c>
      <c r="J22" s="52" t="s">
        <v>115</v>
      </c>
      <c r="K22" s="52" t="s">
        <v>149</v>
      </c>
      <c r="L22" s="52" t="s">
        <v>149</v>
      </c>
      <c r="M22" s="52" t="s">
        <v>29</v>
      </c>
      <c r="N22" s="53">
        <v>2124</v>
      </c>
      <c r="O22" s="53">
        <v>2124</v>
      </c>
      <c r="P22" s="52" t="s">
        <v>150</v>
      </c>
      <c r="Q22" s="52" t="s">
        <v>118</v>
      </c>
      <c r="R22" s="52" t="s">
        <v>64</v>
      </c>
      <c r="S22" s="52" t="s">
        <v>141</v>
      </c>
    </row>
    <row r="23" spans="1:19" hidden="1" outlineLevel="2" x14ac:dyDescent="0.45">
      <c r="A23" t="s">
        <v>14</v>
      </c>
      <c r="B23" s="52" t="s">
        <v>65</v>
      </c>
      <c r="C23" s="52" t="s">
        <v>112</v>
      </c>
      <c r="D23" s="52" t="s">
        <v>113</v>
      </c>
      <c r="E23" s="52" t="s">
        <v>71</v>
      </c>
      <c r="F23" s="52" t="s">
        <v>151</v>
      </c>
      <c r="G23" s="52" t="s">
        <v>73</v>
      </c>
      <c r="H23" s="54">
        <v>46023</v>
      </c>
      <c r="I23" s="52" t="s">
        <v>74</v>
      </c>
      <c r="J23" s="52" t="s">
        <v>115</v>
      </c>
      <c r="K23" s="52" t="s">
        <v>152</v>
      </c>
      <c r="L23" s="52" t="s">
        <v>152</v>
      </c>
      <c r="M23" s="52" t="s">
        <v>29</v>
      </c>
      <c r="N23" s="53">
        <v>2124</v>
      </c>
      <c r="O23" s="53">
        <v>2124</v>
      </c>
      <c r="P23" s="52" t="s">
        <v>153</v>
      </c>
      <c r="Q23" s="52" t="s">
        <v>118</v>
      </c>
      <c r="R23" s="52" t="s">
        <v>64</v>
      </c>
      <c r="S23" s="52" t="s">
        <v>141</v>
      </c>
    </row>
    <row r="24" spans="1:19" hidden="1" outlineLevel="2" x14ac:dyDescent="0.45">
      <c r="A24" t="s">
        <v>14</v>
      </c>
      <c r="B24" s="52" t="s">
        <v>65</v>
      </c>
      <c r="C24" s="52" t="s">
        <v>112</v>
      </c>
      <c r="D24" s="52" t="s">
        <v>113</v>
      </c>
      <c r="E24" s="52" t="s">
        <v>71</v>
      </c>
      <c r="F24" s="52" t="s">
        <v>154</v>
      </c>
      <c r="G24" s="52" t="s">
        <v>73</v>
      </c>
      <c r="H24" s="54">
        <v>46023</v>
      </c>
      <c r="I24" s="52" t="s">
        <v>74</v>
      </c>
      <c r="J24" s="52" t="s">
        <v>115</v>
      </c>
      <c r="K24" s="52" t="s">
        <v>155</v>
      </c>
      <c r="L24" s="52" t="s">
        <v>155</v>
      </c>
      <c r="M24" s="52" t="s">
        <v>29</v>
      </c>
      <c r="N24" s="53">
        <v>2124</v>
      </c>
      <c r="O24" s="53">
        <v>2124</v>
      </c>
      <c r="P24" s="52" t="s">
        <v>156</v>
      </c>
      <c r="Q24" s="52" t="s">
        <v>118</v>
      </c>
      <c r="R24" s="52" t="s">
        <v>64</v>
      </c>
      <c r="S24" s="52" t="s">
        <v>141</v>
      </c>
    </row>
    <row r="25" spans="1:19" hidden="1" outlineLevel="2" x14ac:dyDescent="0.45">
      <c r="A25" t="s">
        <v>14</v>
      </c>
      <c r="B25" s="52" t="s">
        <v>65</v>
      </c>
      <c r="C25" s="52" t="s">
        <v>112</v>
      </c>
      <c r="D25" s="52" t="s">
        <v>113</v>
      </c>
      <c r="E25" s="52" t="s">
        <v>71</v>
      </c>
      <c r="F25" s="52" t="s">
        <v>157</v>
      </c>
      <c r="G25" s="52" t="s">
        <v>73</v>
      </c>
      <c r="H25" s="54">
        <v>46023</v>
      </c>
      <c r="I25" s="52" t="s">
        <v>74</v>
      </c>
      <c r="J25" s="52" t="s">
        <v>115</v>
      </c>
      <c r="K25" s="52" t="s">
        <v>158</v>
      </c>
      <c r="L25" s="52" t="s">
        <v>158</v>
      </c>
      <c r="M25" s="52" t="s">
        <v>29</v>
      </c>
      <c r="N25" s="53">
        <v>2124</v>
      </c>
      <c r="O25" s="53">
        <v>2124</v>
      </c>
      <c r="P25" s="52" t="s">
        <v>159</v>
      </c>
      <c r="Q25" s="52" t="s">
        <v>118</v>
      </c>
      <c r="R25" s="52" t="s">
        <v>64</v>
      </c>
      <c r="S25" s="52" t="s">
        <v>141</v>
      </c>
    </row>
    <row r="26" spans="1:19" hidden="1" outlineLevel="2" x14ac:dyDescent="0.45">
      <c r="A26" t="s">
        <v>14</v>
      </c>
      <c r="B26" s="52" t="s">
        <v>65</v>
      </c>
      <c r="C26" s="52" t="s">
        <v>112</v>
      </c>
      <c r="D26" s="52" t="s">
        <v>113</v>
      </c>
      <c r="E26" s="52" t="s">
        <v>71</v>
      </c>
      <c r="F26" s="52" t="s">
        <v>160</v>
      </c>
      <c r="G26" s="52" t="s">
        <v>73</v>
      </c>
      <c r="H26" s="54">
        <v>46023</v>
      </c>
      <c r="I26" s="52" t="s">
        <v>74</v>
      </c>
      <c r="J26" s="52" t="s">
        <v>115</v>
      </c>
      <c r="K26" s="52" t="s">
        <v>161</v>
      </c>
      <c r="L26" s="52" t="s">
        <v>161</v>
      </c>
      <c r="M26" s="52" t="s">
        <v>29</v>
      </c>
      <c r="N26" s="53">
        <v>2124</v>
      </c>
      <c r="O26" s="53">
        <v>2124</v>
      </c>
      <c r="P26" s="52" t="s">
        <v>162</v>
      </c>
      <c r="Q26" s="52" t="s">
        <v>118</v>
      </c>
      <c r="R26" s="52" t="s">
        <v>64</v>
      </c>
      <c r="S26" s="52" t="s">
        <v>141</v>
      </c>
    </row>
    <row r="27" spans="1:19" hidden="1" outlineLevel="2" x14ac:dyDescent="0.45">
      <c r="A27" t="s">
        <v>14</v>
      </c>
      <c r="B27" s="52" t="s">
        <v>65</v>
      </c>
      <c r="C27" s="52" t="s">
        <v>112</v>
      </c>
      <c r="D27" s="52" t="s">
        <v>113</v>
      </c>
      <c r="E27" s="52" t="s">
        <v>71</v>
      </c>
      <c r="F27" s="52" t="s">
        <v>163</v>
      </c>
      <c r="G27" s="52" t="s">
        <v>73</v>
      </c>
      <c r="H27" s="54">
        <v>46023</v>
      </c>
      <c r="I27" s="52" t="s">
        <v>74</v>
      </c>
      <c r="J27" s="52" t="s">
        <v>115</v>
      </c>
      <c r="K27" s="52" t="s">
        <v>164</v>
      </c>
      <c r="L27" s="52" t="s">
        <v>164</v>
      </c>
      <c r="M27" s="52" t="s">
        <v>29</v>
      </c>
      <c r="N27" s="53">
        <v>2124</v>
      </c>
      <c r="O27" s="53">
        <v>2124</v>
      </c>
      <c r="P27" s="52" t="s">
        <v>165</v>
      </c>
      <c r="Q27" s="52" t="s">
        <v>118</v>
      </c>
      <c r="R27" s="52" t="s">
        <v>64</v>
      </c>
      <c r="S27" s="52" t="s">
        <v>122</v>
      </c>
    </row>
    <row r="28" spans="1:19" hidden="1" outlineLevel="2" x14ac:dyDescent="0.45">
      <c r="A28" t="s">
        <v>14</v>
      </c>
      <c r="B28" s="52" t="s">
        <v>65</v>
      </c>
      <c r="C28" s="52" t="s">
        <v>112</v>
      </c>
      <c r="D28" s="52" t="s">
        <v>113</v>
      </c>
      <c r="E28" s="52" t="s">
        <v>71</v>
      </c>
      <c r="F28" s="52" t="s">
        <v>166</v>
      </c>
      <c r="G28" s="52" t="s">
        <v>73</v>
      </c>
      <c r="H28" s="54">
        <v>46023</v>
      </c>
      <c r="I28" s="52" t="s">
        <v>74</v>
      </c>
      <c r="J28" s="52" t="s">
        <v>115</v>
      </c>
      <c r="K28" s="52" t="s">
        <v>167</v>
      </c>
      <c r="L28" s="52" t="s">
        <v>167</v>
      </c>
      <c r="M28" s="52" t="s">
        <v>29</v>
      </c>
      <c r="N28" s="53">
        <v>2124</v>
      </c>
      <c r="O28" s="53">
        <v>2124</v>
      </c>
      <c r="P28" s="52" t="s">
        <v>168</v>
      </c>
      <c r="Q28" s="52" t="s">
        <v>118</v>
      </c>
      <c r="R28" s="52" t="s">
        <v>64</v>
      </c>
      <c r="S28" s="52" t="s">
        <v>119</v>
      </c>
    </row>
    <row r="29" spans="1:19" hidden="1" outlineLevel="2" x14ac:dyDescent="0.45">
      <c r="A29" t="s">
        <v>14</v>
      </c>
      <c r="B29" s="52" t="s">
        <v>65</v>
      </c>
      <c r="C29" s="52" t="s">
        <v>112</v>
      </c>
      <c r="D29" s="52" t="s">
        <v>113</v>
      </c>
      <c r="E29" s="52" t="s">
        <v>71</v>
      </c>
      <c r="F29" s="52" t="s">
        <v>169</v>
      </c>
      <c r="G29" s="52" t="s">
        <v>73</v>
      </c>
      <c r="H29" s="54">
        <v>46023</v>
      </c>
      <c r="I29" s="52" t="s">
        <v>74</v>
      </c>
      <c r="J29" s="52" t="s">
        <v>115</v>
      </c>
      <c r="K29" s="52" t="s">
        <v>170</v>
      </c>
      <c r="L29" s="52" t="s">
        <v>170</v>
      </c>
      <c r="M29" s="52" t="s">
        <v>29</v>
      </c>
      <c r="N29" s="53">
        <v>2124</v>
      </c>
      <c r="O29" s="53">
        <v>2124</v>
      </c>
      <c r="P29" s="52" t="s">
        <v>171</v>
      </c>
      <c r="Q29" s="52" t="s">
        <v>118</v>
      </c>
      <c r="R29" s="52" t="s">
        <v>64</v>
      </c>
      <c r="S29" s="52" t="s">
        <v>119</v>
      </c>
    </row>
    <row r="30" spans="1:19" hidden="1" outlineLevel="2" x14ac:dyDescent="0.45">
      <c r="A30" t="s">
        <v>14</v>
      </c>
      <c r="B30" s="52" t="s">
        <v>65</v>
      </c>
      <c r="C30" s="52" t="s">
        <v>112</v>
      </c>
      <c r="D30" s="52" t="s">
        <v>113</v>
      </c>
      <c r="E30" s="52" t="s">
        <v>71</v>
      </c>
      <c r="F30" s="52" t="s">
        <v>172</v>
      </c>
      <c r="G30" s="52" t="s">
        <v>73</v>
      </c>
      <c r="H30" s="54">
        <v>46023</v>
      </c>
      <c r="I30" s="52" t="s">
        <v>74</v>
      </c>
      <c r="J30" s="52" t="s">
        <v>115</v>
      </c>
      <c r="K30" s="52" t="s">
        <v>173</v>
      </c>
      <c r="L30" s="52" t="s">
        <v>173</v>
      </c>
      <c r="M30" s="52" t="s">
        <v>29</v>
      </c>
      <c r="N30" s="53">
        <v>2124</v>
      </c>
      <c r="O30" s="53">
        <v>2124</v>
      </c>
      <c r="P30" s="52" t="s">
        <v>171</v>
      </c>
      <c r="Q30" s="52" t="s">
        <v>118</v>
      </c>
      <c r="R30" s="52" t="s">
        <v>64</v>
      </c>
      <c r="S30" s="52" t="s">
        <v>122</v>
      </c>
    </row>
    <row r="31" spans="1:19" hidden="1" outlineLevel="2" x14ac:dyDescent="0.45">
      <c r="A31" t="s">
        <v>14</v>
      </c>
      <c r="B31" s="52" t="s">
        <v>65</v>
      </c>
      <c r="C31" s="52" t="s">
        <v>112</v>
      </c>
      <c r="D31" s="52" t="s">
        <v>113</v>
      </c>
      <c r="E31" s="52" t="s">
        <v>71</v>
      </c>
      <c r="F31" s="52" t="s">
        <v>174</v>
      </c>
      <c r="G31" s="52" t="s">
        <v>73</v>
      </c>
      <c r="H31" s="54">
        <v>46023</v>
      </c>
      <c r="I31" s="52" t="s">
        <v>74</v>
      </c>
      <c r="J31" s="52" t="s">
        <v>115</v>
      </c>
      <c r="K31" s="52" t="s">
        <v>175</v>
      </c>
      <c r="L31" s="52" t="s">
        <v>175</v>
      </c>
      <c r="M31" s="52" t="s">
        <v>29</v>
      </c>
      <c r="N31" s="53">
        <v>2124</v>
      </c>
      <c r="O31" s="53">
        <v>2124</v>
      </c>
      <c r="P31" s="52" t="s">
        <v>176</v>
      </c>
      <c r="Q31" s="52" t="s">
        <v>118</v>
      </c>
      <c r="R31" s="52" t="s">
        <v>64</v>
      </c>
      <c r="S31" s="52" t="s">
        <v>119</v>
      </c>
    </row>
    <row r="32" spans="1:19" hidden="1" outlineLevel="2" x14ac:dyDescent="0.45">
      <c r="A32" t="s">
        <v>14</v>
      </c>
      <c r="B32" s="52" t="s">
        <v>65</v>
      </c>
      <c r="C32" s="52" t="s">
        <v>112</v>
      </c>
      <c r="D32" s="52" t="s">
        <v>113</v>
      </c>
      <c r="E32" s="52" t="s">
        <v>71</v>
      </c>
      <c r="F32" s="52" t="s">
        <v>177</v>
      </c>
      <c r="G32" s="52" t="s">
        <v>73</v>
      </c>
      <c r="H32" s="54">
        <v>46023</v>
      </c>
      <c r="I32" s="52" t="s">
        <v>74</v>
      </c>
      <c r="J32" s="52" t="s">
        <v>115</v>
      </c>
      <c r="K32" s="52" t="s">
        <v>178</v>
      </c>
      <c r="L32" s="52" t="s">
        <v>178</v>
      </c>
      <c r="M32" s="52" t="s">
        <v>29</v>
      </c>
      <c r="N32" s="53">
        <v>2124</v>
      </c>
      <c r="O32" s="53">
        <v>2124</v>
      </c>
      <c r="P32" s="52" t="s">
        <v>176</v>
      </c>
      <c r="Q32" s="52" t="s">
        <v>118</v>
      </c>
      <c r="R32" s="52" t="s">
        <v>64</v>
      </c>
      <c r="S32" s="52" t="s">
        <v>122</v>
      </c>
    </row>
    <row r="33" spans="1:19" hidden="1" outlineLevel="2" x14ac:dyDescent="0.45">
      <c r="A33" t="s">
        <v>14</v>
      </c>
      <c r="B33" s="52" t="s">
        <v>65</v>
      </c>
      <c r="C33" s="52" t="s">
        <v>80</v>
      </c>
      <c r="D33" s="52" t="s">
        <v>81</v>
      </c>
      <c r="E33" s="52" t="s">
        <v>71</v>
      </c>
      <c r="F33" s="52" t="s">
        <v>179</v>
      </c>
      <c r="G33" s="52" t="s">
        <v>73</v>
      </c>
      <c r="H33" s="54">
        <v>46023</v>
      </c>
      <c r="I33" s="52" t="s">
        <v>74</v>
      </c>
      <c r="J33" s="52" t="s">
        <v>180</v>
      </c>
      <c r="K33" s="52" t="s">
        <v>84</v>
      </c>
      <c r="L33" s="52" t="s">
        <v>84</v>
      </c>
      <c r="M33" s="52" t="s">
        <v>29</v>
      </c>
      <c r="N33" s="53">
        <v>34430</v>
      </c>
      <c r="O33" s="53">
        <v>34430</v>
      </c>
      <c r="P33" s="52" t="s">
        <v>85</v>
      </c>
      <c r="Q33" s="52" t="s">
        <v>118</v>
      </c>
      <c r="R33" s="52" t="s">
        <v>64</v>
      </c>
      <c r="S33" s="52" t="s">
        <v>87</v>
      </c>
    </row>
    <row r="34" spans="1:19" hidden="1" outlineLevel="2" x14ac:dyDescent="0.45">
      <c r="A34" t="s">
        <v>14</v>
      </c>
      <c r="B34" s="52" t="s">
        <v>65</v>
      </c>
      <c r="C34" s="52" t="s">
        <v>112</v>
      </c>
      <c r="D34" s="52" t="s">
        <v>113</v>
      </c>
      <c r="E34" s="52" t="s">
        <v>71</v>
      </c>
      <c r="F34" s="52" t="s">
        <v>181</v>
      </c>
      <c r="G34" s="52" t="s">
        <v>73</v>
      </c>
      <c r="H34" s="54">
        <v>46023</v>
      </c>
      <c r="I34" s="52" t="s">
        <v>74</v>
      </c>
      <c r="J34" s="52" t="s">
        <v>115</v>
      </c>
      <c r="K34" s="52" t="s">
        <v>182</v>
      </c>
      <c r="L34" s="52" t="s">
        <v>182</v>
      </c>
      <c r="M34" s="52" t="s">
        <v>29</v>
      </c>
      <c r="N34" s="53">
        <v>2124</v>
      </c>
      <c r="O34" s="53">
        <v>2124</v>
      </c>
      <c r="P34" s="52" t="s">
        <v>183</v>
      </c>
      <c r="Q34" s="52" t="s">
        <v>118</v>
      </c>
      <c r="R34" s="52" t="s">
        <v>64</v>
      </c>
      <c r="S34" s="52" t="s">
        <v>122</v>
      </c>
    </row>
    <row r="35" spans="1:19" hidden="1" outlineLevel="2" x14ac:dyDescent="0.45">
      <c r="A35" t="s">
        <v>14</v>
      </c>
      <c r="B35" s="52" t="s">
        <v>65</v>
      </c>
      <c r="C35" s="52" t="s">
        <v>112</v>
      </c>
      <c r="D35" s="52" t="s">
        <v>113</v>
      </c>
      <c r="E35" s="52" t="s">
        <v>71</v>
      </c>
      <c r="F35" s="52" t="s">
        <v>184</v>
      </c>
      <c r="G35" s="52" t="s">
        <v>73</v>
      </c>
      <c r="H35" s="54">
        <v>46023</v>
      </c>
      <c r="I35" s="52" t="s">
        <v>74</v>
      </c>
      <c r="J35" s="52" t="s">
        <v>115</v>
      </c>
      <c r="K35" s="52" t="s">
        <v>185</v>
      </c>
      <c r="L35" s="52" t="s">
        <v>185</v>
      </c>
      <c r="M35" s="52" t="s">
        <v>29</v>
      </c>
      <c r="N35" s="53">
        <v>2124</v>
      </c>
      <c r="O35" s="53">
        <v>2124</v>
      </c>
      <c r="P35" s="52" t="s">
        <v>186</v>
      </c>
      <c r="Q35" s="52" t="s">
        <v>118</v>
      </c>
      <c r="R35" s="52" t="s">
        <v>64</v>
      </c>
      <c r="S35" s="52" t="s">
        <v>119</v>
      </c>
    </row>
    <row r="36" spans="1:19" hidden="1" outlineLevel="2" x14ac:dyDescent="0.45">
      <c r="A36" t="s">
        <v>14</v>
      </c>
      <c r="B36" s="52" t="s">
        <v>57</v>
      </c>
      <c r="C36" s="52" t="s">
        <v>187</v>
      </c>
      <c r="D36" s="52" t="s">
        <v>188</v>
      </c>
      <c r="E36" s="52" t="s">
        <v>71</v>
      </c>
      <c r="F36" s="52" t="s">
        <v>189</v>
      </c>
      <c r="G36" s="52" t="s">
        <v>73</v>
      </c>
      <c r="H36" s="54">
        <v>46023</v>
      </c>
      <c r="I36" s="52" t="s">
        <v>74</v>
      </c>
      <c r="J36" s="52" t="s">
        <v>190</v>
      </c>
      <c r="K36" s="52" t="s">
        <v>191</v>
      </c>
      <c r="L36" s="52" t="s">
        <v>191</v>
      </c>
      <c r="M36" s="52" t="s">
        <v>29</v>
      </c>
      <c r="N36" s="53">
        <v>103840</v>
      </c>
      <c r="O36" s="53">
        <v>103840</v>
      </c>
      <c r="P36" s="52" t="s">
        <v>192</v>
      </c>
      <c r="Q36" s="52" t="s">
        <v>193</v>
      </c>
      <c r="R36" s="52" t="s">
        <v>64</v>
      </c>
      <c r="S36" s="52" t="s">
        <v>194</v>
      </c>
    </row>
    <row r="37" spans="1:19" hidden="1" outlineLevel="2" x14ac:dyDescent="0.45">
      <c r="A37" t="s">
        <v>14</v>
      </c>
      <c r="B37" s="52" t="s">
        <v>57</v>
      </c>
      <c r="C37" s="52" t="s">
        <v>187</v>
      </c>
      <c r="D37" s="52" t="s">
        <v>188</v>
      </c>
      <c r="E37" s="52" t="s">
        <v>71</v>
      </c>
      <c r="F37" s="52" t="s">
        <v>195</v>
      </c>
      <c r="G37" s="52" t="s">
        <v>73</v>
      </c>
      <c r="H37" s="54">
        <v>46023</v>
      </c>
      <c r="I37" s="52" t="s">
        <v>74</v>
      </c>
      <c r="J37" s="52" t="s">
        <v>190</v>
      </c>
      <c r="K37" s="52" t="s">
        <v>196</v>
      </c>
      <c r="L37" s="52" t="s">
        <v>196</v>
      </c>
      <c r="M37" s="52" t="s">
        <v>29</v>
      </c>
      <c r="N37" s="53">
        <v>103840</v>
      </c>
      <c r="O37" s="53">
        <v>103840</v>
      </c>
      <c r="P37" s="52" t="s">
        <v>197</v>
      </c>
      <c r="Q37" s="52" t="s">
        <v>198</v>
      </c>
      <c r="R37" s="52" t="s">
        <v>64</v>
      </c>
      <c r="S37" s="52" t="s">
        <v>194</v>
      </c>
    </row>
    <row r="38" spans="1:19" hidden="1" outlineLevel="2" x14ac:dyDescent="0.45">
      <c r="A38" t="s">
        <v>14</v>
      </c>
      <c r="B38" s="52" t="s">
        <v>57</v>
      </c>
      <c r="C38" s="52" t="s">
        <v>187</v>
      </c>
      <c r="D38" s="52" t="s">
        <v>188</v>
      </c>
      <c r="E38" s="52" t="s">
        <v>71</v>
      </c>
      <c r="F38" s="52" t="s">
        <v>199</v>
      </c>
      <c r="G38" s="52" t="s">
        <v>73</v>
      </c>
      <c r="H38" s="54">
        <v>46023</v>
      </c>
      <c r="I38" s="52" t="s">
        <v>74</v>
      </c>
      <c r="J38" s="52" t="s">
        <v>107</v>
      </c>
      <c r="K38" s="52" t="s">
        <v>200</v>
      </c>
      <c r="L38" s="52" t="s">
        <v>200</v>
      </c>
      <c r="M38" s="52" t="s">
        <v>29</v>
      </c>
      <c r="N38" s="53">
        <v>103840</v>
      </c>
      <c r="O38" s="53">
        <v>103840</v>
      </c>
      <c r="P38" s="52" t="s">
        <v>201</v>
      </c>
      <c r="Q38" s="52" t="s">
        <v>202</v>
      </c>
      <c r="R38" s="52" t="s">
        <v>64</v>
      </c>
      <c r="S38" s="52" t="s">
        <v>203</v>
      </c>
    </row>
    <row r="39" spans="1:19" hidden="1" outlineLevel="2" x14ac:dyDescent="0.45">
      <c r="A39" t="s">
        <v>14</v>
      </c>
      <c r="B39" s="52" t="s">
        <v>57</v>
      </c>
      <c r="C39" s="52" t="s">
        <v>187</v>
      </c>
      <c r="D39" s="52" t="s">
        <v>188</v>
      </c>
      <c r="E39" s="52" t="s">
        <v>71</v>
      </c>
      <c r="F39" s="52" t="s">
        <v>204</v>
      </c>
      <c r="G39" s="52" t="s">
        <v>73</v>
      </c>
      <c r="H39" s="54">
        <v>46023</v>
      </c>
      <c r="I39" s="52" t="s">
        <v>74</v>
      </c>
      <c r="J39" s="52" t="s">
        <v>190</v>
      </c>
      <c r="K39" s="52" t="s">
        <v>205</v>
      </c>
      <c r="L39" s="52" t="s">
        <v>205</v>
      </c>
      <c r="M39" s="52" t="s">
        <v>29</v>
      </c>
      <c r="N39" s="53">
        <v>103840</v>
      </c>
      <c r="O39" s="53">
        <v>103840</v>
      </c>
      <c r="P39" s="52" t="s">
        <v>201</v>
      </c>
      <c r="Q39" s="52" t="s">
        <v>206</v>
      </c>
      <c r="R39" s="52" t="s">
        <v>64</v>
      </c>
      <c r="S39" s="52" t="s">
        <v>194</v>
      </c>
    </row>
    <row r="40" spans="1:19" hidden="1" outlineLevel="2" x14ac:dyDescent="0.45">
      <c r="A40" t="s">
        <v>14</v>
      </c>
      <c r="B40" s="52" t="s">
        <v>65</v>
      </c>
      <c r="C40" s="52" t="s">
        <v>187</v>
      </c>
      <c r="D40" s="52" t="s">
        <v>188</v>
      </c>
      <c r="E40" s="52" t="s">
        <v>71</v>
      </c>
      <c r="F40" s="52" t="s">
        <v>207</v>
      </c>
      <c r="G40" s="52" t="s">
        <v>73</v>
      </c>
      <c r="H40" s="54">
        <v>46023</v>
      </c>
      <c r="I40" s="52" t="s">
        <v>74</v>
      </c>
      <c r="J40" s="52" t="s">
        <v>208</v>
      </c>
      <c r="K40" s="52" t="s">
        <v>205</v>
      </c>
      <c r="L40" s="52" t="s">
        <v>205</v>
      </c>
      <c r="M40" s="52" t="s">
        <v>29</v>
      </c>
      <c r="N40" s="53">
        <v>14160</v>
      </c>
      <c r="O40" s="53">
        <v>14160</v>
      </c>
      <c r="P40" s="52" t="s">
        <v>201</v>
      </c>
      <c r="Q40" s="52" t="s">
        <v>118</v>
      </c>
      <c r="R40" s="52" t="s">
        <v>64</v>
      </c>
      <c r="S40" s="52" t="s">
        <v>194</v>
      </c>
    </row>
    <row r="41" spans="1:19" hidden="1" outlineLevel="2" x14ac:dyDescent="0.45">
      <c r="A41" t="s">
        <v>14</v>
      </c>
      <c r="B41" s="52" t="s">
        <v>57</v>
      </c>
      <c r="C41" s="52" t="s">
        <v>187</v>
      </c>
      <c r="D41" s="52" t="s">
        <v>188</v>
      </c>
      <c r="E41" s="52" t="s">
        <v>71</v>
      </c>
      <c r="F41" s="52" t="s">
        <v>209</v>
      </c>
      <c r="G41" s="52" t="s">
        <v>73</v>
      </c>
      <c r="H41" s="54">
        <v>46023</v>
      </c>
      <c r="I41" s="52" t="s">
        <v>74</v>
      </c>
      <c r="J41" s="52" t="s">
        <v>210</v>
      </c>
      <c r="K41" s="52" t="s">
        <v>211</v>
      </c>
      <c r="L41" s="52" t="s">
        <v>211</v>
      </c>
      <c r="M41" s="52" t="s">
        <v>29</v>
      </c>
      <c r="N41" s="53">
        <v>51920</v>
      </c>
      <c r="O41" s="53">
        <v>51920</v>
      </c>
      <c r="P41" s="52" t="s">
        <v>212</v>
      </c>
      <c r="Q41" s="52" t="s">
        <v>213</v>
      </c>
      <c r="R41" s="52" t="s">
        <v>64</v>
      </c>
      <c r="S41" s="52" t="s">
        <v>214</v>
      </c>
    </row>
    <row r="42" spans="1:19" hidden="1" outlineLevel="2" x14ac:dyDescent="0.45">
      <c r="A42" t="s">
        <v>14</v>
      </c>
      <c r="B42" s="52" t="s">
        <v>65</v>
      </c>
      <c r="C42" s="52" t="s">
        <v>187</v>
      </c>
      <c r="D42" s="52" t="s">
        <v>188</v>
      </c>
      <c r="E42" s="52" t="s">
        <v>71</v>
      </c>
      <c r="F42" s="52" t="s">
        <v>215</v>
      </c>
      <c r="G42" s="52" t="s">
        <v>73</v>
      </c>
      <c r="H42" s="54">
        <v>46023</v>
      </c>
      <c r="I42" s="52" t="s">
        <v>74</v>
      </c>
      <c r="J42" s="52" t="s">
        <v>115</v>
      </c>
      <c r="K42" s="52" t="s">
        <v>216</v>
      </c>
      <c r="L42" s="52" t="s">
        <v>216</v>
      </c>
      <c r="M42" s="52" t="s">
        <v>29</v>
      </c>
      <c r="N42" s="53">
        <v>7080</v>
      </c>
      <c r="O42" s="53">
        <v>7080</v>
      </c>
      <c r="P42" s="52" t="s">
        <v>212</v>
      </c>
      <c r="Q42" s="52" t="s">
        <v>118</v>
      </c>
      <c r="R42" s="52" t="s">
        <v>64</v>
      </c>
      <c r="S42" s="52" t="s">
        <v>203</v>
      </c>
    </row>
    <row r="43" spans="1:19" hidden="1" outlineLevel="2" x14ac:dyDescent="0.45">
      <c r="A43" t="s">
        <v>14</v>
      </c>
      <c r="B43" s="52" t="s">
        <v>65</v>
      </c>
      <c r="C43" s="52" t="s">
        <v>96</v>
      </c>
      <c r="D43" s="52" t="s">
        <v>97</v>
      </c>
      <c r="E43" s="52" t="s">
        <v>71</v>
      </c>
      <c r="F43" s="52" t="s">
        <v>217</v>
      </c>
      <c r="G43" s="52" t="s">
        <v>73</v>
      </c>
      <c r="H43" s="54">
        <v>46023</v>
      </c>
      <c r="I43" s="52" t="s">
        <v>74</v>
      </c>
      <c r="J43" s="52" t="s">
        <v>115</v>
      </c>
      <c r="K43" s="52" t="s">
        <v>100</v>
      </c>
      <c r="L43" s="52" t="s">
        <v>100</v>
      </c>
      <c r="M43" s="52" t="s">
        <v>29</v>
      </c>
      <c r="N43" s="53">
        <v>22531</v>
      </c>
      <c r="O43" s="53">
        <v>22531</v>
      </c>
      <c r="P43" s="52" t="s">
        <v>101</v>
      </c>
      <c r="Q43" s="52" t="s">
        <v>118</v>
      </c>
      <c r="R43" s="52" t="s">
        <v>64</v>
      </c>
      <c r="S43" s="52" t="s">
        <v>103</v>
      </c>
    </row>
    <row r="44" spans="1:19" hidden="1" outlineLevel="2" x14ac:dyDescent="0.45">
      <c r="A44" t="s">
        <v>14</v>
      </c>
      <c r="B44" s="52" t="s">
        <v>57</v>
      </c>
      <c r="C44" s="52" t="s">
        <v>96</v>
      </c>
      <c r="D44" s="52" t="s">
        <v>97</v>
      </c>
      <c r="E44" s="52" t="s">
        <v>71</v>
      </c>
      <c r="F44" s="52" t="s">
        <v>218</v>
      </c>
      <c r="G44" s="52" t="s">
        <v>73</v>
      </c>
      <c r="H44" s="54">
        <v>46023</v>
      </c>
      <c r="I44" s="52" t="s">
        <v>74</v>
      </c>
      <c r="J44" s="52" t="s">
        <v>99</v>
      </c>
      <c r="K44" s="52" t="s">
        <v>219</v>
      </c>
      <c r="L44" s="52" t="s">
        <v>219</v>
      </c>
      <c r="M44" s="52" t="s">
        <v>29</v>
      </c>
      <c r="N44" s="53">
        <v>13225.83</v>
      </c>
      <c r="O44" s="53">
        <v>13225.83</v>
      </c>
      <c r="P44" s="52" t="s">
        <v>220</v>
      </c>
      <c r="Q44" s="52" t="s">
        <v>221</v>
      </c>
      <c r="R44" s="52" t="s">
        <v>64</v>
      </c>
      <c r="S44" s="52" t="s">
        <v>103</v>
      </c>
    </row>
    <row r="45" spans="1:19" hidden="1" outlineLevel="2" x14ac:dyDescent="0.45">
      <c r="A45" t="s">
        <v>14</v>
      </c>
      <c r="B45" s="52" t="s">
        <v>65</v>
      </c>
      <c r="C45" s="52" t="s">
        <v>96</v>
      </c>
      <c r="D45" s="52" t="s">
        <v>97</v>
      </c>
      <c r="E45" s="52" t="s">
        <v>71</v>
      </c>
      <c r="F45" s="52" t="s">
        <v>222</v>
      </c>
      <c r="G45" s="52" t="s">
        <v>73</v>
      </c>
      <c r="H45" s="54">
        <v>46023</v>
      </c>
      <c r="I45" s="52" t="s">
        <v>74</v>
      </c>
      <c r="J45" s="52" t="s">
        <v>115</v>
      </c>
      <c r="K45" s="52" t="s">
        <v>223</v>
      </c>
      <c r="L45" s="52" t="s">
        <v>223</v>
      </c>
      <c r="M45" s="52" t="s">
        <v>29</v>
      </c>
      <c r="N45" s="53">
        <v>9013</v>
      </c>
      <c r="O45" s="53">
        <v>9013</v>
      </c>
      <c r="P45" s="52" t="s">
        <v>224</v>
      </c>
      <c r="Q45" s="52" t="s">
        <v>118</v>
      </c>
      <c r="R45" s="52" t="s">
        <v>64</v>
      </c>
      <c r="S45" s="52" t="s">
        <v>103</v>
      </c>
    </row>
    <row r="46" spans="1:19" hidden="1" outlineLevel="2" x14ac:dyDescent="0.45">
      <c r="A46" t="s">
        <v>14</v>
      </c>
      <c r="B46" s="52" t="s">
        <v>65</v>
      </c>
      <c r="C46" s="52" t="s">
        <v>96</v>
      </c>
      <c r="D46" s="52" t="s">
        <v>97</v>
      </c>
      <c r="E46" s="52" t="s">
        <v>71</v>
      </c>
      <c r="F46" s="52" t="s">
        <v>225</v>
      </c>
      <c r="G46" s="52" t="s">
        <v>73</v>
      </c>
      <c r="H46" s="54">
        <v>46023</v>
      </c>
      <c r="I46" s="52" t="s">
        <v>74</v>
      </c>
      <c r="J46" s="52" t="s">
        <v>115</v>
      </c>
      <c r="K46" s="52" t="s">
        <v>226</v>
      </c>
      <c r="L46" s="52" t="s">
        <v>226</v>
      </c>
      <c r="M46" s="52" t="s">
        <v>29</v>
      </c>
      <c r="N46" s="53">
        <v>6312</v>
      </c>
      <c r="O46" s="53">
        <v>6312</v>
      </c>
      <c r="P46" s="52" t="s">
        <v>227</v>
      </c>
      <c r="Q46" s="52" t="s">
        <v>118</v>
      </c>
      <c r="R46" s="52" t="s">
        <v>64</v>
      </c>
      <c r="S46" s="52" t="s">
        <v>103</v>
      </c>
    </row>
    <row r="47" spans="1:19" hidden="1" outlineLevel="2" x14ac:dyDescent="0.45">
      <c r="A47" t="s">
        <v>14</v>
      </c>
      <c r="B47" s="52" t="s">
        <v>65</v>
      </c>
      <c r="C47" s="52" t="s">
        <v>96</v>
      </c>
      <c r="D47" s="52" t="s">
        <v>97</v>
      </c>
      <c r="E47" s="52" t="s">
        <v>71</v>
      </c>
      <c r="F47" s="52" t="s">
        <v>228</v>
      </c>
      <c r="G47" s="52" t="s">
        <v>73</v>
      </c>
      <c r="H47" s="54">
        <v>46023</v>
      </c>
      <c r="I47" s="52" t="s">
        <v>74</v>
      </c>
      <c r="J47" s="52" t="s">
        <v>115</v>
      </c>
      <c r="K47" s="52" t="s">
        <v>219</v>
      </c>
      <c r="L47" s="52" t="s">
        <v>219</v>
      </c>
      <c r="M47" s="52" t="s">
        <v>29</v>
      </c>
      <c r="N47" s="53">
        <v>1803</v>
      </c>
      <c r="O47" s="53">
        <v>1803</v>
      </c>
      <c r="P47" s="52" t="s">
        <v>220</v>
      </c>
      <c r="Q47" s="52" t="s">
        <v>118</v>
      </c>
      <c r="R47" s="52" t="s">
        <v>64</v>
      </c>
      <c r="S47" s="52" t="s">
        <v>103</v>
      </c>
    </row>
    <row r="48" spans="1:19" hidden="1" outlineLevel="2" x14ac:dyDescent="0.45">
      <c r="A48" t="s">
        <v>14</v>
      </c>
      <c r="B48" s="52" t="s">
        <v>65</v>
      </c>
      <c r="C48" s="52" t="s">
        <v>104</v>
      </c>
      <c r="D48" s="52" t="s">
        <v>105</v>
      </c>
      <c r="E48" s="52" t="s">
        <v>71</v>
      </c>
      <c r="F48" s="52" t="s">
        <v>229</v>
      </c>
      <c r="G48" s="52" t="s">
        <v>73</v>
      </c>
      <c r="H48" s="54">
        <v>46023</v>
      </c>
      <c r="I48" s="52" t="s">
        <v>74</v>
      </c>
      <c r="J48" s="52" t="s">
        <v>107</v>
      </c>
      <c r="K48" s="52" t="s">
        <v>108</v>
      </c>
      <c r="L48" s="52" t="s">
        <v>108</v>
      </c>
      <c r="M48" s="52" t="s">
        <v>29</v>
      </c>
      <c r="N48" s="53">
        <v>22039</v>
      </c>
      <c r="O48" s="53">
        <v>22039</v>
      </c>
      <c r="P48" s="52" t="s">
        <v>109</v>
      </c>
      <c r="Q48" s="52" t="s">
        <v>118</v>
      </c>
      <c r="R48" s="52" t="s">
        <v>64</v>
      </c>
      <c r="S48" s="52" t="s">
        <v>111</v>
      </c>
    </row>
    <row r="49" spans="1:19" hidden="1" outlineLevel="2" x14ac:dyDescent="0.45">
      <c r="A49" t="s">
        <v>14</v>
      </c>
      <c r="B49" s="52" t="s">
        <v>57</v>
      </c>
      <c r="C49" s="52" t="s">
        <v>69</v>
      </c>
      <c r="D49" s="52" t="s">
        <v>70</v>
      </c>
      <c r="E49" s="52" t="s">
        <v>71</v>
      </c>
      <c r="F49" s="52" t="s">
        <v>230</v>
      </c>
      <c r="G49" s="52" t="s">
        <v>73</v>
      </c>
      <c r="H49" s="54">
        <v>46054</v>
      </c>
      <c r="I49" s="52" t="s">
        <v>231</v>
      </c>
      <c r="J49" s="52" t="s">
        <v>232</v>
      </c>
      <c r="K49" s="52" t="s">
        <v>76</v>
      </c>
      <c r="L49" s="52" t="s">
        <v>76</v>
      </c>
      <c r="M49" s="52" t="s">
        <v>29</v>
      </c>
      <c r="N49" s="53">
        <v>321688</v>
      </c>
      <c r="O49" s="53">
        <v>321688</v>
      </c>
      <c r="P49" s="52" t="s">
        <v>77</v>
      </c>
      <c r="Q49" s="52" t="s">
        <v>233</v>
      </c>
      <c r="R49" s="52" t="s">
        <v>64</v>
      </c>
      <c r="S49" s="52" t="s">
        <v>79</v>
      </c>
    </row>
    <row r="50" spans="1:19" hidden="1" outlineLevel="2" x14ac:dyDescent="0.45">
      <c r="A50" t="s">
        <v>14</v>
      </c>
      <c r="B50" s="52" t="s">
        <v>57</v>
      </c>
      <c r="C50" s="52" t="s">
        <v>80</v>
      </c>
      <c r="D50" s="52" t="s">
        <v>81</v>
      </c>
      <c r="E50" s="52" t="s">
        <v>71</v>
      </c>
      <c r="F50" s="52" t="s">
        <v>234</v>
      </c>
      <c r="G50" s="52" t="s">
        <v>73</v>
      </c>
      <c r="H50" s="54">
        <v>46054</v>
      </c>
      <c r="I50" s="52" t="s">
        <v>231</v>
      </c>
      <c r="J50" s="52" t="s">
        <v>235</v>
      </c>
      <c r="K50" s="52" t="s">
        <v>236</v>
      </c>
      <c r="L50" s="52" t="s">
        <v>236</v>
      </c>
      <c r="M50" s="52" t="s">
        <v>29</v>
      </c>
      <c r="N50" s="53">
        <v>252483.54</v>
      </c>
      <c r="O50" s="53">
        <v>252483.54</v>
      </c>
      <c r="P50" s="52" t="s">
        <v>237</v>
      </c>
      <c r="Q50" s="52" t="s">
        <v>238</v>
      </c>
      <c r="R50" s="52" t="s">
        <v>64</v>
      </c>
      <c r="S50" s="52" t="s">
        <v>239</v>
      </c>
    </row>
    <row r="51" spans="1:19" hidden="1" outlineLevel="2" x14ac:dyDescent="0.45">
      <c r="A51" t="s">
        <v>14</v>
      </c>
      <c r="B51" s="52" t="s">
        <v>57</v>
      </c>
      <c r="C51" s="52" t="s">
        <v>69</v>
      </c>
      <c r="D51" s="52" t="s">
        <v>70</v>
      </c>
      <c r="E51" s="52" t="s">
        <v>71</v>
      </c>
      <c r="F51" s="52" t="s">
        <v>240</v>
      </c>
      <c r="G51" s="52" t="s">
        <v>73</v>
      </c>
      <c r="H51" s="54">
        <v>46054</v>
      </c>
      <c r="I51" s="52" t="s">
        <v>231</v>
      </c>
      <c r="J51" s="52" t="s">
        <v>241</v>
      </c>
      <c r="K51" s="52" t="s">
        <v>242</v>
      </c>
      <c r="L51" s="52" t="s">
        <v>242</v>
      </c>
      <c r="M51" s="52" t="s">
        <v>29</v>
      </c>
      <c r="N51" s="53">
        <v>166993.13</v>
      </c>
      <c r="O51" s="53">
        <v>166993.13</v>
      </c>
      <c r="P51" s="52" t="s">
        <v>243</v>
      </c>
      <c r="Q51" s="52" t="s">
        <v>118</v>
      </c>
      <c r="R51" s="52" t="s">
        <v>64</v>
      </c>
      <c r="S51" s="52" t="s">
        <v>79</v>
      </c>
    </row>
    <row r="52" spans="1:19" hidden="1" outlineLevel="2" x14ac:dyDescent="0.45">
      <c r="A52" t="s">
        <v>14</v>
      </c>
      <c r="B52" s="52" t="s">
        <v>57</v>
      </c>
      <c r="C52" s="52" t="s">
        <v>69</v>
      </c>
      <c r="D52" s="52" t="s">
        <v>70</v>
      </c>
      <c r="E52" s="52" t="s">
        <v>71</v>
      </c>
      <c r="F52" s="52" t="s">
        <v>244</v>
      </c>
      <c r="G52" s="52" t="s">
        <v>73</v>
      </c>
      <c r="H52" s="54">
        <v>46054</v>
      </c>
      <c r="I52" s="52" t="s">
        <v>231</v>
      </c>
      <c r="J52" s="52" t="s">
        <v>241</v>
      </c>
      <c r="K52" s="52" t="s">
        <v>76</v>
      </c>
      <c r="L52" s="52" t="s">
        <v>76</v>
      </c>
      <c r="M52" s="52" t="s">
        <v>29</v>
      </c>
      <c r="N52" s="53">
        <v>150911.5</v>
      </c>
      <c r="O52" s="53">
        <v>150911.5</v>
      </c>
      <c r="P52" s="52" t="s">
        <v>77</v>
      </c>
      <c r="Q52" s="52" t="s">
        <v>118</v>
      </c>
      <c r="R52" s="52" t="s">
        <v>64</v>
      </c>
      <c r="S52" s="52" t="s">
        <v>79</v>
      </c>
    </row>
    <row r="53" spans="1:19" hidden="1" outlineLevel="2" x14ac:dyDescent="0.45">
      <c r="A53" t="s">
        <v>14</v>
      </c>
      <c r="B53" s="52" t="s">
        <v>65</v>
      </c>
      <c r="C53" s="52" t="s">
        <v>80</v>
      </c>
      <c r="D53" s="52" t="s">
        <v>81</v>
      </c>
      <c r="E53" s="52" t="s">
        <v>71</v>
      </c>
      <c r="F53" s="52" t="s">
        <v>245</v>
      </c>
      <c r="G53" s="52" t="s">
        <v>73</v>
      </c>
      <c r="H53" s="54">
        <v>46054</v>
      </c>
      <c r="I53" s="52" t="s">
        <v>231</v>
      </c>
      <c r="J53" s="52" t="s">
        <v>246</v>
      </c>
      <c r="K53" s="52" t="s">
        <v>236</v>
      </c>
      <c r="L53" s="52" t="s">
        <v>236</v>
      </c>
      <c r="M53" s="52" t="s">
        <v>29</v>
      </c>
      <c r="N53" s="53">
        <v>34430</v>
      </c>
      <c r="O53" s="53">
        <v>34430</v>
      </c>
      <c r="P53" s="52" t="s">
        <v>237</v>
      </c>
      <c r="Q53" s="52" t="s">
        <v>118</v>
      </c>
      <c r="R53" s="52" t="s">
        <v>64</v>
      </c>
      <c r="S53" s="52" t="s">
        <v>239</v>
      </c>
    </row>
    <row r="54" spans="1:19" hidden="1" outlineLevel="2" x14ac:dyDescent="0.45">
      <c r="A54" t="s">
        <v>14</v>
      </c>
      <c r="B54" s="52" t="s">
        <v>65</v>
      </c>
      <c r="C54" s="52" t="s">
        <v>187</v>
      </c>
      <c r="D54" s="52" t="s">
        <v>188</v>
      </c>
      <c r="E54" s="52" t="s">
        <v>71</v>
      </c>
      <c r="F54" s="52" t="s">
        <v>247</v>
      </c>
      <c r="G54" s="52" t="s">
        <v>73</v>
      </c>
      <c r="H54" s="54">
        <v>46054</v>
      </c>
      <c r="I54" s="52" t="s">
        <v>231</v>
      </c>
      <c r="J54" s="52" t="s">
        <v>235</v>
      </c>
      <c r="K54" s="52" t="s">
        <v>248</v>
      </c>
      <c r="L54" s="52" t="s">
        <v>248</v>
      </c>
      <c r="M54" s="52" t="s">
        <v>29</v>
      </c>
      <c r="N54" s="53">
        <v>14160</v>
      </c>
      <c r="O54" s="53">
        <v>14160</v>
      </c>
      <c r="P54" s="52" t="s">
        <v>192</v>
      </c>
      <c r="Q54" s="52" t="s">
        <v>118</v>
      </c>
      <c r="R54" s="52" t="s">
        <v>64</v>
      </c>
      <c r="S54" s="52" t="s">
        <v>203</v>
      </c>
    </row>
    <row r="55" spans="1:19" hidden="1" outlineLevel="2" x14ac:dyDescent="0.45">
      <c r="A55" t="s">
        <v>14</v>
      </c>
      <c r="B55" s="52" t="s">
        <v>65</v>
      </c>
      <c r="C55" s="52" t="s">
        <v>187</v>
      </c>
      <c r="D55" s="52" t="s">
        <v>188</v>
      </c>
      <c r="E55" s="52" t="s">
        <v>71</v>
      </c>
      <c r="F55" s="52" t="s">
        <v>249</v>
      </c>
      <c r="G55" s="52" t="s">
        <v>73</v>
      </c>
      <c r="H55" s="54">
        <v>46054</v>
      </c>
      <c r="I55" s="52" t="s">
        <v>231</v>
      </c>
      <c r="J55" s="52" t="s">
        <v>250</v>
      </c>
      <c r="K55" s="52" t="s">
        <v>196</v>
      </c>
      <c r="L55" s="52" t="s">
        <v>196</v>
      </c>
      <c r="M55" s="52" t="s">
        <v>29</v>
      </c>
      <c r="N55" s="53">
        <v>14160</v>
      </c>
      <c r="O55" s="53">
        <v>14160</v>
      </c>
      <c r="P55" s="52" t="s">
        <v>197</v>
      </c>
      <c r="Q55" s="52" t="s">
        <v>118</v>
      </c>
      <c r="R55" s="52" t="s">
        <v>64</v>
      </c>
      <c r="S55" s="52" t="s">
        <v>194</v>
      </c>
    </row>
    <row r="56" spans="1:19" hidden="1" outlineLevel="2" x14ac:dyDescent="0.45">
      <c r="A56" t="s">
        <v>14</v>
      </c>
      <c r="B56" s="52" t="s">
        <v>65</v>
      </c>
      <c r="C56" s="52" t="s">
        <v>187</v>
      </c>
      <c r="D56" s="52" t="s">
        <v>188</v>
      </c>
      <c r="E56" s="52" t="s">
        <v>71</v>
      </c>
      <c r="F56" s="52" t="s">
        <v>251</v>
      </c>
      <c r="G56" s="52" t="s">
        <v>73</v>
      </c>
      <c r="H56" s="54">
        <v>46054</v>
      </c>
      <c r="I56" s="52" t="s">
        <v>231</v>
      </c>
      <c r="J56" s="52" t="s">
        <v>250</v>
      </c>
      <c r="K56" s="52" t="s">
        <v>211</v>
      </c>
      <c r="L56" s="52" t="s">
        <v>211</v>
      </c>
      <c r="M56" s="52" t="s">
        <v>29</v>
      </c>
      <c r="N56" s="53">
        <v>7080</v>
      </c>
      <c r="O56" s="53">
        <v>7080</v>
      </c>
      <c r="P56" s="52" t="s">
        <v>212</v>
      </c>
      <c r="Q56" s="52" t="s">
        <v>118</v>
      </c>
      <c r="R56" s="52" t="s">
        <v>64</v>
      </c>
      <c r="S56" s="52" t="s">
        <v>214</v>
      </c>
    </row>
    <row r="57" spans="1:19" hidden="1" outlineLevel="2" x14ac:dyDescent="0.45">
      <c r="A57" t="s">
        <v>14</v>
      </c>
      <c r="B57" s="52" t="s">
        <v>57</v>
      </c>
      <c r="C57" s="52" t="s">
        <v>187</v>
      </c>
      <c r="D57" s="52" t="s">
        <v>188</v>
      </c>
      <c r="E57" s="52" t="s">
        <v>71</v>
      </c>
      <c r="F57" s="52" t="s">
        <v>252</v>
      </c>
      <c r="G57" s="52" t="s">
        <v>73</v>
      </c>
      <c r="H57" s="54">
        <v>46054</v>
      </c>
      <c r="I57" s="52" t="s">
        <v>231</v>
      </c>
      <c r="J57" s="52" t="s">
        <v>253</v>
      </c>
      <c r="K57" s="52" t="s">
        <v>254</v>
      </c>
      <c r="L57" s="52" t="s">
        <v>254</v>
      </c>
      <c r="M57" s="52" t="s">
        <v>29</v>
      </c>
      <c r="N57" s="53">
        <v>103840</v>
      </c>
      <c r="O57" s="53">
        <v>103840</v>
      </c>
      <c r="P57" s="52" t="s">
        <v>255</v>
      </c>
      <c r="Q57" s="52" t="s">
        <v>256</v>
      </c>
      <c r="R57" s="52" t="s">
        <v>64</v>
      </c>
      <c r="S57" s="52" t="s">
        <v>210</v>
      </c>
    </row>
    <row r="58" spans="1:19" hidden="1" outlineLevel="2" x14ac:dyDescent="0.45">
      <c r="A58" t="s">
        <v>14</v>
      </c>
      <c r="B58" s="52" t="s">
        <v>65</v>
      </c>
      <c r="C58" s="52" t="s">
        <v>187</v>
      </c>
      <c r="D58" s="52" t="s">
        <v>188</v>
      </c>
      <c r="E58" s="52" t="s">
        <v>71</v>
      </c>
      <c r="F58" s="52" t="s">
        <v>257</v>
      </c>
      <c r="G58" s="52" t="s">
        <v>73</v>
      </c>
      <c r="H58" s="54">
        <v>46054</v>
      </c>
      <c r="I58" s="52" t="s">
        <v>231</v>
      </c>
      <c r="J58" s="52" t="s">
        <v>235</v>
      </c>
      <c r="K58" s="52" t="s">
        <v>254</v>
      </c>
      <c r="L58" s="52" t="s">
        <v>254</v>
      </c>
      <c r="M58" s="52" t="s">
        <v>29</v>
      </c>
      <c r="N58" s="53">
        <v>14160</v>
      </c>
      <c r="O58" s="53">
        <v>14160</v>
      </c>
      <c r="P58" s="52" t="s">
        <v>255</v>
      </c>
      <c r="Q58" s="52" t="s">
        <v>118</v>
      </c>
      <c r="R58" s="52" t="s">
        <v>64</v>
      </c>
      <c r="S58" s="52" t="s">
        <v>210</v>
      </c>
    </row>
    <row r="59" spans="1:19" hidden="1" outlineLevel="2" x14ac:dyDescent="0.45">
      <c r="A59" t="s">
        <v>14</v>
      </c>
      <c r="B59" s="52" t="s">
        <v>57</v>
      </c>
      <c r="C59" s="52" t="s">
        <v>187</v>
      </c>
      <c r="D59" s="52" t="s">
        <v>188</v>
      </c>
      <c r="E59" s="52" t="s">
        <v>71</v>
      </c>
      <c r="F59" s="52" t="s">
        <v>258</v>
      </c>
      <c r="G59" s="52" t="s">
        <v>73</v>
      </c>
      <c r="H59" s="54">
        <v>46054</v>
      </c>
      <c r="I59" s="52" t="s">
        <v>231</v>
      </c>
      <c r="J59" s="52" t="s">
        <v>253</v>
      </c>
      <c r="K59" s="52" t="s">
        <v>259</v>
      </c>
      <c r="L59" s="52" t="s">
        <v>259</v>
      </c>
      <c r="M59" s="52" t="s">
        <v>29</v>
      </c>
      <c r="N59" s="53">
        <v>103840</v>
      </c>
      <c r="O59" s="53">
        <v>103840</v>
      </c>
      <c r="P59" s="52" t="s">
        <v>260</v>
      </c>
      <c r="Q59" s="52" t="s">
        <v>261</v>
      </c>
      <c r="R59" s="52" t="s">
        <v>64</v>
      </c>
      <c r="S59" s="52" t="s">
        <v>210</v>
      </c>
    </row>
    <row r="60" spans="1:19" hidden="1" outlineLevel="2" x14ac:dyDescent="0.45">
      <c r="A60" t="s">
        <v>14</v>
      </c>
      <c r="B60" s="52" t="s">
        <v>65</v>
      </c>
      <c r="C60" s="52" t="s">
        <v>187</v>
      </c>
      <c r="D60" s="52" t="s">
        <v>188</v>
      </c>
      <c r="E60" s="52" t="s">
        <v>71</v>
      </c>
      <c r="F60" s="52" t="s">
        <v>262</v>
      </c>
      <c r="G60" s="52" t="s">
        <v>73</v>
      </c>
      <c r="H60" s="54">
        <v>46054</v>
      </c>
      <c r="I60" s="52" t="s">
        <v>231</v>
      </c>
      <c r="J60" s="52" t="s">
        <v>235</v>
      </c>
      <c r="K60" s="52" t="s">
        <v>259</v>
      </c>
      <c r="L60" s="52" t="s">
        <v>259</v>
      </c>
      <c r="M60" s="52" t="s">
        <v>29</v>
      </c>
      <c r="N60" s="53">
        <v>14160</v>
      </c>
      <c r="O60" s="53">
        <v>14160</v>
      </c>
      <c r="P60" s="52" t="s">
        <v>260</v>
      </c>
      <c r="Q60" s="52" t="s">
        <v>118</v>
      </c>
      <c r="R60" s="52" t="s">
        <v>64</v>
      </c>
      <c r="S60" s="52" t="s">
        <v>210</v>
      </c>
    </row>
    <row r="61" spans="1:19" hidden="1" outlineLevel="2" x14ac:dyDescent="0.45">
      <c r="A61" t="s">
        <v>14</v>
      </c>
      <c r="B61" s="52" t="s">
        <v>57</v>
      </c>
      <c r="C61" s="52" t="s">
        <v>187</v>
      </c>
      <c r="D61" s="52" t="s">
        <v>188</v>
      </c>
      <c r="E61" s="52" t="s">
        <v>71</v>
      </c>
      <c r="F61" s="52" t="s">
        <v>263</v>
      </c>
      <c r="G61" s="52" t="s">
        <v>73</v>
      </c>
      <c r="H61" s="54">
        <v>46054</v>
      </c>
      <c r="I61" s="52" t="s">
        <v>231</v>
      </c>
      <c r="J61" s="52" t="s">
        <v>253</v>
      </c>
      <c r="K61" s="52" t="s">
        <v>264</v>
      </c>
      <c r="L61" s="52" t="s">
        <v>264</v>
      </c>
      <c r="M61" s="52" t="s">
        <v>29</v>
      </c>
      <c r="N61" s="53">
        <v>103840</v>
      </c>
      <c r="O61" s="53">
        <v>103840</v>
      </c>
      <c r="P61" s="52" t="s">
        <v>265</v>
      </c>
      <c r="Q61" s="52" t="s">
        <v>266</v>
      </c>
      <c r="R61" s="52" t="s">
        <v>64</v>
      </c>
      <c r="S61" s="52" t="s">
        <v>210</v>
      </c>
    </row>
    <row r="62" spans="1:19" hidden="1" outlineLevel="2" x14ac:dyDescent="0.45">
      <c r="A62" t="s">
        <v>14</v>
      </c>
      <c r="B62" s="52" t="s">
        <v>65</v>
      </c>
      <c r="C62" s="52" t="s">
        <v>187</v>
      </c>
      <c r="D62" s="52" t="s">
        <v>188</v>
      </c>
      <c r="E62" s="52" t="s">
        <v>71</v>
      </c>
      <c r="F62" s="52" t="s">
        <v>267</v>
      </c>
      <c r="G62" s="52" t="s">
        <v>73</v>
      </c>
      <c r="H62" s="54">
        <v>46054</v>
      </c>
      <c r="I62" s="52" t="s">
        <v>231</v>
      </c>
      <c r="J62" s="52" t="s">
        <v>235</v>
      </c>
      <c r="K62" s="52" t="s">
        <v>264</v>
      </c>
      <c r="L62" s="52" t="s">
        <v>264</v>
      </c>
      <c r="M62" s="52" t="s">
        <v>29</v>
      </c>
      <c r="N62" s="53">
        <v>14160</v>
      </c>
      <c r="O62" s="53">
        <v>14160</v>
      </c>
      <c r="P62" s="52" t="s">
        <v>265</v>
      </c>
      <c r="Q62" s="52" t="s">
        <v>118</v>
      </c>
      <c r="R62" s="52" t="s">
        <v>64</v>
      </c>
      <c r="S62" s="52" t="s">
        <v>210</v>
      </c>
    </row>
    <row r="63" spans="1:19" hidden="1" outlineLevel="2" x14ac:dyDescent="0.45">
      <c r="A63" t="s">
        <v>14</v>
      </c>
      <c r="B63" s="52" t="s">
        <v>65</v>
      </c>
      <c r="C63" s="52" t="s">
        <v>268</v>
      </c>
      <c r="D63" s="52" t="s">
        <v>269</v>
      </c>
      <c r="E63" s="52" t="s">
        <v>71</v>
      </c>
      <c r="F63" s="52" t="s">
        <v>270</v>
      </c>
      <c r="G63" s="52" t="s">
        <v>73</v>
      </c>
      <c r="H63" s="54">
        <v>46082</v>
      </c>
      <c r="I63" s="52" t="s">
        <v>271</v>
      </c>
      <c r="J63" s="52" t="s">
        <v>272</v>
      </c>
      <c r="K63" s="52" t="s">
        <v>273</v>
      </c>
      <c r="L63" s="52" t="s">
        <v>273</v>
      </c>
      <c r="M63" s="52" t="s">
        <v>29</v>
      </c>
      <c r="N63" s="53">
        <v>2124</v>
      </c>
      <c r="O63" s="53">
        <v>2124</v>
      </c>
      <c r="P63" s="52" t="s">
        <v>274</v>
      </c>
      <c r="Q63" s="52" t="s">
        <v>118</v>
      </c>
      <c r="R63" s="52" t="s">
        <v>64</v>
      </c>
      <c r="S63" s="52" t="s">
        <v>141</v>
      </c>
    </row>
    <row r="64" spans="1:19" hidden="1" outlineLevel="2" x14ac:dyDescent="0.45">
      <c r="A64" t="s">
        <v>14</v>
      </c>
      <c r="B64" s="52" t="s">
        <v>65</v>
      </c>
      <c r="C64" s="52" t="s">
        <v>268</v>
      </c>
      <c r="D64" s="52" t="s">
        <v>269</v>
      </c>
      <c r="E64" s="52" t="s">
        <v>71</v>
      </c>
      <c r="F64" s="52" t="s">
        <v>275</v>
      </c>
      <c r="G64" s="52" t="s">
        <v>73</v>
      </c>
      <c r="H64" s="54">
        <v>46082</v>
      </c>
      <c r="I64" s="52" t="s">
        <v>271</v>
      </c>
      <c r="J64" s="52" t="s">
        <v>276</v>
      </c>
      <c r="K64" s="52" t="s">
        <v>277</v>
      </c>
      <c r="L64" s="52" t="s">
        <v>277</v>
      </c>
      <c r="M64" s="52" t="s">
        <v>29</v>
      </c>
      <c r="N64" s="53">
        <v>2124</v>
      </c>
      <c r="O64" s="53">
        <v>2124</v>
      </c>
      <c r="P64" s="52" t="s">
        <v>278</v>
      </c>
      <c r="Q64" s="52" t="s">
        <v>118</v>
      </c>
      <c r="R64" s="52" t="s">
        <v>64</v>
      </c>
      <c r="S64" s="52" t="s">
        <v>141</v>
      </c>
    </row>
    <row r="65" spans="1:19" hidden="1" outlineLevel="2" x14ac:dyDescent="0.45">
      <c r="A65" t="s">
        <v>14</v>
      </c>
      <c r="B65" s="52" t="s">
        <v>65</v>
      </c>
      <c r="C65" s="52" t="s">
        <v>268</v>
      </c>
      <c r="D65" s="52" t="s">
        <v>269</v>
      </c>
      <c r="E65" s="52" t="s">
        <v>71</v>
      </c>
      <c r="F65" s="52" t="s">
        <v>279</v>
      </c>
      <c r="G65" s="52" t="s">
        <v>73</v>
      </c>
      <c r="H65" s="54">
        <v>46082</v>
      </c>
      <c r="I65" s="52" t="s">
        <v>271</v>
      </c>
      <c r="J65" s="52" t="s">
        <v>276</v>
      </c>
      <c r="K65" s="52" t="s">
        <v>280</v>
      </c>
      <c r="L65" s="52" t="s">
        <v>280</v>
      </c>
      <c r="M65" s="52" t="s">
        <v>29</v>
      </c>
      <c r="N65" s="53">
        <v>2124</v>
      </c>
      <c r="O65" s="53">
        <v>2124</v>
      </c>
      <c r="P65" s="52" t="s">
        <v>281</v>
      </c>
      <c r="Q65" s="52" t="s">
        <v>118</v>
      </c>
      <c r="R65" s="52" t="s">
        <v>64</v>
      </c>
      <c r="S65" s="52" t="s">
        <v>141</v>
      </c>
    </row>
    <row r="66" spans="1:19" hidden="1" outlineLevel="2" x14ac:dyDescent="0.45">
      <c r="A66" t="s">
        <v>14</v>
      </c>
      <c r="B66" s="52" t="s">
        <v>65</v>
      </c>
      <c r="C66" s="52" t="s">
        <v>268</v>
      </c>
      <c r="D66" s="52" t="s">
        <v>269</v>
      </c>
      <c r="E66" s="52" t="s">
        <v>71</v>
      </c>
      <c r="F66" s="52" t="s">
        <v>282</v>
      </c>
      <c r="G66" s="52" t="s">
        <v>73</v>
      </c>
      <c r="H66" s="54">
        <v>46082</v>
      </c>
      <c r="I66" s="52" t="s">
        <v>271</v>
      </c>
      <c r="J66" s="52" t="s">
        <v>276</v>
      </c>
      <c r="K66" s="52" t="s">
        <v>283</v>
      </c>
      <c r="L66" s="52" t="s">
        <v>283</v>
      </c>
      <c r="M66" s="52" t="s">
        <v>29</v>
      </c>
      <c r="N66" s="53">
        <v>2124</v>
      </c>
      <c r="O66" s="53">
        <v>2124</v>
      </c>
      <c r="P66" s="52" t="s">
        <v>284</v>
      </c>
      <c r="Q66" s="52" t="s">
        <v>118</v>
      </c>
      <c r="R66" s="52" t="s">
        <v>64</v>
      </c>
      <c r="S66" s="52" t="s">
        <v>141</v>
      </c>
    </row>
    <row r="67" spans="1:19" hidden="1" outlineLevel="2" x14ac:dyDescent="0.45">
      <c r="A67" t="s">
        <v>14</v>
      </c>
      <c r="B67" s="52" t="s">
        <v>65</v>
      </c>
      <c r="C67" s="52" t="s">
        <v>268</v>
      </c>
      <c r="D67" s="52" t="s">
        <v>269</v>
      </c>
      <c r="E67" s="52" t="s">
        <v>71</v>
      </c>
      <c r="F67" s="52" t="s">
        <v>285</v>
      </c>
      <c r="G67" s="52" t="s">
        <v>73</v>
      </c>
      <c r="H67" s="54">
        <v>46082</v>
      </c>
      <c r="I67" s="52" t="s">
        <v>271</v>
      </c>
      <c r="J67" s="52" t="s">
        <v>276</v>
      </c>
      <c r="K67" s="52" t="s">
        <v>286</v>
      </c>
      <c r="L67" s="52" t="s">
        <v>286</v>
      </c>
      <c r="M67" s="52" t="s">
        <v>29</v>
      </c>
      <c r="N67" s="53">
        <v>2124</v>
      </c>
      <c r="O67" s="53">
        <v>2124</v>
      </c>
      <c r="P67" s="52" t="s">
        <v>287</v>
      </c>
      <c r="Q67" s="52" t="s">
        <v>118</v>
      </c>
      <c r="R67" s="52" t="s">
        <v>64</v>
      </c>
      <c r="S67" s="52" t="s">
        <v>141</v>
      </c>
    </row>
    <row r="68" spans="1:19" hidden="1" outlineLevel="2" x14ac:dyDescent="0.45">
      <c r="A68" t="s">
        <v>14</v>
      </c>
      <c r="B68" s="52" t="s">
        <v>65</v>
      </c>
      <c r="C68" s="52" t="s">
        <v>268</v>
      </c>
      <c r="D68" s="52" t="s">
        <v>269</v>
      </c>
      <c r="E68" s="52" t="s">
        <v>71</v>
      </c>
      <c r="F68" s="52" t="s">
        <v>288</v>
      </c>
      <c r="G68" s="52" t="s">
        <v>73</v>
      </c>
      <c r="H68" s="54">
        <v>46082</v>
      </c>
      <c r="I68" s="52" t="s">
        <v>271</v>
      </c>
      <c r="J68" s="52" t="s">
        <v>276</v>
      </c>
      <c r="K68" s="52" t="s">
        <v>289</v>
      </c>
      <c r="L68" s="52" t="s">
        <v>289</v>
      </c>
      <c r="M68" s="52" t="s">
        <v>29</v>
      </c>
      <c r="N68" s="53">
        <v>2124</v>
      </c>
      <c r="O68" s="53">
        <v>2124</v>
      </c>
      <c r="P68" s="52" t="s">
        <v>290</v>
      </c>
      <c r="Q68" s="52" t="s">
        <v>118</v>
      </c>
      <c r="R68" s="52" t="s">
        <v>64</v>
      </c>
      <c r="S68" s="52" t="s">
        <v>141</v>
      </c>
    </row>
    <row r="69" spans="1:19" hidden="1" outlineLevel="2" x14ac:dyDescent="0.45">
      <c r="A69" t="s">
        <v>14</v>
      </c>
      <c r="B69" s="52" t="s">
        <v>65</v>
      </c>
      <c r="C69" s="52" t="s">
        <v>268</v>
      </c>
      <c r="D69" s="52" t="s">
        <v>269</v>
      </c>
      <c r="E69" s="52" t="s">
        <v>71</v>
      </c>
      <c r="F69" s="52" t="s">
        <v>291</v>
      </c>
      <c r="G69" s="52" t="s">
        <v>73</v>
      </c>
      <c r="H69" s="54">
        <v>46082</v>
      </c>
      <c r="I69" s="52" t="s">
        <v>271</v>
      </c>
      <c r="J69" s="52" t="s">
        <v>276</v>
      </c>
      <c r="K69" s="52" t="s">
        <v>292</v>
      </c>
      <c r="L69" s="52" t="s">
        <v>292</v>
      </c>
      <c r="M69" s="52" t="s">
        <v>29</v>
      </c>
      <c r="N69" s="53">
        <v>2124</v>
      </c>
      <c r="O69" s="53">
        <v>2124</v>
      </c>
      <c r="P69" s="52" t="s">
        <v>293</v>
      </c>
      <c r="Q69" s="52" t="s">
        <v>118</v>
      </c>
      <c r="R69" s="52" t="s">
        <v>64</v>
      </c>
      <c r="S69" s="52" t="s">
        <v>141</v>
      </c>
    </row>
    <row r="70" spans="1:19" hidden="1" outlineLevel="2" x14ac:dyDescent="0.45">
      <c r="A70" t="s">
        <v>14</v>
      </c>
      <c r="B70" s="52" t="s">
        <v>65</v>
      </c>
      <c r="C70" s="52" t="s">
        <v>268</v>
      </c>
      <c r="D70" s="52" t="s">
        <v>269</v>
      </c>
      <c r="E70" s="52" t="s">
        <v>71</v>
      </c>
      <c r="F70" s="52" t="s">
        <v>294</v>
      </c>
      <c r="G70" s="52" t="s">
        <v>73</v>
      </c>
      <c r="H70" s="54">
        <v>46082</v>
      </c>
      <c r="I70" s="52" t="s">
        <v>271</v>
      </c>
      <c r="J70" s="52" t="s">
        <v>276</v>
      </c>
      <c r="K70" s="52" t="s">
        <v>295</v>
      </c>
      <c r="L70" s="52" t="s">
        <v>295</v>
      </c>
      <c r="M70" s="52" t="s">
        <v>29</v>
      </c>
      <c r="N70" s="53">
        <v>2124</v>
      </c>
      <c r="O70" s="53">
        <v>2124</v>
      </c>
      <c r="P70" s="52" t="s">
        <v>296</v>
      </c>
      <c r="Q70" s="52" t="s">
        <v>118</v>
      </c>
      <c r="R70" s="52" t="s">
        <v>64</v>
      </c>
      <c r="S70" s="52" t="s">
        <v>141</v>
      </c>
    </row>
    <row r="71" spans="1:19" hidden="1" outlineLevel="2" x14ac:dyDescent="0.45">
      <c r="A71" t="s">
        <v>14</v>
      </c>
      <c r="B71" s="52" t="s">
        <v>65</v>
      </c>
      <c r="C71" s="52" t="s">
        <v>187</v>
      </c>
      <c r="D71" s="52" t="s">
        <v>188</v>
      </c>
      <c r="E71" s="52" t="s">
        <v>71</v>
      </c>
      <c r="F71" s="52" t="s">
        <v>297</v>
      </c>
      <c r="G71" s="52" t="s">
        <v>73</v>
      </c>
      <c r="H71" s="54">
        <v>46082</v>
      </c>
      <c r="I71" s="52" t="s">
        <v>271</v>
      </c>
      <c r="J71" s="52" t="s">
        <v>298</v>
      </c>
      <c r="K71" s="52" t="s">
        <v>191</v>
      </c>
      <c r="L71" s="52" t="s">
        <v>191</v>
      </c>
      <c r="M71" s="52" t="s">
        <v>29</v>
      </c>
      <c r="N71" s="53">
        <v>14160</v>
      </c>
      <c r="O71" s="53">
        <v>14160</v>
      </c>
      <c r="P71" s="52" t="s">
        <v>192</v>
      </c>
      <c r="Q71" s="52" t="s">
        <v>118</v>
      </c>
      <c r="R71" s="52" t="s">
        <v>64</v>
      </c>
      <c r="S71" s="52" t="s">
        <v>194</v>
      </c>
    </row>
    <row r="72" spans="1:19" hidden="1" outlineLevel="2" x14ac:dyDescent="0.45">
      <c r="A72" t="s">
        <v>14</v>
      </c>
      <c r="B72" s="52" t="s">
        <v>65</v>
      </c>
      <c r="C72" s="52" t="s">
        <v>187</v>
      </c>
      <c r="D72" s="52" t="s">
        <v>188</v>
      </c>
      <c r="E72" s="52" t="s">
        <v>71</v>
      </c>
      <c r="F72" s="52" t="s">
        <v>299</v>
      </c>
      <c r="G72" s="52" t="s">
        <v>73</v>
      </c>
      <c r="H72" s="54">
        <v>46082</v>
      </c>
      <c r="I72" s="52" t="s">
        <v>271</v>
      </c>
      <c r="J72" s="52" t="s">
        <v>272</v>
      </c>
      <c r="K72" s="52" t="s">
        <v>300</v>
      </c>
      <c r="L72" s="52" t="s">
        <v>300</v>
      </c>
      <c r="M72" s="52" t="s">
        <v>29</v>
      </c>
      <c r="N72" s="53">
        <v>14160</v>
      </c>
      <c r="O72" s="53">
        <v>14160</v>
      </c>
      <c r="P72" s="52" t="s">
        <v>255</v>
      </c>
      <c r="Q72" s="52" t="s">
        <v>118</v>
      </c>
      <c r="R72" s="52" t="s">
        <v>64</v>
      </c>
      <c r="S72" s="52" t="s">
        <v>301</v>
      </c>
    </row>
    <row r="73" spans="1:19" hidden="1" outlineLevel="2" x14ac:dyDescent="0.45">
      <c r="A73" t="s">
        <v>14</v>
      </c>
      <c r="B73" s="52" t="s">
        <v>65</v>
      </c>
      <c r="C73" s="52" t="s">
        <v>80</v>
      </c>
      <c r="D73" s="52" t="s">
        <v>81</v>
      </c>
      <c r="E73" s="52" t="s">
        <v>71</v>
      </c>
      <c r="F73" s="52" t="s">
        <v>302</v>
      </c>
      <c r="G73" s="52" t="s">
        <v>73</v>
      </c>
      <c r="H73" s="54">
        <v>46082</v>
      </c>
      <c r="I73" s="52" t="s">
        <v>271</v>
      </c>
      <c r="J73" s="52" t="s">
        <v>303</v>
      </c>
      <c r="K73" s="52" t="s">
        <v>304</v>
      </c>
      <c r="L73" s="52" t="s">
        <v>304</v>
      </c>
      <c r="M73" s="52" t="s">
        <v>29</v>
      </c>
      <c r="N73" s="53">
        <v>34430</v>
      </c>
      <c r="O73" s="53">
        <v>34430</v>
      </c>
      <c r="P73" s="52" t="s">
        <v>305</v>
      </c>
      <c r="Q73" s="52" t="s">
        <v>118</v>
      </c>
      <c r="R73" s="52" t="s">
        <v>64</v>
      </c>
      <c r="S73" s="52" t="s">
        <v>306</v>
      </c>
    </row>
    <row r="74" spans="1:19" hidden="1" outlineLevel="2" x14ac:dyDescent="0.45">
      <c r="A74" t="s">
        <v>14</v>
      </c>
      <c r="B74" s="52" t="s">
        <v>57</v>
      </c>
      <c r="C74" s="52" t="s">
        <v>96</v>
      </c>
      <c r="D74" s="52" t="s">
        <v>97</v>
      </c>
      <c r="E74" s="52" t="s">
        <v>71</v>
      </c>
      <c r="F74" s="52" t="s">
        <v>307</v>
      </c>
      <c r="G74" s="52" t="s">
        <v>73</v>
      </c>
      <c r="H74" s="54">
        <v>46082</v>
      </c>
      <c r="I74" s="52" t="s">
        <v>271</v>
      </c>
      <c r="J74" s="52" t="s">
        <v>298</v>
      </c>
      <c r="K74" s="52" t="s">
        <v>226</v>
      </c>
      <c r="L74" s="52" t="s">
        <v>226</v>
      </c>
      <c r="M74" s="52" t="s">
        <v>29</v>
      </c>
      <c r="N74" s="53">
        <v>46288.9</v>
      </c>
      <c r="O74" s="53">
        <v>46288.9</v>
      </c>
      <c r="P74" s="52" t="s">
        <v>227</v>
      </c>
      <c r="Q74" s="52" t="s">
        <v>118</v>
      </c>
      <c r="R74" s="52" t="s">
        <v>64</v>
      </c>
      <c r="S74" s="52" t="s">
        <v>103</v>
      </c>
    </row>
    <row r="75" spans="1:19" hidden="1" outlineLevel="2" x14ac:dyDescent="0.45">
      <c r="A75" t="s">
        <v>14</v>
      </c>
      <c r="B75" s="52" t="s">
        <v>57</v>
      </c>
      <c r="C75" s="52" t="s">
        <v>96</v>
      </c>
      <c r="D75" s="52" t="s">
        <v>97</v>
      </c>
      <c r="E75" s="52" t="s">
        <v>71</v>
      </c>
      <c r="F75" s="52" t="s">
        <v>308</v>
      </c>
      <c r="G75" s="52" t="s">
        <v>73</v>
      </c>
      <c r="H75" s="54">
        <v>46082</v>
      </c>
      <c r="I75" s="52" t="s">
        <v>271</v>
      </c>
      <c r="J75" s="52" t="s">
        <v>298</v>
      </c>
      <c r="K75" s="52" t="s">
        <v>223</v>
      </c>
      <c r="L75" s="52" t="s">
        <v>223</v>
      </c>
      <c r="M75" s="52" t="s">
        <v>29</v>
      </c>
      <c r="N75" s="53">
        <v>66095.5</v>
      </c>
      <c r="O75" s="53">
        <v>66095.5</v>
      </c>
      <c r="P75" s="52" t="s">
        <v>224</v>
      </c>
      <c r="Q75" s="52" t="s">
        <v>118</v>
      </c>
      <c r="R75" s="52" t="s">
        <v>64</v>
      </c>
      <c r="S75" s="52" t="s">
        <v>103</v>
      </c>
    </row>
    <row r="76" spans="1:19" hidden="1" outlineLevel="2" x14ac:dyDescent="0.45">
      <c r="A76" t="s">
        <v>14</v>
      </c>
      <c r="B76" s="52" t="s">
        <v>65</v>
      </c>
      <c r="C76" s="52" t="s">
        <v>69</v>
      </c>
      <c r="D76" s="52" t="s">
        <v>70</v>
      </c>
      <c r="E76" s="52" t="s">
        <v>71</v>
      </c>
      <c r="F76" s="52" t="s">
        <v>309</v>
      </c>
      <c r="G76" s="52" t="s">
        <v>73</v>
      </c>
      <c r="H76" s="54">
        <v>46082</v>
      </c>
      <c r="I76" s="52" t="s">
        <v>271</v>
      </c>
      <c r="J76" s="52" t="s">
        <v>306</v>
      </c>
      <c r="K76" s="52" t="s">
        <v>310</v>
      </c>
      <c r="L76" s="52" t="s">
        <v>310</v>
      </c>
      <c r="M76" s="52" t="s">
        <v>29</v>
      </c>
      <c r="N76" s="53">
        <v>70800</v>
      </c>
      <c r="O76" s="53">
        <v>70800</v>
      </c>
      <c r="P76" s="52" t="s">
        <v>311</v>
      </c>
      <c r="Q76" s="52" t="s">
        <v>118</v>
      </c>
      <c r="R76" s="52" t="s">
        <v>64</v>
      </c>
      <c r="S76" s="52" t="s">
        <v>312</v>
      </c>
    </row>
    <row r="77" spans="1:19" hidden="1" outlineLevel="2" x14ac:dyDescent="0.45">
      <c r="A77" t="s">
        <v>14</v>
      </c>
      <c r="B77" s="52" t="s">
        <v>65</v>
      </c>
      <c r="C77" s="52" t="s">
        <v>69</v>
      </c>
      <c r="D77" s="52" t="s">
        <v>70</v>
      </c>
      <c r="E77" s="52" t="s">
        <v>71</v>
      </c>
      <c r="F77" s="52" t="s">
        <v>313</v>
      </c>
      <c r="G77" s="52" t="s">
        <v>73</v>
      </c>
      <c r="H77" s="54">
        <v>46082</v>
      </c>
      <c r="I77" s="52" t="s">
        <v>271</v>
      </c>
      <c r="J77" s="52" t="s">
        <v>314</v>
      </c>
      <c r="K77" s="52" t="s">
        <v>315</v>
      </c>
      <c r="L77" s="52" t="s">
        <v>315</v>
      </c>
      <c r="M77" s="52" t="s">
        <v>29</v>
      </c>
      <c r="N77" s="53">
        <v>70800</v>
      </c>
      <c r="O77" s="53">
        <v>70800</v>
      </c>
      <c r="P77" s="52" t="s">
        <v>316</v>
      </c>
      <c r="Q77" s="52" t="s">
        <v>118</v>
      </c>
      <c r="R77" s="52" t="s">
        <v>64</v>
      </c>
      <c r="S77" s="52" t="s">
        <v>317</v>
      </c>
    </row>
    <row r="78" spans="1:19" hidden="1" outlineLevel="2" x14ac:dyDescent="0.45">
      <c r="A78" t="s">
        <v>14</v>
      </c>
      <c r="B78" s="52" t="s">
        <v>65</v>
      </c>
      <c r="C78" s="52" t="s">
        <v>69</v>
      </c>
      <c r="D78" s="52" t="s">
        <v>70</v>
      </c>
      <c r="E78" s="52" t="s">
        <v>71</v>
      </c>
      <c r="F78" s="52" t="s">
        <v>318</v>
      </c>
      <c r="G78" s="52" t="s">
        <v>73</v>
      </c>
      <c r="H78" s="54">
        <v>46082</v>
      </c>
      <c r="I78" s="52" t="s">
        <v>271</v>
      </c>
      <c r="J78" s="52" t="s">
        <v>319</v>
      </c>
      <c r="K78" s="52" t="s">
        <v>320</v>
      </c>
      <c r="L78" s="52" t="s">
        <v>320</v>
      </c>
      <c r="M78" s="52" t="s">
        <v>29</v>
      </c>
      <c r="N78" s="53">
        <v>70800</v>
      </c>
      <c r="O78" s="53">
        <v>70800</v>
      </c>
      <c r="P78" s="52" t="s">
        <v>321</v>
      </c>
      <c r="Q78" s="52" t="s">
        <v>118</v>
      </c>
      <c r="R78" s="52" t="s">
        <v>64</v>
      </c>
      <c r="S78" s="52" t="s">
        <v>272</v>
      </c>
    </row>
    <row r="79" spans="1:19" hidden="1" outlineLevel="2" x14ac:dyDescent="0.45">
      <c r="A79" t="s">
        <v>14</v>
      </c>
      <c r="B79" s="52" t="s">
        <v>57</v>
      </c>
      <c r="C79" s="52" t="s">
        <v>187</v>
      </c>
      <c r="D79" s="52" t="s">
        <v>188</v>
      </c>
      <c r="E79" s="52" t="s">
        <v>71</v>
      </c>
      <c r="F79" s="52" t="s">
        <v>322</v>
      </c>
      <c r="G79" s="52" t="s">
        <v>73</v>
      </c>
      <c r="H79" s="54">
        <v>46082</v>
      </c>
      <c r="I79" s="52" t="s">
        <v>271</v>
      </c>
      <c r="J79" s="52" t="s">
        <v>323</v>
      </c>
      <c r="K79" s="52" t="s">
        <v>300</v>
      </c>
      <c r="L79" s="52" t="s">
        <v>300</v>
      </c>
      <c r="M79" s="52" t="s">
        <v>29</v>
      </c>
      <c r="N79" s="53">
        <v>103840</v>
      </c>
      <c r="O79" s="53">
        <v>103840</v>
      </c>
      <c r="P79" s="52" t="s">
        <v>255</v>
      </c>
      <c r="Q79" s="52" t="s">
        <v>118</v>
      </c>
      <c r="R79" s="52" t="s">
        <v>64</v>
      </c>
      <c r="S79" s="52" t="s">
        <v>301</v>
      </c>
    </row>
    <row r="80" spans="1:19" hidden="1" outlineLevel="2" x14ac:dyDescent="0.45">
      <c r="A80" t="s">
        <v>14</v>
      </c>
      <c r="B80" s="52" t="s">
        <v>57</v>
      </c>
      <c r="C80" s="52" t="s">
        <v>187</v>
      </c>
      <c r="D80" s="52" t="s">
        <v>188</v>
      </c>
      <c r="E80" s="52" t="s">
        <v>71</v>
      </c>
      <c r="F80" s="52" t="s">
        <v>324</v>
      </c>
      <c r="G80" s="52" t="s">
        <v>73</v>
      </c>
      <c r="H80" s="54">
        <v>46082</v>
      </c>
      <c r="I80" s="52" t="s">
        <v>271</v>
      </c>
      <c r="J80" s="52" t="s">
        <v>325</v>
      </c>
      <c r="K80" s="52" t="s">
        <v>326</v>
      </c>
      <c r="L80" s="52" t="s">
        <v>326</v>
      </c>
      <c r="M80" s="52" t="s">
        <v>29</v>
      </c>
      <c r="N80" s="53">
        <v>103840</v>
      </c>
      <c r="O80" s="53">
        <v>103840</v>
      </c>
      <c r="P80" s="52" t="s">
        <v>260</v>
      </c>
      <c r="Q80" s="52" t="s">
        <v>327</v>
      </c>
      <c r="R80" s="52" t="s">
        <v>64</v>
      </c>
      <c r="S80" s="52" t="s">
        <v>301</v>
      </c>
    </row>
    <row r="81" spans="1:19" hidden="1" outlineLevel="2" x14ac:dyDescent="0.45">
      <c r="A81" t="s">
        <v>14</v>
      </c>
      <c r="B81" s="52" t="s">
        <v>57</v>
      </c>
      <c r="C81" s="52" t="s">
        <v>187</v>
      </c>
      <c r="D81" s="52" t="s">
        <v>188</v>
      </c>
      <c r="E81" s="52" t="s">
        <v>71</v>
      </c>
      <c r="F81" s="52" t="s">
        <v>328</v>
      </c>
      <c r="G81" s="52" t="s">
        <v>73</v>
      </c>
      <c r="H81" s="54">
        <v>46082</v>
      </c>
      <c r="I81" s="52" t="s">
        <v>271</v>
      </c>
      <c r="J81" s="52" t="s">
        <v>319</v>
      </c>
      <c r="K81" s="52" t="s">
        <v>329</v>
      </c>
      <c r="L81" s="52" t="s">
        <v>329</v>
      </c>
      <c r="M81" s="52" t="s">
        <v>29</v>
      </c>
      <c r="N81" s="53">
        <v>103840</v>
      </c>
      <c r="O81" s="53">
        <v>103840</v>
      </c>
      <c r="P81" s="52" t="s">
        <v>265</v>
      </c>
      <c r="Q81" s="52" t="s">
        <v>118</v>
      </c>
      <c r="R81" s="52" t="s">
        <v>64</v>
      </c>
      <c r="S81" s="52" t="s">
        <v>301</v>
      </c>
    </row>
    <row r="82" spans="1:19" hidden="1" outlineLevel="2" x14ac:dyDescent="0.45">
      <c r="A82" t="s">
        <v>14</v>
      </c>
      <c r="B82" s="52" t="s">
        <v>57</v>
      </c>
      <c r="C82" s="52" t="s">
        <v>80</v>
      </c>
      <c r="D82" s="52" t="s">
        <v>81</v>
      </c>
      <c r="E82" s="52" t="s">
        <v>71</v>
      </c>
      <c r="F82" s="52" t="s">
        <v>330</v>
      </c>
      <c r="G82" s="52" t="s">
        <v>73</v>
      </c>
      <c r="H82" s="54">
        <v>46082</v>
      </c>
      <c r="I82" s="52" t="s">
        <v>271</v>
      </c>
      <c r="J82" s="52" t="s">
        <v>317</v>
      </c>
      <c r="K82" s="52" t="s">
        <v>304</v>
      </c>
      <c r="L82" s="52" t="s">
        <v>304</v>
      </c>
      <c r="M82" s="52" t="s">
        <v>29</v>
      </c>
      <c r="N82" s="53">
        <v>252483.54</v>
      </c>
      <c r="O82" s="53">
        <v>252483.54</v>
      </c>
      <c r="P82" s="52" t="s">
        <v>305</v>
      </c>
      <c r="Q82" s="52" t="s">
        <v>118</v>
      </c>
      <c r="R82" s="52" t="s">
        <v>64</v>
      </c>
      <c r="S82" s="52" t="s">
        <v>306</v>
      </c>
    </row>
    <row r="83" spans="1:19" hidden="1" outlineLevel="2" x14ac:dyDescent="0.45">
      <c r="A83" t="s">
        <v>14</v>
      </c>
      <c r="B83" s="52" t="s">
        <v>57</v>
      </c>
      <c r="C83" s="52" t="s">
        <v>69</v>
      </c>
      <c r="D83" s="52" t="s">
        <v>70</v>
      </c>
      <c r="E83" s="52" t="s">
        <v>71</v>
      </c>
      <c r="F83" s="52" t="s">
        <v>331</v>
      </c>
      <c r="G83" s="52" t="s">
        <v>73</v>
      </c>
      <c r="H83" s="54">
        <v>46082</v>
      </c>
      <c r="I83" s="52" t="s">
        <v>271</v>
      </c>
      <c r="J83" s="52" t="s">
        <v>319</v>
      </c>
      <c r="K83" s="52" t="s">
        <v>320</v>
      </c>
      <c r="L83" s="52" t="s">
        <v>320</v>
      </c>
      <c r="M83" s="52" t="s">
        <v>29</v>
      </c>
      <c r="N83" s="53">
        <v>519200</v>
      </c>
      <c r="O83" s="53">
        <v>519200</v>
      </c>
      <c r="P83" s="52" t="s">
        <v>321</v>
      </c>
      <c r="Q83" s="52" t="s">
        <v>118</v>
      </c>
      <c r="R83" s="52" t="s">
        <v>64</v>
      </c>
      <c r="S83" s="52" t="s">
        <v>272</v>
      </c>
    </row>
    <row r="84" spans="1:19" hidden="1" outlineLevel="2" x14ac:dyDescent="0.45">
      <c r="A84" t="s">
        <v>14</v>
      </c>
      <c r="B84" s="52" t="s">
        <v>57</v>
      </c>
      <c r="C84" s="52" t="s">
        <v>69</v>
      </c>
      <c r="D84" s="52" t="s">
        <v>70</v>
      </c>
      <c r="E84" s="52" t="s">
        <v>71</v>
      </c>
      <c r="F84" s="52" t="s">
        <v>332</v>
      </c>
      <c r="G84" s="52" t="s">
        <v>73</v>
      </c>
      <c r="H84" s="54">
        <v>46082</v>
      </c>
      <c r="I84" s="52" t="s">
        <v>271</v>
      </c>
      <c r="J84" s="52" t="s">
        <v>333</v>
      </c>
      <c r="K84" s="52" t="s">
        <v>315</v>
      </c>
      <c r="L84" s="52" t="s">
        <v>315</v>
      </c>
      <c r="M84" s="52" t="s">
        <v>29</v>
      </c>
      <c r="N84" s="53">
        <v>519200</v>
      </c>
      <c r="O84" s="53">
        <v>519200</v>
      </c>
      <c r="P84" s="52" t="s">
        <v>316</v>
      </c>
      <c r="Q84" s="52" t="s">
        <v>118</v>
      </c>
      <c r="R84" s="52" t="s">
        <v>64</v>
      </c>
      <c r="S84" s="52" t="s">
        <v>317</v>
      </c>
    </row>
    <row r="85" spans="1:19" hidden="1" outlineLevel="2" x14ac:dyDescent="0.45">
      <c r="A85" t="s">
        <v>14</v>
      </c>
      <c r="B85" s="52" t="s">
        <v>57</v>
      </c>
      <c r="C85" s="52" t="s">
        <v>69</v>
      </c>
      <c r="D85" s="52" t="s">
        <v>70</v>
      </c>
      <c r="E85" s="52" t="s">
        <v>71</v>
      </c>
      <c r="F85" s="52" t="s">
        <v>334</v>
      </c>
      <c r="G85" s="52" t="s">
        <v>73</v>
      </c>
      <c r="H85" s="54">
        <v>46082</v>
      </c>
      <c r="I85" s="52" t="s">
        <v>271</v>
      </c>
      <c r="J85" s="52" t="s">
        <v>335</v>
      </c>
      <c r="K85" s="52" t="s">
        <v>310</v>
      </c>
      <c r="L85" s="52" t="s">
        <v>310</v>
      </c>
      <c r="M85" s="52" t="s">
        <v>29</v>
      </c>
      <c r="N85" s="53">
        <v>519200</v>
      </c>
      <c r="O85" s="53">
        <v>519200</v>
      </c>
      <c r="P85" s="52" t="s">
        <v>311</v>
      </c>
      <c r="Q85" s="52" t="s">
        <v>336</v>
      </c>
      <c r="R85" s="52" t="s">
        <v>64</v>
      </c>
      <c r="S85" s="52" t="s">
        <v>312</v>
      </c>
    </row>
    <row r="86" spans="1:19" outlineLevel="1" collapsed="1" x14ac:dyDescent="0.45">
      <c r="A86" s="1" t="s">
        <v>337</v>
      </c>
      <c r="B86" s="52"/>
      <c r="C86" s="52"/>
      <c r="D86" s="52"/>
      <c r="E86" s="52"/>
      <c r="F86" s="52"/>
      <c r="G86" s="52"/>
      <c r="H86" s="54"/>
      <c r="I86" s="52"/>
      <c r="J86" s="52"/>
      <c r="K86" s="52"/>
      <c r="L86" s="52"/>
      <c r="M86" s="52"/>
      <c r="N86" s="53"/>
      <c r="O86" s="53">
        <f>SUBTOTAL(9,O6:O85)</f>
        <v>5560371.1699999999</v>
      </c>
      <c r="P86" s="52"/>
      <c r="Q86" s="52"/>
      <c r="R86" s="52"/>
      <c r="S86" s="52"/>
    </row>
    <row r="87" spans="1:19" outlineLevel="2" x14ac:dyDescent="0.45">
      <c r="A87" t="s">
        <v>15</v>
      </c>
      <c r="B87" s="52" t="s">
        <v>66</v>
      </c>
      <c r="C87" s="52"/>
      <c r="D87" s="52" t="s">
        <v>338</v>
      </c>
      <c r="E87" s="52" t="s">
        <v>71</v>
      </c>
      <c r="F87" s="52" t="s">
        <v>339</v>
      </c>
      <c r="G87" s="52" t="s">
        <v>73</v>
      </c>
      <c r="H87" s="54">
        <v>46023</v>
      </c>
      <c r="I87" s="52" t="s">
        <v>74</v>
      </c>
      <c r="J87" s="52" t="s">
        <v>340</v>
      </c>
      <c r="K87" s="52" t="s">
        <v>341</v>
      </c>
      <c r="L87" s="52" t="s">
        <v>341</v>
      </c>
      <c r="M87" s="52" t="s">
        <v>67</v>
      </c>
      <c r="N87" s="53">
        <v>45000</v>
      </c>
      <c r="O87" s="53">
        <v>151155</v>
      </c>
      <c r="P87" s="52" t="s">
        <v>342</v>
      </c>
      <c r="Q87" s="52" t="s">
        <v>118</v>
      </c>
      <c r="R87" s="52" t="s">
        <v>64</v>
      </c>
      <c r="S87" s="52" t="s">
        <v>340</v>
      </c>
    </row>
    <row r="88" spans="1:19" outlineLevel="2" x14ac:dyDescent="0.45">
      <c r="A88" t="s">
        <v>15</v>
      </c>
      <c r="B88" s="52" t="s">
        <v>66</v>
      </c>
      <c r="C88" s="52"/>
      <c r="D88" s="52" t="s">
        <v>338</v>
      </c>
      <c r="E88" s="52" t="s">
        <v>71</v>
      </c>
      <c r="F88" s="52" t="s">
        <v>343</v>
      </c>
      <c r="G88" s="52" t="s">
        <v>73</v>
      </c>
      <c r="H88" s="54">
        <v>46023</v>
      </c>
      <c r="I88" s="52" t="s">
        <v>74</v>
      </c>
      <c r="J88" s="52" t="s">
        <v>340</v>
      </c>
      <c r="K88" s="52" t="s">
        <v>344</v>
      </c>
      <c r="L88" s="52" t="s">
        <v>344</v>
      </c>
      <c r="M88" s="52" t="s">
        <v>67</v>
      </c>
      <c r="N88" s="53">
        <v>45000</v>
      </c>
      <c r="O88" s="53">
        <v>151155</v>
      </c>
      <c r="P88" s="52" t="s">
        <v>342</v>
      </c>
      <c r="Q88" s="52" t="s">
        <v>118</v>
      </c>
      <c r="R88" s="52" t="s">
        <v>64</v>
      </c>
      <c r="S88" s="52" t="s">
        <v>340</v>
      </c>
    </row>
    <row r="89" spans="1:19" outlineLevel="2" x14ac:dyDescent="0.45">
      <c r="A89" t="s">
        <v>15</v>
      </c>
      <c r="B89" s="52" t="s">
        <v>57</v>
      </c>
      <c r="C89" s="52"/>
      <c r="D89" s="52" t="s">
        <v>338</v>
      </c>
      <c r="E89" s="52" t="s">
        <v>71</v>
      </c>
      <c r="F89" s="52" t="s">
        <v>345</v>
      </c>
      <c r="G89" s="52" t="s">
        <v>73</v>
      </c>
      <c r="H89" s="54">
        <v>46023</v>
      </c>
      <c r="I89" s="52" t="s">
        <v>74</v>
      </c>
      <c r="J89" s="52" t="s">
        <v>99</v>
      </c>
      <c r="K89" s="52" t="s">
        <v>346</v>
      </c>
      <c r="L89" s="52" t="s">
        <v>346</v>
      </c>
      <c r="M89" s="52" t="s">
        <v>29</v>
      </c>
      <c r="N89" s="53">
        <v>105000</v>
      </c>
      <c r="O89" s="53">
        <v>105000</v>
      </c>
      <c r="P89" s="52" t="s">
        <v>347</v>
      </c>
      <c r="Q89" s="52" t="s">
        <v>348</v>
      </c>
      <c r="R89" s="52" t="s">
        <v>64</v>
      </c>
      <c r="S89" s="52" t="s">
        <v>99</v>
      </c>
    </row>
    <row r="90" spans="1:19" outlineLevel="2" x14ac:dyDescent="0.45">
      <c r="A90" t="s">
        <v>15</v>
      </c>
      <c r="B90" s="52" t="s">
        <v>66</v>
      </c>
      <c r="C90" s="52"/>
      <c r="D90" s="52" t="s">
        <v>338</v>
      </c>
      <c r="E90" s="52" t="s">
        <v>71</v>
      </c>
      <c r="F90" s="52" t="s">
        <v>356</v>
      </c>
      <c r="G90" s="52" t="s">
        <v>73</v>
      </c>
      <c r="H90" s="54">
        <v>46054</v>
      </c>
      <c r="I90" s="52" t="s">
        <v>231</v>
      </c>
      <c r="J90" s="52" t="s">
        <v>357</v>
      </c>
      <c r="K90" s="52" t="s">
        <v>358</v>
      </c>
      <c r="L90" s="52" t="s">
        <v>358</v>
      </c>
      <c r="M90" s="52" t="s">
        <v>67</v>
      </c>
      <c r="N90" s="53">
        <v>11850</v>
      </c>
      <c r="O90" s="53">
        <v>39851.550000000003</v>
      </c>
      <c r="P90" s="52" t="s">
        <v>342</v>
      </c>
      <c r="Q90" s="52" t="s">
        <v>359</v>
      </c>
      <c r="R90" s="52" t="s">
        <v>64</v>
      </c>
      <c r="S90" s="52" t="s">
        <v>357</v>
      </c>
    </row>
    <row r="91" spans="1:19" outlineLevel="2" x14ac:dyDescent="0.45">
      <c r="A91" t="s">
        <v>15</v>
      </c>
      <c r="B91" s="52" t="s">
        <v>57</v>
      </c>
      <c r="C91" s="52" t="s">
        <v>360</v>
      </c>
      <c r="D91" s="52" t="s">
        <v>361</v>
      </c>
      <c r="E91" s="52" t="s">
        <v>71</v>
      </c>
      <c r="F91" s="52" t="s">
        <v>362</v>
      </c>
      <c r="G91" s="52" t="s">
        <v>73</v>
      </c>
      <c r="H91" s="54">
        <v>46054</v>
      </c>
      <c r="I91" s="52" t="s">
        <v>231</v>
      </c>
      <c r="J91" s="52" t="s">
        <v>363</v>
      </c>
      <c r="K91" s="52" t="s">
        <v>364</v>
      </c>
      <c r="L91" s="52" t="s">
        <v>364</v>
      </c>
      <c r="M91" s="52" t="s">
        <v>29</v>
      </c>
      <c r="N91" s="53">
        <v>204</v>
      </c>
      <c r="O91" s="53">
        <v>204</v>
      </c>
      <c r="P91" s="52" t="s">
        <v>365</v>
      </c>
      <c r="Q91" s="52" t="s">
        <v>366</v>
      </c>
      <c r="R91" s="55" t="s">
        <v>64</v>
      </c>
      <c r="S91" s="52" t="s">
        <v>363</v>
      </c>
    </row>
    <row r="92" spans="1:19" outlineLevel="2" x14ac:dyDescent="0.45">
      <c r="A92" t="s">
        <v>15</v>
      </c>
      <c r="B92" s="52" t="s">
        <v>66</v>
      </c>
      <c r="C92" s="52"/>
      <c r="D92" s="52"/>
      <c r="E92" s="52" t="s">
        <v>367</v>
      </c>
      <c r="F92" s="52" t="s">
        <v>368</v>
      </c>
      <c r="G92" s="52" t="s">
        <v>369</v>
      </c>
      <c r="H92" s="54">
        <v>46054</v>
      </c>
      <c r="I92" s="52" t="s">
        <v>231</v>
      </c>
      <c r="J92" s="52" t="s">
        <v>301</v>
      </c>
      <c r="K92" s="52"/>
      <c r="L92" s="52"/>
      <c r="M92" s="52" t="s">
        <v>67</v>
      </c>
      <c r="N92" s="53">
        <v>0</v>
      </c>
      <c r="O92" s="53">
        <v>439.12</v>
      </c>
      <c r="P92" s="52" t="s">
        <v>370</v>
      </c>
      <c r="Q92" s="52" t="s">
        <v>370</v>
      </c>
      <c r="R92" s="55" t="s">
        <v>64</v>
      </c>
      <c r="S92" s="52" t="s">
        <v>301</v>
      </c>
    </row>
    <row r="93" spans="1:19" outlineLevel="2" x14ac:dyDescent="0.45">
      <c r="A93" t="s">
        <v>15</v>
      </c>
      <c r="B93" s="52" t="s">
        <v>57</v>
      </c>
      <c r="C93" s="52" t="s">
        <v>371</v>
      </c>
      <c r="D93" s="52" t="s">
        <v>372</v>
      </c>
      <c r="E93" s="52" t="s">
        <v>71</v>
      </c>
      <c r="F93" s="52" t="s">
        <v>373</v>
      </c>
      <c r="G93" s="52" t="s">
        <v>73</v>
      </c>
      <c r="H93" s="54">
        <v>46082</v>
      </c>
      <c r="I93" s="52" t="s">
        <v>271</v>
      </c>
      <c r="J93" s="52" t="s">
        <v>319</v>
      </c>
      <c r="K93" s="52" t="s">
        <v>374</v>
      </c>
      <c r="L93" s="52" t="s">
        <v>374</v>
      </c>
      <c r="M93" s="52" t="s">
        <v>29</v>
      </c>
      <c r="N93" s="53">
        <v>3.12</v>
      </c>
      <c r="O93" s="53">
        <v>3.12</v>
      </c>
      <c r="P93" s="52" t="s">
        <v>375</v>
      </c>
      <c r="Q93" s="52" t="s">
        <v>118</v>
      </c>
      <c r="R93" s="55" t="s">
        <v>64</v>
      </c>
      <c r="S93" s="52" t="s">
        <v>319</v>
      </c>
    </row>
    <row r="94" spans="1:19" outlineLevel="2" x14ac:dyDescent="0.45">
      <c r="A94" s="56" t="s">
        <v>15</v>
      </c>
      <c r="B94" s="57" t="s">
        <v>66</v>
      </c>
      <c r="C94" s="57" t="s">
        <v>376</v>
      </c>
      <c r="D94" s="57" t="s">
        <v>377</v>
      </c>
      <c r="E94" s="57" t="s">
        <v>71</v>
      </c>
      <c r="F94" s="57" t="s">
        <v>378</v>
      </c>
      <c r="G94" s="57" t="s">
        <v>73</v>
      </c>
      <c r="H94" s="54">
        <v>46082</v>
      </c>
      <c r="I94" s="57" t="s">
        <v>271</v>
      </c>
      <c r="J94" s="57" t="s">
        <v>298</v>
      </c>
      <c r="K94" s="57" t="s">
        <v>379</v>
      </c>
      <c r="L94" s="57" t="s">
        <v>379</v>
      </c>
      <c r="M94" s="57" t="s">
        <v>67</v>
      </c>
      <c r="N94" s="58">
        <v>95948</v>
      </c>
      <c r="O94" s="58">
        <v>326990.78000000003</v>
      </c>
      <c r="P94" s="57" t="s">
        <v>380</v>
      </c>
      <c r="Q94" s="57" t="s">
        <v>381</v>
      </c>
      <c r="R94" s="57" t="s">
        <v>64</v>
      </c>
      <c r="S94" s="57" t="s">
        <v>298</v>
      </c>
    </row>
    <row r="95" spans="1:19" outlineLevel="2" x14ac:dyDescent="0.45">
      <c r="A95" t="s">
        <v>15</v>
      </c>
      <c r="B95" s="52" t="s">
        <v>66</v>
      </c>
      <c r="C95" s="52"/>
      <c r="D95" s="52"/>
      <c r="E95" s="52" t="s">
        <v>367</v>
      </c>
      <c r="F95" s="52" t="s">
        <v>382</v>
      </c>
      <c r="G95" s="52" t="s">
        <v>369</v>
      </c>
      <c r="H95" s="54">
        <v>46082</v>
      </c>
      <c r="I95" s="52" t="s">
        <v>271</v>
      </c>
      <c r="J95" s="52" t="s">
        <v>383</v>
      </c>
      <c r="K95" s="52"/>
      <c r="L95" s="52"/>
      <c r="M95" s="52" t="s">
        <v>67</v>
      </c>
      <c r="N95" s="53">
        <v>0</v>
      </c>
      <c r="O95" s="53">
        <v>140.30000000000001</v>
      </c>
      <c r="P95" s="52" t="s">
        <v>370</v>
      </c>
      <c r="Q95" s="52" t="s">
        <v>370</v>
      </c>
      <c r="R95" s="55" t="s">
        <v>64</v>
      </c>
      <c r="S95" s="52" t="s">
        <v>383</v>
      </c>
    </row>
    <row r="96" spans="1:19" outlineLevel="1" x14ac:dyDescent="0.45">
      <c r="A96" s="1" t="s">
        <v>384</v>
      </c>
      <c r="B96" s="52"/>
      <c r="C96" s="52"/>
      <c r="D96" s="52"/>
      <c r="E96" s="52"/>
      <c r="F96" s="52"/>
      <c r="G96" s="52"/>
      <c r="H96" s="54"/>
      <c r="I96" s="52"/>
      <c r="J96" s="52"/>
      <c r="K96" s="52"/>
      <c r="L96" s="52"/>
      <c r="M96" s="52"/>
      <c r="N96" s="53"/>
      <c r="O96" s="53">
        <f>SUBTOTAL(9,O87:O95)</f>
        <v>774938.87000000011</v>
      </c>
      <c r="P96" s="52"/>
      <c r="Q96" s="52"/>
      <c r="R96" s="55"/>
      <c r="S96" s="52"/>
    </row>
    <row r="97" spans="1:19" hidden="1" outlineLevel="2" x14ac:dyDescent="0.45">
      <c r="A97" t="s">
        <v>16</v>
      </c>
      <c r="B97" s="52" t="s">
        <v>57</v>
      </c>
      <c r="C97" s="52" t="s">
        <v>385</v>
      </c>
      <c r="D97" s="52" t="s">
        <v>386</v>
      </c>
      <c r="E97" s="52" t="s">
        <v>387</v>
      </c>
      <c r="F97" s="52" t="s">
        <v>388</v>
      </c>
      <c r="G97" s="52" t="s">
        <v>60</v>
      </c>
      <c r="H97" s="54">
        <v>46023</v>
      </c>
      <c r="I97" s="52" t="s">
        <v>74</v>
      </c>
      <c r="J97" s="52" t="s">
        <v>107</v>
      </c>
      <c r="K97" s="52" t="s">
        <v>389</v>
      </c>
      <c r="L97" s="52" t="s">
        <v>389</v>
      </c>
      <c r="M97" s="52" t="s">
        <v>29</v>
      </c>
      <c r="N97" s="53">
        <v>-1039.5999999999999</v>
      </c>
      <c r="O97" s="53">
        <v>-1039.5999999999999</v>
      </c>
      <c r="P97" s="52" t="s">
        <v>390</v>
      </c>
      <c r="Q97" s="52" t="s">
        <v>391</v>
      </c>
      <c r="R97" s="52" t="s">
        <v>64</v>
      </c>
      <c r="S97" s="52" t="s">
        <v>107</v>
      </c>
    </row>
    <row r="98" spans="1:19" hidden="1" outlineLevel="2" x14ac:dyDescent="0.45">
      <c r="A98" t="s">
        <v>16</v>
      </c>
      <c r="B98" s="52" t="s">
        <v>57</v>
      </c>
      <c r="C98" s="52" t="s">
        <v>392</v>
      </c>
      <c r="D98" s="52" t="s">
        <v>393</v>
      </c>
      <c r="E98" s="52" t="s">
        <v>387</v>
      </c>
      <c r="F98" s="52" t="s">
        <v>394</v>
      </c>
      <c r="G98" s="52" t="s">
        <v>60</v>
      </c>
      <c r="H98" s="54">
        <v>46023</v>
      </c>
      <c r="I98" s="52" t="s">
        <v>74</v>
      </c>
      <c r="J98" s="52" t="s">
        <v>210</v>
      </c>
      <c r="K98" s="52" t="s">
        <v>395</v>
      </c>
      <c r="L98" s="52" t="s">
        <v>395</v>
      </c>
      <c r="M98" s="52" t="s">
        <v>29</v>
      </c>
      <c r="N98" s="53">
        <v>-6600</v>
      </c>
      <c r="O98" s="53">
        <v>-6600</v>
      </c>
      <c r="P98" s="52" t="s">
        <v>396</v>
      </c>
      <c r="Q98" s="52" t="s">
        <v>397</v>
      </c>
      <c r="R98" s="52" t="s">
        <v>64</v>
      </c>
      <c r="S98" s="52" t="s">
        <v>210</v>
      </c>
    </row>
    <row r="99" spans="1:19" hidden="1" outlineLevel="2" x14ac:dyDescent="0.45">
      <c r="A99" t="s">
        <v>16</v>
      </c>
      <c r="B99" s="52" t="s">
        <v>66</v>
      </c>
      <c r="C99" s="52" t="s">
        <v>398</v>
      </c>
      <c r="D99" s="52" t="s">
        <v>399</v>
      </c>
      <c r="E99" s="52" t="s">
        <v>387</v>
      </c>
      <c r="F99" s="52" t="s">
        <v>400</v>
      </c>
      <c r="G99" s="52" t="s">
        <v>60</v>
      </c>
      <c r="H99" s="54">
        <v>46023</v>
      </c>
      <c r="I99" s="52" t="s">
        <v>74</v>
      </c>
      <c r="J99" s="52" t="s">
        <v>210</v>
      </c>
      <c r="K99" s="52" t="s">
        <v>401</v>
      </c>
      <c r="L99" s="52" t="s">
        <v>401</v>
      </c>
      <c r="M99" s="52" t="s">
        <v>67</v>
      </c>
      <c r="N99" s="53">
        <v>-2760</v>
      </c>
      <c r="O99" s="53">
        <v>-9232.2000000000007</v>
      </c>
      <c r="P99" s="52" t="s">
        <v>402</v>
      </c>
      <c r="Q99" s="52" t="s">
        <v>403</v>
      </c>
      <c r="R99" s="52" t="s">
        <v>64</v>
      </c>
      <c r="S99" s="52" t="s">
        <v>210</v>
      </c>
    </row>
    <row r="100" spans="1:19" hidden="1" outlineLevel="2" x14ac:dyDescent="0.45">
      <c r="A100" t="s">
        <v>16</v>
      </c>
      <c r="B100" s="52" t="s">
        <v>57</v>
      </c>
      <c r="C100" s="52" t="s">
        <v>404</v>
      </c>
      <c r="D100" s="52" t="s">
        <v>405</v>
      </c>
      <c r="E100" s="52" t="s">
        <v>387</v>
      </c>
      <c r="F100" s="52" t="s">
        <v>406</v>
      </c>
      <c r="G100" s="52" t="s">
        <v>60</v>
      </c>
      <c r="H100" s="54">
        <v>46023</v>
      </c>
      <c r="I100" s="52" t="s">
        <v>74</v>
      </c>
      <c r="J100" s="52" t="s">
        <v>210</v>
      </c>
      <c r="K100" s="52" t="s">
        <v>407</v>
      </c>
      <c r="L100" s="52" t="s">
        <v>407</v>
      </c>
      <c r="M100" s="52" t="s">
        <v>29</v>
      </c>
      <c r="N100" s="53">
        <v>-26864</v>
      </c>
      <c r="O100" s="53">
        <v>-26864</v>
      </c>
      <c r="P100" s="52" t="s">
        <v>408</v>
      </c>
      <c r="Q100" s="52" t="s">
        <v>409</v>
      </c>
      <c r="R100" s="52" t="s">
        <v>64</v>
      </c>
      <c r="S100" s="52" t="s">
        <v>210</v>
      </c>
    </row>
    <row r="101" spans="1:19" hidden="1" outlineLevel="2" x14ac:dyDescent="0.45">
      <c r="A101" t="s">
        <v>16</v>
      </c>
      <c r="B101" s="52" t="s">
        <v>57</v>
      </c>
      <c r="C101" s="52" t="s">
        <v>410</v>
      </c>
      <c r="D101" s="52" t="s">
        <v>411</v>
      </c>
      <c r="E101" s="52" t="s">
        <v>387</v>
      </c>
      <c r="F101" s="52" t="s">
        <v>412</v>
      </c>
      <c r="G101" s="52" t="s">
        <v>60</v>
      </c>
      <c r="H101" s="54">
        <v>46023</v>
      </c>
      <c r="I101" s="52" t="s">
        <v>74</v>
      </c>
      <c r="J101" s="52" t="s">
        <v>210</v>
      </c>
      <c r="K101" s="52" t="s">
        <v>413</v>
      </c>
      <c r="L101" s="52" t="s">
        <v>413</v>
      </c>
      <c r="M101" s="52" t="s">
        <v>29</v>
      </c>
      <c r="N101" s="53">
        <v>-20000</v>
      </c>
      <c r="O101" s="53">
        <v>-20000</v>
      </c>
      <c r="P101" s="52" t="s">
        <v>414</v>
      </c>
      <c r="Q101" s="52" t="s">
        <v>415</v>
      </c>
      <c r="R101" s="52" t="s">
        <v>64</v>
      </c>
      <c r="S101" s="52" t="s">
        <v>210</v>
      </c>
    </row>
    <row r="102" spans="1:19" hidden="1" outlineLevel="2" x14ac:dyDescent="0.45">
      <c r="A102" t="s">
        <v>16</v>
      </c>
      <c r="B102" s="52" t="s">
        <v>66</v>
      </c>
      <c r="C102" s="52" t="s">
        <v>416</v>
      </c>
      <c r="D102" s="52" t="s">
        <v>417</v>
      </c>
      <c r="E102" s="52" t="s">
        <v>387</v>
      </c>
      <c r="F102" s="52" t="s">
        <v>418</v>
      </c>
      <c r="G102" s="52" t="s">
        <v>60</v>
      </c>
      <c r="H102" s="54">
        <v>46023</v>
      </c>
      <c r="I102" s="52" t="s">
        <v>74</v>
      </c>
      <c r="J102" s="52" t="s">
        <v>210</v>
      </c>
      <c r="K102" s="52" t="s">
        <v>419</v>
      </c>
      <c r="L102" s="52" t="s">
        <v>419</v>
      </c>
      <c r="M102" s="52" t="s">
        <v>67</v>
      </c>
      <c r="N102" s="53">
        <v>-4600</v>
      </c>
      <c r="O102" s="53">
        <v>-15387</v>
      </c>
      <c r="P102" s="52" t="s">
        <v>420</v>
      </c>
      <c r="Q102" s="52" t="s">
        <v>421</v>
      </c>
      <c r="R102" s="52" t="s">
        <v>64</v>
      </c>
      <c r="S102" s="52" t="s">
        <v>210</v>
      </c>
    </row>
    <row r="103" spans="1:19" hidden="1" outlineLevel="2" x14ac:dyDescent="0.45">
      <c r="A103" t="s">
        <v>16</v>
      </c>
      <c r="B103" s="52" t="s">
        <v>57</v>
      </c>
      <c r="C103" s="52" t="s">
        <v>349</v>
      </c>
      <c r="D103" s="52" t="s">
        <v>350</v>
      </c>
      <c r="E103" s="52" t="s">
        <v>387</v>
      </c>
      <c r="F103" s="52" t="s">
        <v>422</v>
      </c>
      <c r="G103" s="52" t="s">
        <v>60</v>
      </c>
      <c r="H103" s="54">
        <v>46023</v>
      </c>
      <c r="I103" s="52" t="s">
        <v>74</v>
      </c>
      <c r="J103" s="52" t="s">
        <v>210</v>
      </c>
      <c r="K103" s="52" t="s">
        <v>423</v>
      </c>
      <c r="L103" s="52" t="s">
        <v>424</v>
      </c>
      <c r="M103" s="52" t="s">
        <v>29</v>
      </c>
      <c r="N103" s="53">
        <v>-1500</v>
      </c>
      <c r="O103" s="53">
        <v>-1500</v>
      </c>
      <c r="P103" s="52" t="s">
        <v>425</v>
      </c>
      <c r="Q103" s="52" t="s">
        <v>426</v>
      </c>
      <c r="R103" s="52" t="s">
        <v>64</v>
      </c>
      <c r="S103" s="52" t="s">
        <v>210</v>
      </c>
    </row>
    <row r="104" spans="1:19" hidden="1" outlineLevel="2" x14ac:dyDescent="0.45">
      <c r="A104" t="s">
        <v>16</v>
      </c>
      <c r="B104" s="52" t="s">
        <v>57</v>
      </c>
      <c r="C104" s="52" t="s">
        <v>427</v>
      </c>
      <c r="D104" s="52" t="s">
        <v>428</v>
      </c>
      <c r="E104" s="52" t="s">
        <v>387</v>
      </c>
      <c r="F104" s="52" t="s">
        <v>429</v>
      </c>
      <c r="G104" s="52" t="s">
        <v>60</v>
      </c>
      <c r="H104" s="54">
        <v>46023</v>
      </c>
      <c r="I104" s="52" t="s">
        <v>74</v>
      </c>
      <c r="J104" s="52" t="s">
        <v>210</v>
      </c>
      <c r="K104" s="52" t="s">
        <v>430</v>
      </c>
      <c r="L104" s="52" t="s">
        <v>431</v>
      </c>
      <c r="M104" s="52" t="s">
        <v>29</v>
      </c>
      <c r="N104" s="53">
        <v>-1130</v>
      </c>
      <c r="O104" s="53">
        <v>-1130</v>
      </c>
      <c r="P104" s="52" t="s">
        <v>425</v>
      </c>
      <c r="Q104" s="52" t="s">
        <v>426</v>
      </c>
      <c r="R104" s="52" t="s">
        <v>64</v>
      </c>
      <c r="S104" s="52" t="s">
        <v>210</v>
      </c>
    </row>
    <row r="105" spans="1:19" hidden="1" outlineLevel="2" x14ac:dyDescent="0.45">
      <c r="A105" t="s">
        <v>16</v>
      </c>
      <c r="B105" s="52" t="s">
        <v>57</v>
      </c>
      <c r="C105" s="52" t="s">
        <v>349</v>
      </c>
      <c r="D105" s="52" t="s">
        <v>350</v>
      </c>
      <c r="E105" s="52" t="s">
        <v>387</v>
      </c>
      <c r="F105" s="52" t="s">
        <v>432</v>
      </c>
      <c r="G105" s="52" t="s">
        <v>60</v>
      </c>
      <c r="H105" s="54">
        <v>46023</v>
      </c>
      <c r="I105" s="52" t="s">
        <v>74</v>
      </c>
      <c r="J105" s="52" t="s">
        <v>210</v>
      </c>
      <c r="K105" s="52" t="s">
        <v>433</v>
      </c>
      <c r="L105" s="52" t="s">
        <v>433</v>
      </c>
      <c r="M105" s="52" t="s">
        <v>29</v>
      </c>
      <c r="N105" s="53">
        <v>-148170.82</v>
      </c>
      <c r="O105" s="53">
        <v>-148170.82</v>
      </c>
      <c r="P105" s="52" t="s">
        <v>434</v>
      </c>
      <c r="Q105" s="52" t="s">
        <v>435</v>
      </c>
      <c r="R105" s="52" t="s">
        <v>64</v>
      </c>
      <c r="S105" s="52" t="s">
        <v>210</v>
      </c>
    </row>
    <row r="106" spans="1:19" hidden="1" outlineLevel="2" x14ac:dyDescent="0.45">
      <c r="A106" t="s">
        <v>16</v>
      </c>
      <c r="B106" s="52" t="s">
        <v>57</v>
      </c>
      <c r="C106" s="52" t="s">
        <v>349</v>
      </c>
      <c r="D106" s="52" t="s">
        <v>350</v>
      </c>
      <c r="E106" s="52" t="s">
        <v>387</v>
      </c>
      <c r="F106" s="52" t="s">
        <v>436</v>
      </c>
      <c r="G106" s="52" t="s">
        <v>60</v>
      </c>
      <c r="H106" s="54">
        <v>46023</v>
      </c>
      <c r="I106" s="52" t="s">
        <v>74</v>
      </c>
      <c r="J106" s="52" t="s">
        <v>210</v>
      </c>
      <c r="K106" s="52" t="s">
        <v>433</v>
      </c>
      <c r="L106" s="52" t="s">
        <v>433</v>
      </c>
      <c r="M106" s="52" t="s">
        <v>29</v>
      </c>
      <c r="N106" s="53">
        <v>-7661.61</v>
      </c>
      <c r="O106" s="53">
        <v>-7661.61</v>
      </c>
      <c r="P106" s="52" t="s">
        <v>434</v>
      </c>
      <c r="Q106" s="52" t="s">
        <v>437</v>
      </c>
      <c r="R106" s="52" t="s">
        <v>64</v>
      </c>
      <c r="S106" s="52" t="s">
        <v>210</v>
      </c>
    </row>
    <row r="107" spans="1:19" hidden="1" outlineLevel="2" x14ac:dyDescent="0.45">
      <c r="A107" t="s">
        <v>16</v>
      </c>
      <c r="B107" s="52" t="s">
        <v>57</v>
      </c>
      <c r="C107" s="52" t="s">
        <v>438</v>
      </c>
      <c r="D107" s="52" t="s">
        <v>439</v>
      </c>
      <c r="E107" s="52" t="s">
        <v>387</v>
      </c>
      <c r="F107" s="52" t="s">
        <v>436</v>
      </c>
      <c r="G107" s="52" t="s">
        <v>60</v>
      </c>
      <c r="H107" s="54">
        <v>46023</v>
      </c>
      <c r="I107" s="52" t="s">
        <v>74</v>
      </c>
      <c r="J107" s="52" t="s">
        <v>210</v>
      </c>
      <c r="K107" s="52" t="s">
        <v>440</v>
      </c>
      <c r="L107" s="52" t="s">
        <v>441</v>
      </c>
      <c r="M107" s="52" t="s">
        <v>29</v>
      </c>
      <c r="N107" s="53">
        <v>-8199.64</v>
      </c>
      <c r="O107" s="53">
        <v>-8199.64</v>
      </c>
      <c r="P107" s="52" t="s">
        <v>434</v>
      </c>
      <c r="Q107" s="52" t="s">
        <v>437</v>
      </c>
      <c r="R107" s="52" t="s">
        <v>64</v>
      </c>
      <c r="S107" s="52" t="s">
        <v>210</v>
      </c>
    </row>
    <row r="108" spans="1:19" hidden="1" outlineLevel="2" x14ac:dyDescent="0.45">
      <c r="A108" t="s">
        <v>16</v>
      </c>
      <c r="B108" s="52" t="s">
        <v>57</v>
      </c>
      <c r="C108" s="52" t="s">
        <v>442</v>
      </c>
      <c r="D108" s="52" t="s">
        <v>443</v>
      </c>
      <c r="E108" s="52" t="s">
        <v>387</v>
      </c>
      <c r="F108" s="52" t="s">
        <v>436</v>
      </c>
      <c r="G108" s="52" t="s">
        <v>60</v>
      </c>
      <c r="H108" s="54">
        <v>46023</v>
      </c>
      <c r="I108" s="52" t="s">
        <v>74</v>
      </c>
      <c r="J108" s="52" t="s">
        <v>210</v>
      </c>
      <c r="K108" s="52" t="s">
        <v>444</v>
      </c>
      <c r="L108" s="52" t="s">
        <v>445</v>
      </c>
      <c r="M108" s="52" t="s">
        <v>29</v>
      </c>
      <c r="N108" s="53">
        <v>-20009.490000000002</v>
      </c>
      <c r="O108" s="53">
        <v>-20009.490000000002</v>
      </c>
      <c r="P108" s="52" t="s">
        <v>434</v>
      </c>
      <c r="Q108" s="52" t="s">
        <v>437</v>
      </c>
      <c r="R108" s="52" t="s">
        <v>64</v>
      </c>
      <c r="S108" s="52" t="s">
        <v>210</v>
      </c>
    </row>
    <row r="109" spans="1:19" hidden="1" outlineLevel="2" x14ac:dyDescent="0.45">
      <c r="A109" t="s">
        <v>16</v>
      </c>
      <c r="B109" s="52" t="s">
        <v>57</v>
      </c>
      <c r="C109" s="52" t="s">
        <v>427</v>
      </c>
      <c r="D109" s="52" t="s">
        <v>428</v>
      </c>
      <c r="E109" s="52" t="s">
        <v>387</v>
      </c>
      <c r="F109" s="52" t="s">
        <v>436</v>
      </c>
      <c r="G109" s="52" t="s">
        <v>60</v>
      </c>
      <c r="H109" s="54">
        <v>46023</v>
      </c>
      <c r="I109" s="52" t="s">
        <v>74</v>
      </c>
      <c r="J109" s="52" t="s">
        <v>210</v>
      </c>
      <c r="K109" s="52" t="s">
        <v>446</v>
      </c>
      <c r="L109" s="52" t="s">
        <v>447</v>
      </c>
      <c r="M109" s="52" t="s">
        <v>29</v>
      </c>
      <c r="N109" s="53">
        <v>-10313.81</v>
      </c>
      <c r="O109" s="53">
        <v>-10313.81</v>
      </c>
      <c r="P109" s="52" t="s">
        <v>434</v>
      </c>
      <c r="Q109" s="52" t="s">
        <v>437</v>
      </c>
      <c r="R109" s="52" t="s">
        <v>64</v>
      </c>
      <c r="S109" s="52" t="s">
        <v>210</v>
      </c>
    </row>
    <row r="110" spans="1:19" hidden="1" outlineLevel="2" x14ac:dyDescent="0.45">
      <c r="A110" t="s">
        <v>16</v>
      </c>
      <c r="B110" s="52" t="s">
        <v>57</v>
      </c>
      <c r="C110" s="52" t="s">
        <v>448</v>
      </c>
      <c r="D110" s="52" t="s">
        <v>449</v>
      </c>
      <c r="E110" s="52" t="s">
        <v>387</v>
      </c>
      <c r="F110" s="52" t="s">
        <v>450</v>
      </c>
      <c r="G110" s="52" t="s">
        <v>60</v>
      </c>
      <c r="H110" s="54">
        <v>46054</v>
      </c>
      <c r="I110" s="52" t="s">
        <v>231</v>
      </c>
      <c r="J110" s="52" t="s">
        <v>451</v>
      </c>
      <c r="K110" s="52" t="s">
        <v>452</v>
      </c>
      <c r="L110" s="52" t="s">
        <v>452</v>
      </c>
      <c r="M110" s="52" t="s">
        <v>29</v>
      </c>
      <c r="N110" s="53">
        <v>-5000</v>
      </c>
      <c r="O110" s="53">
        <v>-5000</v>
      </c>
      <c r="P110" s="52" t="s">
        <v>453</v>
      </c>
      <c r="Q110" s="52" t="s">
        <v>454</v>
      </c>
      <c r="R110" s="52" t="s">
        <v>64</v>
      </c>
      <c r="S110" s="52" t="s">
        <v>451</v>
      </c>
    </row>
    <row r="111" spans="1:19" hidden="1" outlineLevel="2" x14ac:dyDescent="0.45">
      <c r="A111" t="s">
        <v>16</v>
      </c>
      <c r="B111" s="52" t="s">
        <v>57</v>
      </c>
      <c r="C111" s="52" t="s">
        <v>455</v>
      </c>
      <c r="D111" s="52" t="s">
        <v>456</v>
      </c>
      <c r="E111" s="52" t="s">
        <v>387</v>
      </c>
      <c r="F111" s="52" t="s">
        <v>457</v>
      </c>
      <c r="G111" s="52" t="s">
        <v>60</v>
      </c>
      <c r="H111" s="54">
        <v>46054</v>
      </c>
      <c r="I111" s="52" t="s">
        <v>231</v>
      </c>
      <c r="J111" s="52" t="s">
        <v>241</v>
      </c>
      <c r="K111" s="52" t="s">
        <v>458</v>
      </c>
      <c r="L111" s="52" t="s">
        <v>458</v>
      </c>
      <c r="M111" s="52" t="s">
        <v>29</v>
      </c>
      <c r="N111" s="53">
        <v>-600</v>
      </c>
      <c r="O111" s="53">
        <v>-600</v>
      </c>
      <c r="P111" s="52" t="s">
        <v>459</v>
      </c>
      <c r="Q111" s="52" t="s">
        <v>460</v>
      </c>
      <c r="R111" s="52" t="s">
        <v>64</v>
      </c>
      <c r="S111" s="52" t="s">
        <v>241</v>
      </c>
    </row>
    <row r="112" spans="1:19" hidden="1" outlineLevel="2" x14ac:dyDescent="0.45">
      <c r="A112" t="s">
        <v>16</v>
      </c>
      <c r="B112" s="52" t="s">
        <v>57</v>
      </c>
      <c r="C112" s="52" t="s">
        <v>404</v>
      </c>
      <c r="D112" s="52" t="s">
        <v>405</v>
      </c>
      <c r="E112" s="52" t="s">
        <v>387</v>
      </c>
      <c r="F112" s="52" t="s">
        <v>461</v>
      </c>
      <c r="G112" s="52" t="s">
        <v>60</v>
      </c>
      <c r="H112" s="54">
        <v>46054</v>
      </c>
      <c r="I112" s="52" t="s">
        <v>231</v>
      </c>
      <c r="J112" s="52" t="s">
        <v>241</v>
      </c>
      <c r="K112" s="52" t="s">
        <v>462</v>
      </c>
      <c r="L112" s="52" t="s">
        <v>462</v>
      </c>
      <c r="M112" s="52" t="s">
        <v>29</v>
      </c>
      <c r="N112" s="53">
        <v>-26864</v>
      </c>
      <c r="O112" s="53">
        <v>-26864</v>
      </c>
      <c r="P112" s="52" t="s">
        <v>463</v>
      </c>
      <c r="Q112" s="52" t="s">
        <v>464</v>
      </c>
      <c r="R112" s="52" t="s">
        <v>64</v>
      </c>
      <c r="S112" s="52" t="s">
        <v>241</v>
      </c>
    </row>
    <row r="113" spans="1:19" hidden="1" outlineLevel="2" x14ac:dyDescent="0.45">
      <c r="A113" t="s">
        <v>16</v>
      </c>
      <c r="B113" s="52" t="s">
        <v>57</v>
      </c>
      <c r="C113" s="52" t="s">
        <v>410</v>
      </c>
      <c r="D113" s="52" t="s">
        <v>411</v>
      </c>
      <c r="E113" s="52" t="s">
        <v>387</v>
      </c>
      <c r="F113" s="52" t="s">
        <v>457</v>
      </c>
      <c r="G113" s="52" t="s">
        <v>60</v>
      </c>
      <c r="H113" s="54">
        <v>46054</v>
      </c>
      <c r="I113" s="52" t="s">
        <v>231</v>
      </c>
      <c r="J113" s="52" t="s">
        <v>241</v>
      </c>
      <c r="K113" s="52" t="s">
        <v>465</v>
      </c>
      <c r="L113" s="52" t="s">
        <v>465</v>
      </c>
      <c r="M113" s="52" t="s">
        <v>29</v>
      </c>
      <c r="N113" s="53">
        <v>-20000</v>
      </c>
      <c r="O113" s="53">
        <v>-20000</v>
      </c>
      <c r="P113" s="52" t="s">
        <v>466</v>
      </c>
      <c r="Q113" s="52" t="s">
        <v>460</v>
      </c>
      <c r="R113" s="52" t="s">
        <v>64</v>
      </c>
      <c r="S113" s="52" t="s">
        <v>241</v>
      </c>
    </row>
    <row r="114" spans="1:19" hidden="1" outlineLevel="2" x14ac:dyDescent="0.45">
      <c r="A114" t="s">
        <v>16</v>
      </c>
      <c r="B114" s="52" t="s">
        <v>57</v>
      </c>
      <c r="C114" s="52" t="s">
        <v>349</v>
      </c>
      <c r="D114" s="52" t="s">
        <v>350</v>
      </c>
      <c r="E114" s="52" t="s">
        <v>387</v>
      </c>
      <c r="F114" s="52" t="s">
        <v>467</v>
      </c>
      <c r="G114" s="52" t="s">
        <v>60</v>
      </c>
      <c r="H114" s="54">
        <v>46054</v>
      </c>
      <c r="I114" s="52" t="s">
        <v>231</v>
      </c>
      <c r="J114" s="52" t="s">
        <v>241</v>
      </c>
      <c r="K114" s="52" t="s">
        <v>468</v>
      </c>
      <c r="L114" s="52" t="s">
        <v>469</v>
      </c>
      <c r="M114" s="52" t="s">
        <v>29</v>
      </c>
      <c r="N114" s="53">
        <v>-147843.81</v>
      </c>
      <c r="O114" s="53">
        <v>-147843.81</v>
      </c>
      <c r="P114" s="52" t="s">
        <v>434</v>
      </c>
      <c r="Q114" s="52" t="s">
        <v>470</v>
      </c>
      <c r="R114" s="52" t="s">
        <v>64</v>
      </c>
      <c r="S114" s="52" t="s">
        <v>241</v>
      </c>
    </row>
    <row r="115" spans="1:19" hidden="1" outlineLevel="2" x14ac:dyDescent="0.45">
      <c r="A115" t="s">
        <v>16</v>
      </c>
      <c r="B115" s="52" t="s">
        <v>57</v>
      </c>
      <c r="C115" s="52" t="s">
        <v>349</v>
      </c>
      <c r="D115" s="52" t="s">
        <v>350</v>
      </c>
      <c r="E115" s="52" t="s">
        <v>387</v>
      </c>
      <c r="F115" s="52" t="s">
        <v>471</v>
      </c>
      <c r="G115" s="52" t="s">
        <v>60</v>
      </c>
      <c r="H115" s="54">
        <v>46054</v>
      </c>
      <c r="I115" s="52" t="s">
        <v>231</v>
      </c>
      <c r="J115" s="52" t="s">
        <v>241</v>
      </c>
      <c r="K115" s="52" t="s">
        <v>468</v>
      </c>
      <c r="L115" s="52" t="s">
        <v>469</v>
      </c>
      <c r="M115" s="52" t="s">
        <v>29</v>
      </c>
      <c r="N115" s="53">
        <v>-7542.67</v>
      </c>
      <c r="O115" s="53">
        <v>-7542.67</v>
      </c>
      <c r="P115" s="52" t="s">
        <v>434</v>
      </c>
      <c r="Q115" s="52" t="s">
        <v>472</v>
      </c>
      <c r="R115" s="52" t="s">
        <v>64</v>
      </c>
      <c r="S115" s="52" t="s">
        <v>241</v>
      </c>
    </row>
    <row r="116" spans="1:19" hidden="1" outlineLevel="2" x14ac:dyDescent="0.45">
      <c r="A116" t="s">
        <v>16</v>
      </c>
      <c r="B116" s="52" t="s">
        <v>57</v>
      </c>
      <c r="C116" s="52" t="s">
        <v>438</v>
      </c>
      <c r="D116" s="52" t="s">
        <v>439</v>
      </c>
      <c r="E116" s="52" t="s">
        <v>387</v>
      </c>
      <c r="F116" s="52" t="s">
        <v>471</v>
      </c>
      <c r="G116" s="52" t="s">
        <v>60</v>
      </c>
      <c r="H116" s="54">
        <v>46054</v>
      </c>
      <c r="I116" s="52" t="s">
        <v>231</v>
      </c>
      <c r="J116" s="52" t="s">
        <v>241</v>
      </c>
      <c r="K116" s="52" t="s">
        <v>473</v>
      </c>
      <c r="L116" s="52" t="s">
        <v>474</v>
      </c>
      <c r="M116" s="52" t="s">
        <v>29</v>
      </c>
      <c r="N116" s="53">
        <v>-8199.64</v>
      </c>
      <c r="O116" s="53">
        <v>-8199.64</v>
      </c>
      <c r="P116" s="52" t="s">
        <v>434</v>
      </c>
      <c r="Q116" s="52" t="s">
        <v>472</v>
      </c>
      <c r="R116" s="52" t="s">
        <v>64</v>
      </c>
      <c r="S116" s="52" t="s">
        <v>241</v>
      </c>
    </row>
    <row r="117" spans="1:19" hidden="1" outlineLevel="2" x14ac:dyDescent="0.45">
      <c r="A117" t="s">
        <v>16</v>
      </c>
      <c r="B117" s="52" t="s">
        <v>57</v>
      </c>
      <c r="C117" s="52" t="s">
        <v>442</v>
      </c>
      <c r="D117" s="52" t="s">
        <v>443</v>
      </c>
      <c r="E117" s="52" t="s">
        <v>387</v>
      </c>
      <c r="F117" s="52" t="s">
        <v>471</v>
      </c>
      <c r="G117" s="52" t="s">
        <v>60</v>
      </c>
      <c r="H117" s="54">
        <v>46054</v>
      </c>
      <c r="I117" s="52" t="s">
        <v>231</v>
      </c>
      <c r="J117" s="52" t="s">
        <v>241</v>
      </c>
      <c r="K117" s="52" t="s">
        <v>475</v>
      </c>
      <c r="L117" s="52" t="s">
        <v>476</v>
      </c>
      <c r="M117" s="52" t="s">
        <v>29</v>
      </c>
      <c r="N117" s="53">
        <v>-20009.490000000002</v>
      </c>
      <c r="O117" s="53">
        <v>-20009.490000000002</v>
      </c>
      <c r="P117" s="52" t="s">
        <v>434</v>
      </c>
      <c r="Q117" s="52" t="s">
        <v>472</v>
      </c>
      <c r="R117" s="52" t="s">
        <v>64</v>
      </c>
      <c r="S117" s="52" t="s">
        <v>241</v>
      </c>
    </row>
    <row r="118" spans="1:19" hidden="1" outlineLevel="2" x14ac:dyDescent="0.45">
      <c r="A118" t="s">
        <v>16</v>
      </c>
      <c r="B118" s="52" t="s">
        <v>57</v>
      </c>
      <c r="C118" s="52" t="s">
        <v>427</v>
      </c>
      <c r="D118" s="52" t="s">
        <v>428</v>
      </c>
      <c r="E118" s="52" t="s">
        <v>387</v>
      </c>
      <c r="F118" s="52" t="s">
        <v>471</v>
      </c>
      <c r="G118" s="52" t="s">
        <v>60</v>
      </c>
      <c r="H118" s="54">
        <v>46054</v>
      </c>
      <c r="I118" s="52" t="s">
        <v>231</v>
      </c>
      <c r="J118" s="52" t="s">
        <v>241</v>
      </c>
      <c r="K118" s="52" t="s">
        <v>477</v>
      </c>
      <c r="L118" s="52" t="s">
        <v>478</v>
      </c>
      <c r="M118" s="52" t="s">
        <v>29</v>
      </c>
      <c r="N118" s="53">
        <v>-10313.81</v>
      </c>
      <c r="O118" s="53">
        <v>-10313.81</v>
      </c>
      <c r="P118" s="52" t="s">
        <v>434</v>
      </c>
      <c r="Q118" s="52" t="s">
        <v>472</v>
      </c>
      <c r="R118" s="52" t="s">
        <v>64</v>
      </c>
      <c r="S118" s="52" t="s">
        <v>241</v>
      </c>
    </row>
    <row r="119" spans="1:19" hidden="1" outlineLevel="2" x14ac:dyDescent="0.45">
      <c r="A119" t="s">
        <v>16</v>
      </c>
      <c r="B119" s="52" t="s">
        <v>57</v>
      </c>
      <c r="C119" s="52" t="s">
        <v>349</v>
      </c>
      <c r="D119" s="52" t="s">
        <v>350</v>
      </c>
      <c r="E119" s="52" t="s">
        <v>387</v>
      </c>
      <c r="F119" s="52" t="s">
        <v>479</v>
      </c>
      <c r="G119" s="52" t="s">
        <v>60</v>
      </c>
      <c r="H119" s="54">
        <v>46054</v>
      </c>
      <c r="I119" s="52" t="s">
        <v>231</v>
      </c>
      <c r="J119" s="52" t="s">
        <v>241</v>
      </c>
      <c r="K119" s="52" t="s">
        <v>480</v>
      </c>
      <c r="L119" s="52" t="s">
        <v>481</v>
      </c>
      <c r="M119" s="52" t="s">
        <v>29</v>
      </c>
      <c r="N119" s="53">
        <v>-1500</v>
      </c>
      <c r="O119" s="53">
        <v>-1500</v>
      </c>
      <c r="P119" s="52" t="s">
        <v>425</v>
      </c>
      <c r="Q119" s="52" t="s">
        <v>482</v>
      </c>
      <c r="R119" s="52" t="s">
        <v>64</v>
      </c>
      <c r="S119" s="52" t="s">
        <v>241</v>
      </c>
    </row>
    <row r="120" spans="1:19" hidden="1" outlineLevel="2" x14ac:dyDescent="0.45">
      <c r="A120" t="s">
        <v>16</v>
      </c>
      <c r="B120" s="52" t="s">
        <v>57</v>
      </c>
      <c r="C120" s="52" t="s">
        <v>427</v>
      </c>
      <c r="D120" s="52" t="s">
        <v>428</v>
      </c>
      <c r="E120" s="52" t="s">
        <v>387</v>
      </c>
      <c r="F120" s="52" t="s">
        <v>483</v>
      </c>
      <c r="G120" s="52" t="s">
        <v>60</v>
      </c>
      <c r="H120" s="54">
        <v>46054</v>
      </c>
      <c r="I120" s="52" t="s">
        <v>231</v>
      </c>
      <c r="J120" s="52" t="s">
        <v>241</v>
      </c>
      <c r="K120" s="52" t="s">
        <v>484</v>
      </c>
      <c r="L120" s="52" t="s">
        <v>485</v>
      </c>
      <c r="M120" s="52" t="s">
        <v>29</v>
      </c>
      <c r="N120" s="53">
        <v>-1130</v>
      </c>
      <c r="O120" s="53">
        <v>-1130</v>
      </c>
      <c r="P120" s="52" t="s">
        <v>425</v>
      </c>
      <c r="Q120" s="52" t="s">
        <v>482</v>
      </c>
      <c r="R120" s="52" t="s">
        <v>64</v>
      </c>
      <c r="S120" s="52" t="s">
        <v>241</v>
      </c>
    </row>
    <row r="121" spans="1:19" hidden="1" outlineLevel="2" x14ac:dyDescent="0.45">
      <c r="A121" t="s">
        <v>16</v>
      </c>
      <c r="B121" s="52" t="s">
        <v>57</v>
      </c>
      <c r="C121" s="52" t="s">
        <v>349</v>
      </c>
      <c r="D121" s="52" t="s">
        <v>350</v>
      </c>
      <c r="E121" s="52" t="s">
        <v>387</v>
      </c>
      <c r="F121" s="52" t="s">
        <v>486</v>
      </c>
      <c r="G121" s="52" t="s">
        <v>60</v>
      </c>
      <c r="H121" s="54">
        <v>46054</v>
      </c>
      <c r="I121" s="52" t="s">
        <v>231</v>
      </c>
      <c r="J121" s="52" t="s">
        <v>312</v>
      </c>
      <c r="K121" s="52" t="s">
        <v>487</v>
      </c>
      <c r="L121" s="52" t="s">
        <v>488</v>
      </c>
      <c r="M121" s="52" t="s">
        <v>29</v>
      </c>
      <c r="N121" s="53">
        <v>-500</v>
      </c>
      <c r="O121" s="53">
        <v>-500</v>
      </c>
      <c r="P121" s="52" t="s">
        <v>489</v>
      </c>
      <c r="Q121" s="52" t="s">
        <v>490</v>
      </c>
      <c r="R121" s="52" t="s">
        <v>64</v>
      </c>
      <c r="S121" s="52" t="s">
        <v>312</v>
      </c>
    </row>
    <row r="122" spans="1:19" hidden="1" outlineLevel="2" x14ac:dyDescent="0.45">
      <c r="A122" t="s">
        <v>16</v>
      </c>
      <c r="B122" s="52" t="s">
        <v>57</v>
      </c>
      <c r="C122" s="52" t="s">
        <v>376</v>
      </c>
      <c r="D122" s="52" t="s">
        <v>377</v>
      </c>
      <c r="E122" s="52" t="s">
        <v>71</v>
      </c>
      <c r="F122" s="52" t="s">
        <v>491</v>
      </c>
      <c r="G122" s="52" t="s">
        <v>73</v>
      </c>
      <c r="H122" s="54">
        <v>46054</v>
      </c>
      <c r="I122" s="52" t="s">
        <v>231</v>
      </c>
      <c r="J122" s="52" t="s">
        <v>492</v>
      </c>
      <c r="K122" s="52" t="s">
        <v>493</v>
      </c>
      <c r="L122" s="52" t="s">
        <v>493</v>
      </c>
      <c r="M122" s="52" t="s">
        <v>29</v>
      </c>
      <c r="N122" s="53">
        <v>118.94</v>
      </c>
      <c r="O122" s="53">
        <v>118.94</v>
      </c>
      <c r="P122" s="52" t="s">
        <v>494</v>
      </c>
      <c r="Q122" s="52" t="s">
        <v>495</v>
      </c>
      <c r="R122" s="55" t="s">
        <v>64</v>
      </c>
      <c r="S122" s="52" t="s">
        <v>241</v>
      </c>
    </row>
    <row r="123" spans="1:19" hidden="1" outlineLevel="2" x14ac:dyDescent="0.45">
      <c r="A123" t="s">
        <v>16</v>
      </c>
      <c r="B123" s="52" t="s">
        <v>57</v>
      </c>
      <c r="C123" s="52" t="s">
        <v>349</v>
      </c>
      <c r="D123" s="52" t="s">
        <v>350</v>
      </c>
      <c r="E123" s="52" t="s">
        <v>387</v>
      </c>
      <c r="F123" s="52" t="s">
        <v>496</v>
      </c>
      <c r="G123" s="52" t="s">
        <v>60</v>
      </c>
      <c r="H123" s="54">
        <v>46082</v>
      </c>
      <c r="I123" s="52" t="s">
        <v>271</v>
      </c>
      <c r="J123" s="52" t="s">
        <v>314</v>
      </c>
      <c r="K123" s="52" t="s">
        <v>497</v>
      </c>
      <c r="L123" s="52" t="s">
        <v>498</v>
      </c>
      <c r="M123" s="52" t="s">
        <v>29</v>
      </c>
      <c r="N123" s="53">
        <v>-141834.23000000001</v>
      </c>
      <c r="O123" s="53">
        <v>-141834.23000000001</v>
      </c>
      <c r="P123" s="52" t="s">
        <v>434</v>
      </c>
      <c r="Q123" s="52" t="s">
        <v>499</v>
      </c>
      <c r="R123" s="52" t="s">
        <v>64</v>
      </c>
      <c r="S123" s="52" t="s">
        <v>314</v>
      </c>
    </row>
    <row r="124" spans="1:19" hidden="1" outlineLevel="2" x14ac:dyDescent="0.45">
      <c r="A124" t="s">
        <v>16</v>
      </c>
      <c r="B124" s="52" t="s">
        <v>57</v>
      </c>
      <c r="C124" s="52" t="s">
        <v>404</v>
      </c>
      <c r="D124" s="52" t="s">
        <v>405</v>
      </c>
      <c r="E124" s="52" t="s">
        <v>387</v>
      </c>
      <c r="F124" s="52" t="s">
        <v>500</v>
      </c>
      <c r="G124" s="52" t="s">
        <v>60</v>
      </c>
      <c r="H124" s="54">
        <v>46082</v>
      </c>
      <c r="I124" s="52" t="s">
        <v>271</v>
      </c>
      <c r="J124" s="52" t="s">
        <v>314</v>
      </c>
      <c r="K124" s="52" t="s">
        <v>501</v>
      </c>
      <c r="L124" s="52" t="s">
        <v>501</v>
      </c>
      <c r="M124" s="52" t="s">
        <v>29</v>
      </c>
      <c r="N124" s="53">
        <v>-26864</v>
      </c>
      <c r="O124" s="53">
        <v>-26864</v>
      </c>
      <c r="P124" s="52" t="s">
        <v>502</v>
      </c>
      <c r="Q124" s="52" t="s">
        <v>503</v>
      </c>
      <c r="R124" s="52" t="s">
        <v>64</v>
      </c>
      <c r="S124" s="52" t="s">
        <v>314</v>
      </c>
    </row>
    <row r="125" spans="1:19" hidden="1" outlineLevel="2" x14ac:dyDescent="0.45">
      <c r="A125" t="s">
        <v>16</v>
      </c>
      <c r="B125" s="52" t="s">
        <v>57</v>
      </c>
      <c r="C125" s="52" t="s">
        <v>442</v>
      </c>
      <c r="D125" s="52" t="s">
        <v>443</v>
      </c>
      <c r="E125" s="52" t="s">
        <v>387</v>
      </c>
      <c r="F125" s="52" t="s">
        <v>504</v>
      </c>
      <c r="G125" s="52" t="s">
        <v>60</v>
      </c>
      <c r="H125" s="54">
        <v>46082</v>
      </c>
      <c r="I125" s="52" t="s">
        <v>271</v>
      </c>
      <c r="J125" s="52" t="s">
        <v>314</v>
      </c>
      <c r="K125" s="52" t="s">
        <v>505</v>
      </c>
      <c r="L125" s="52" t="s">
        <v>506</v>
      </c>
      <c r="M125" s="52" t="s">
        <v>29</v>
      </c>
      <c r="N125" s="53">
        <v>-20009.490000000002</v>
      </c>
      <c r="O125" s="53">
        <v>-20009.490000000002</v>
      </c>
      <c r="P125" s="52" t="s">
        <v>434</v>
      </c>
      <c r="Q125" s="52" t="s">
        <v>507</v>
      </c>
      <c r="R125" s="52" t="s">
        <v>64</v>
      </c>
      <c r="S125" s="52" t="s">
        <v>314</v>
      </c>
    </row>
    <row r="126" spans="1:19" hidden="1" outlineLevel="2" x14ac:dyDescent="0.45">
      <c r="A126" t="s">
        <v>16</v>
      </c>
      <c r="B126" s="52" t="s">
        <v>57</v>
      </c>
      <c r="C126" s="52" t="s">
        <v>410</v>
      </c>
      <c r="D126" s="52" t="s">
        <v>411</v>
      </c>
      <c r="E126" s="52" t="s">
        <v>387</v>
      </c>
      <c r="F126" s="52" t="s">
        <v>508</v>
      </c>
      <c r="G126" s="52" t="s">
        <v>60</v>
      </c>
      <c r="H126" s="54">
        <v>46082</v>
      </c>
      <c r="I126" s="52" t="s">
        <v>271</v>
      </c>
      <c r="J126" s="52" t="s">
        <v>314</v>
      </c>
      <c r="K126" s="52" t="s">
        <v>509</v>
      </c>
      <c r="L126" s="52" t="s">
        <v>509</v>
      </c>
      <c r="M126" s="52" t="s">
        <v>29</v>
      </c>
      <c r="N126" s="53">
        <v>-20000</v>
      </c>
      <c r="O126" s="53">
        <v>-20000</v>
      </c>
      <c r="P126" s="52" t="s">
        <v>510</v>
      </c>
      <c r="Q126" s="52" t="s">
        <v>511</v>
      </c>
      <c r="R126" s="52" t="s">
        <v>64</v>
      </c>
      <c r="S126" s="52" t="s">
        <v>314</v>
      </c>
    </row>
    <row r="127" spans="1:19" hidden="1" outlineLevel="2" x14ac:dyDescent="0.45">
      <c r="A127" t="s">
        <v>16</v>
      </c>
      <c r="B127" s="52" t="s">
        <v>57</v>
      </c>
      <c r="C127" s="52" t="s">
        <v>349</v>
      </c>
      <c r="D127" s="52" t="s">
        <v>350</v>
      </c>
      <c r="E127" s="52" t="s">
        <v>387</v>
      </c>
      <c r="F127" s="52" t="s">
        <v>512</v>
      </c>
      <c r="G127" s="52" t="s">
        <v>60</v>
      </c>
      <c r="H127" s="54">
        <v>46082</v>
      </c>
      <c r="I127" s="52" t="s">
        <v>271</v>
      </c>
      <c r="J127" s="52" t="s">
        <v>513</v>
      </c>
      <c r="K127" s="52" t="s">
        <v>514</v>
      </c>
      <c r="L127" s="52" t="s">
        <v>515</v>
      </c>
      <c r="M127" s="52" t="s">
        <v>29</v>
      </c>
      <c r="N127" s="53">
        <v>-16287.31</v>
      </c>
      <c r="O127" s="53">
        <v>-16287.31</v>
      </c>
      <c r="P127" s="52" t="s">
        <v>516</v>
      </c>
      <c r="Q127" s="52" t="s">
        <v>517</v>
      </c>
      <c r="R127" s="52" t="s">
        <v>64</v>
      </c>
      <c r="S127" s="52" t="s">
        <v>513</v>
      </c>
    </row>
    <row r="128" spans="1:19" hidden="1" outlineLevel="2" x14ac:dyDescent="0.45">
      <c r="A128" t="s">
        <v>16</v>
      </c>
      <c r="B128" s="52" t="s">
        <v>66</v>
      </c>
      <c r="C128" s="52" t="s">
        <v>416</v>
      </c>
      <c r="D128" s="52" t="s">
        <v>417</v>
      </c>
      <c r="E128" s="52" t="s">
        <v>387</v>
      </c>
      <c r="F128" s="52" t="s">
        <v>518</v>
      </c>
      <c r="G128" s="52" t="s">
        <v>60</v>
      </c>
      <c r="H128" s="54">
        <v>46082</v>
      </c>
      <c r="I128" s="52" t="s">
        <v>271</v>
      </c>
      <c r="J128" s="52" t="s">
        <v>519</v>
      </c>
      <c r="K128" s="52" t="s">
        <v>520</v>
      </c>
      <c r="L128" s="52" t="s">
        <v>520</v>
      </c>
      <c r="M128" s="52" t="s">
        <v>67</v>
      </c>
      <c r="N128" s="53">
        <v>-4600</v>
      </c>
      <c r="O128" s="53">
        <v>-15460.6</v>
      </c>
      <c r="P128" s="52" t="s">
        <v>521</v>
      </c>
      <c r="Q128" s="52" t="s">
        <v>522</v>
      </c>
      <c r="R128" s="52" t="s">
        <v>64</v>
      </c>
      <c r="S128" s="52" t="s">
        <v>519</v>
      </c>
    </row>
    <row r="129" spans="1:19" hidden="1" outlineLevel="2" x14ac:dyDescent="0.45">
      <c r="A129" t="s">
        <v>16</v>
      </c>
      <c r="B129" s="52" t="s">
        <v>66</v>
      </c>
      <c r="C129" s="52" t="s">
        <v>523</v>
      </c>
      <c r="D129" s="52" t="s">
        <v>524</v>
      </c>
      <c r="E129" s="52" t="s">
        <v>387</v>
      </c>
      <c r="F129" s="52" t="s">
        <v>525</v>
      </c>
      <c r="G129" s="52" t="s">
        <v>60</v>
      </c>
      <c r="H129" s="54">
        <v>46082</v>
      </c>
      <c r="I129" s="52" t="s">
        <v>271</v>
      </c>
      <c r="J129" s="52" t="s">
        <v>526</v>
      </c>
      <c r="K129" s="52" t="s">
        <v>527</v>
      </c>
      <c r="L129" s="52" t="s">
        <v>527</v>
      </c>
      <c r="M129" s="52" t="s">
        <v>67</v>
      </c>
      <c r="N129" s="53">
        <v>-3300</v>
      </c>
      <c r="O129" s="53">
        <v>-11266.2</v>
      </c>
      <c r="P129" s="52" t="s">
        <v>528</v>
      </c>
      <c r="Q129" s="52" t="s">
        <v>529</v>
      </c>
      <c r="R129" s="52" t="s">
        <v>64</v>
      </c>
      <c r="S129" s="52" t="s">
        <v>526</v>
      </c>
    </row>
    <row r="130" spans="1:19" hidden="1" outlineLevel="2" x14ac:dyDescent="0.45">
      <c r="A130" t="s">
        <v>16</v>
      </c>
      <c r="B130" s="52" t="s">
        <v>66</v>
      </c>
      <c r="C130" s="52" t="s">
        <v>523</v>
      </c>
      <c r="D130" s="52" t="s">
        <v>524</v>
      </c>
      <c r="E130" s="52" t="s">
        <v>387</v>
      </c>
      <c r="F130" s="52" t="s">
        <v>530</v>
      </c>
      <c r="G130" s="52" t="s">
        <v>60</v>
      </c>
      <c r="H130" s="54">
        <v>46082</v>
      </c>
      <c r="I130" s="52" t="s">
        <v>271</v>
      </c>
      <c r="J130" s="52" t="s">
        <v>314</v>
      </c>
      <c r="K130" s="52" t="s">
        <v>531</v>
      </c>
      <c r="L130" s="52" t="s">
        <v>531</v>
      </c>
      <c r="M130" s="52" t="s">
        <v>67</v>
      </c>
      <c r="N130" s="53">
        <v>-3000</v>
      </c>
      <c r="O130" s="53">
        <v>-10458</v>
      </c>
      <c r="P130" s="52" t="s">
        <v>532</v>
      </c>
      <c r="Q130" s="52" t="s">
        <v>533</v>
      </c>
      <c r="R130" s="52" t="s">
        <v>64</v>
      </c>
      <c r="S130" s="52" t="s">
        <v>314</v>
      </c>
    </row>
    <row r="131" spans="1:19" hidden="1" outlineLevel="2" x14ac:dyDescent="0.45">
      <c r="A131" t="s">
        <v>16</v>
      </c>
      <c r="B131" s="52" t="s">
        <v>57</v>
      </c>
      <c r="C131" s="52" t="s">
        <v>427</v>
      </c>
      <c r="D131" s="52" t="s">
        <v>428</v>
      </c>
      <c r="E131" s="52" t="s">
        <v>387</v>
      </c>
      <c r="F131" s="52" t="s">
        <v>504</v>
      </c>
      <c r="G131" s="52" t="s">
        <v>60</v>
      </c>
      <c r="H131" s="54">
        <v>46082</v>
      </c>
      <c r="I131" s="52" t="s">
        <v>271</v>
      </c>
      <c r="J131" s="52" t="s">
        <v>314</v>
      </c>
      <c r="K131" s="52" t="s">
        <v>534</v>
      </c>
      <c r="L131" s="52" t="s">
        <v>535</v>
      </c>
      <c r="M131" s="52" t="s">
        <v>29</v>
      </c>
      <c r="N131" s="53">
        <v>-10313.81</v>
      </c>
      <c r="O131" s="53">
        <v>-10313.81</v>
      </c>
      <c r="P131" s="52" t="s">
        <v>434</v>
      </c>
      <c r="Q131" s="52" t="s">
        <v>507</v>
      </c>
      <c r="R131" s="52" t="s">
        <v>64</v>
      </c>
      <c r="S131" s="52" t="s">
        <v>314</v>
      </c>
    </row>
    <row r="132" spans="1:19" hidden="1" outlineLevel="2" x14ac:dyDescent="0.45">
      <c r="A132" t="s">
        <v>16</v>
      </c>
      <c r="B132" s="52" t="s">
        <v>66</v>
      </c>
      <c r="C132" s="52" t="s">
        <v>398</v>
      </c>
      <c r="D132" s="52" t="s">
        <v>399</v>
      </c>
      <c r="E132" s="52" t="s">
        <v>387</v>
      </c>
      <c r="F132" s="52" t="s">
        <v>536</v>
      </c>
      <c r="G132" s="52" t="s">
        <v>60</v>
      </c>
      <c r="H132" s="54">
        <v>46082</v>
      </c>
      <c r="I132" s="52" t="s">
        <v>271</v>
      </c>
      <c r="J132" s="52" t="s">
        <v>314</v>
      </c>
      <c r="K132" s="52" t="s">
        <v>537</v>
      </c>
      <c r="L132" s="52" t="s">
        <v>537</v>
      </c>
      <c r="M132" s="52" t="s">
        <v>67</v>
      </c>
      <c r="N132" s="53">
        <v>-2760</v>
      </c>
      <c r="O132" s="53">
        <v>-9621.36</v>
      </c>
      <c r="P132" s="52" t="s">
        <v>538</v>
      </c>
      <c r="Q132" s="52" t="s">
        <v>539</v>
      </c>
      <c r="R132" s="52" t="s">
        <v>64</v>
      </c>
      <c r="S132" s="52" t="s">
        <v>314</v>
      </c>
    </row>
    <row r="133" spans="1:19" hidden="1" outlineLevel="2" x14ac:dyDescent="0.45">
      <c r="A133" t="s">
        <v>16</v>
      </c>
      <c r="B133" s="52" t="s">
        <v>57</v>
      </c>
      <c r="C133" s="52" t="s">
        <v>438</v>
      </c>
      <c r="D133" s="52" t="s">
        <v>439</v>
      </c>
      <c r="E133" s="52" t="s">
        <v>387</v>
      </c>
      <c r="F133" s="52" t="s">
        <v>504</v>
      </c>
      <c r="G133" s="52" t="s">
        <v>60</v>
      </c>
      <c r="H133" s="54">
        <v>46082</v>
      </c>
      <c r="I133" s="52" t="s">
        <v>271</v>
      </c>
      <c r="J133" s="52" t="s">
        <v>314</v>
      </c>
      <c r="K133" s="52" t="s">
        <v>540</v>
      </c>
      <c r="L133" s="52" t="s">
        <v>541</v>
      </c>
      <c r="M133" s="52" t="s">
        <v>29</v>
      </c>
      <c r="N133" s="53">
        <v>-8199.64</v>
      </c>
      <c r="O133" s="53">
        <v>-8199.64</v>
      </c>
      <c r="P133" s="52" t="s">
        <v>434</v>
      </c>
      <c r="Q133" s="52" t="s">
        <v>507</v>
      </c>
      <c r="R133" s="52" t="s">
        <v>64</v>
      </c>
      <c r="S133" s="52" t="s">
        <v>314</v>
      </c>
    </row>
    <row r="134" spans="1:19" hidden="1" outlineLevel="2" x14ac:dyDescent="0.45">
      <c r="A134" t="s">
        <v>16</v>
      </c>
      <c r="B134" s="52" t="s">
        <v>57</v>
      </c>
      <c r="C134" s="52" t="s">
        <v>349</v>
      </c>
      <c r="D134" s="52" t="s">
        <v>350</v>
      </c>
      <c r="E134" s="52" t="s">
        <v>387</v>
      </c>
      <c r="F134" s="52" t="s">
        <v>504</v>
      </c>
      <c r="G134" s="52" t="s">
        <v>60</v>
      </c>
      <c r="H134" s="54">
        <v>46082</v>
      </c>
      <c r="I134" s="52" t="s">
        <v>271</v>
      </c>
      <c r="J134" s="52" t="s">
        <v>314</v>
      </c>
      <c r="K134" s="52" t="s">
        <v>497</v>
      </c>
      <c r="L134" s="52" t="s">
        <v>498</v>
      </c>
      <c r="M134" s="52" t="s">
        <v>29</v>
      </c>
      <c r="N134" s="53">
        <v>-7661.61</v>
      </c>
      <c r="O134" s="53">
        <v>-7661.61</v>
      </c>
      <c r="P134" s="52" t="s">
        <v>434</v>
      </c>
      <c r="Q134" s="52" t="s">
        <v>507</v>
      </c>
      <c r="R134" s="52" t="s">
        <v>64</v>
      </c>
      <c r="S134" s="52" t="s">
        <v>314</v>
      </c>
    </row>
    <row r="135" spans="1:19" hidden="1" outlineLevel="2" x14ac:dyDescent="0.45">
      <c r="A135" t="s">
        <v>16</v>
      </c>
      <c r="B135" s="52" t="s">
        <v>57</v>
      </c>
      <c r="C135" s="52" t="s">
        <v>448</v>
      </c>
      <c r="D135" s="52" t="s">
        <v>449</v>
      </c>
      <c r="E135" s="52" t="s">
        <v>387</v>
      </c>
      <c r="F135" s="52" t="s">
        <v>542</v>
      </c>
      <c r="G135" s="52" t="s">
        <v>60</v>
      </c>
      <c r="H135" s="54">
        <v>46082</v>
      </c>
      <c r="I135" s="52" t="s">
        <v>271</v>
      </c>
      <c r="J135" s="52" t="s">
        <v>272</v>
      </c>
      <c r="K135" s="52" t="s">
        <v>543</v>
      </c>
      <c r="L135" s="52" t="s">
        <v>543</v>
      </c>
      <c r="M135" s="52" t="s">
        <v>29</v>
      </c>
      <c r="N135" s="53">
        <v>-5000</v>
      </c>
      <c r="O135" s="53">
        <v>-5000</v>
      </c>
      <c r="P135" s="52" t="s">
        <v>544</v>
      </c>
      <c r="Q135" s="52" t="s">
        <v>545</v>
      </c>
      <c r="R135" s="52" t="s">
        <v>64</v>
      </c>
      <c r="S135" s="52" t="s">
        <v>272</v>
      </c>
    </row>
    <row r="136" spans="1:19" hidden="1" outlineLevel="2" x14ac:dyDescent="0.45">
      <c r="A136" t="s">
        <v>16</v>
      </c>
      <c r="B136" s="52" t="s">
        <v>57</v>
      </c>
      <c r="C136" s="52" t="s">
        <v>349</v>
      </c>
      <c r="D136" s="52" t="s">
        <v>350</v>
      </c>
      <c r="E136" s="52" t="s">
        <v>387</v>
      </c>
      <c r="F136" s="52" t="s">
        <v>512</v>
      </c>
      <c r="G136" s="52" t="s">
        <v>60</v>
      </c>
      <c r="H136" s="54">
        <v>46082</v>
      </c>
      <c r="I136" s="52" t="s">
        <v>271</v>
      </c>
      <c r="J136" s="52" t="s">
        <v>513</v>
      </c>
      <c r="K136" s="52" t="s">
        <v>497</v>
      </c>
      <c r="L136" s="52" t="s">
        <v>498</v>
      </c>
      <c r="M136" s="52" t="s">
        <v>29</v>
      </c>
      <c r="N136" s="53">
        <v>-4726.93</v>
      </c>
      <c r="O136" s="53">
        <v>-4726.93</v>
      </c>
      <c r="P136" s="52" t="s">
        <v>434</v>
      </c>
      <c r="Q136" s="52" t="s">
        <v>517</v>
      </c>
      <c r="R136" s="52" t="s">
        <v>64</v>
      </c>
      <c r="S136" s="52" t="s">
        <v>513</v>
      </c>
    </row>
    <row r="137" spans="1:19" hidden="1" outlineLevel="2" x14ac:dyDescent="0.45">
      <c r="A137" t="s">
        <v>16</v>
      </c>
      <c r="B137" s="52" t="s">
        <v>57</v>
      </c>
      <c r="C137" s="52" t="s">
        <v>349</v>
      </c>
      <c r="D137" s="52" t="s">
        <v>350</v>
      </c>
      <c r="E137" s="52" t="s">
        <v>387</v>
      </c>
      <c r="F137" s="52" t="s">
        <v>546</v>
      </c>
      <c r="G137" s="52" t="s">
        <v>60</v>
      </c>
      <c r="H137" s="54">
        <v>46082</v>
      </c>
      <c r="I137" s="52" t="s">
        <v>271</v>
      </c>
      <c r="J137" s="52" t="s">
        <v>314</v>
      </c>
      <c r="K137" s="52" t="s">
        <v>547</v>
      </c>
      <c r="L137" s="52" t="s">
        <v>548</v>
      </c>
      <c r="M137" s="52" t="s">
        <v>29</v>
      </c>
      <c r="N137" s="53">
        <v>-1500</v>
      </c>
      <c r="O137" s="53">
        <v>-1500</v>
      </c>
      <c r="P137" s="52" t="s">
        <v>425</v>
      </c>
      <c r="Q137" s="52" t="s">
        <v>549</v>
      </c>
      <c r="R137" s="52" t="s">
        <v>64</v>
      </c>
      <c r="S137" s="52" t="s">
        <v>314</v>
      </c>
    </row>
    <row r="138" spans="1:19" hidden="1" outlineLevel="2" x14ac:dyDescent="0.45">
      <c r="A138" t="s">
        <v>16</v>
      </c>
      <c r="B138" s="52" t="s">
        <v>57</v>
      </c>
      <c r="C138" s="52" t="s">
        <v>455</v>
      </c>
      <c r="D138" s="52" t="s">
        <v>456</v>
      </c>
      <c r="E138" s="52" t="s">
        <v>387</v>
      </c>
      <c r="F138" s="52" t="s">
        <v>508</v>
      </c>
      <c r="G138" s="52" t="s">
        <v>60</v>
      </c>
      <c r="H138" s="54">
        <v>46082</v>
      </c>
      <c r="I138" s="52" t="s">
        <v>271</v>
      </c>
      <c r="J138" s="52" t="s">
        <v>314</v>
      </c>
      <c r="K138" s="52" t="s">
        <v>550</v>
      </c>
      <c r="L138" s="52" t="s">
        <v>550</v>
      </c>
      <c r="M138" s="52" t="s">
        <v>29</v>
      </c>
      <c r="N138" s="53">
        <v>-600</v>
      </c>
      <c r="O138" s="53">
        <v>-600</v>
      </c>
      <c r="P138" s="52" t="s">
        <v>551</v>
      </c>
      <c r="Q138" s="52" t="s">
        <v>511</v>
      </c>
      <c r="R138" s="52" t="s">
        <v>64</v>
      </c>
      <c r="S138" s="52" t="s">
        <v>314</v>
      </c>
    </row>
    <row r="139" spans="1:19" outlineLevel="1" collapsed="1" x14ac:dyDescent="0.45">
      <c r="A139" s="1" t="s">
        <v>552</v>
      </c>
      <c r="B139" s="52"/>
      <c r="C139" s="52"/>
      <c r="D139" s="52"/>
      <c r="E139" s="52"/>
      <c r="F139" s="52"/>
      <c r="G139" s="52"/>
      <c r="H139" s="54"/>
      <c r="I139" s="52"/>
      <c r="J139" s="52"/>
      <c r="K139" s="52"/>
      <c r="L139" s="52"/>
      <c r="M139" s="52"/>
      <c r="N139" s="53"/>
      <c r="O139" s="53">
        <f>SUBTOTAL(9,O97:O138)</f>
        <v>-835295.83000000007</v>
      </c>
      <c r="P139" s="52"/>
      <c r="Q139" s="52"/>
      <c r="R139" s="52"/>
      <c r="S139" s="52"/>
    </row>
    <row r="140" spans="1:19" outlineLevel="2" x14ac:dyDescent="0.45">
      <c r="A140" t="s">
        <v>17</v>
      </c>
      <c r="B140" s="52" t="s">
        <v>57</v>
      </c>
      <c r="C140" s="52" t="s">
        <v>349</v>
      </c>
      <c r="D140" s="52" t="s">
        <v>350</v>
      </c>
      <c r="E140" s="52" t="s">
        <v>387</v>
      </c>
      <c r="F140" s="52" t="s">
        <v>553</v>
      </c>
      <c r="G140" s="52" t="s">
        <v>60</v>
      </c>
      <c r="H140" s="54">
        <v>46023</v>
      </c>
      <c r="I140" s="52" t="s">
        <v>74</v>
      </c>
      <c r="J140" s="52" t="s">
        <v>210</v>
      </c>
      <c r="K140" s="52" t="s">
        <v>554</v>
      </c>
      <c r="L140" s="52" t="s">
        <v>554</v>
      </c>
      <c r="M140" s="52" t="s">
        <v>29</v>
      </c>
      <c r="N140" s="53">
        <v>-1</v>
      </c>
      <c r="O140" s="53">
        <v>-1</v>
      </c>
      <c r="P140" s="52" t="s">
        <v>555</v>
      </c>
      <c r="Q140" s="52" t="s">
        <v>556</v>
      </c>
      <c r="R140" s="52" t="s">
        <v>64</v>
      </c>
      <c r="S140" s="52" t="s">
        <v>210</v>
      </c>
    </row>
    <row r="141" spans="1:19" outlineLevel="2" x14ac:dyDescent="0.45">
      <c r="A141" t="s">
        <v>17</v>
      </c>
      <c r="B141" s="52" t="s">
        <v>57</v>
      </c>
      <c r="C141" s="52" t="s">
        <v>349</v>
      </c>
      <c r="D141" s="52" t="s">
        <v>350</v>
      </c>
      <c r="E141" s="52" t="s">
        <v>387</v>
      </c>
      <c r="F141" s="52" t="s">
        <v>557</v>
      </c>
      <c r="G141" s="52" t="s">
        <v>60</v>
      </c>
      <c r="H141" s="54">
        <v>46023</v>
      </c>
      <c r="I141" s="52" t="s">
        <v>74</v>
      </c>
      <c r="J141" s="52" t="s">
        <v>210</v>
      </c>
      <c r="K141" s="52" t="s">
        <v>554</v>
      </c>
      <c r="L141" s="52" t="s">
        <v>554</v>
      </c>
      <c r="M141" s="52" t="s">
        <v>29</v>
      </c>
      <c r="N141" s="53">
        <v>-1</v>
      </c>
      <c r="O141" s="53">
        <v>-1</v>
      </c>
      <c r="P141" s="52" t="s">
        <v>555</v>
      </c>
      <c r="Q141" s="52" t="s">
        <v>556</v>
      </c>
      <c r="R141" s="52" t="s">
        <v>64</v>
      </c>
      <c r="S141" s="52" t="s">
        <v>210</v>
      </c>
    </row>
    <row r="142" spans="1:19" outlineLevel="2" x14ac:dyDescent="0.45">
      <c r="A142" t="s">
        <v>17</v>
      </c>
      <c r="B142" s="52" t="s">
        <v>57</v>
      </c>
      <c r="C142" s="52" t="s">
        <v>349</v>
      </c>
      <c r="D142" s="52" t="s">
        <v>350</v>
      </c>
      <c r="E142" s="52" t="s">
        <v>387</v>
      </c>
      <c r="F142" s="52" t="s">
        <v>558</v>
      </c>
      <c r="G142" s="52" t="s">
        <v>60</v>
      </c>
      <c r="H142" s="54">
        <v>46023</v>
      </c>
      <c r="I142" s="52" t="s">
        <v>74</v>
      </c>
      <c r="J142" s="52" t="s">
        <v>107</v>
      </c>
      <c r="K142" s="52" t="s">
        <v>554</v>
      </c>
      <c r="L142" s="52" t="s">
        <v>554</v>
      </c>
      <c r="M142" s="52" t="s">
        <v>29</v>
      </c>
      <c r="N142" s="53">
        <v>-3.5</v>
      </c>
      <c r="O142" s="53">
        <v>-3.5</v>
      </c>
      <c r="P142" s="52" t="s">
        <v>555</v>
      </c>
      <c r="Q142" s="52" t="s">
        <v>556</v>
      </c>
      <c r="R142" s="52" t="s">
        <v>64</v>
      </c>
      <c r="S142" s="52" t="s">
        <v>107</v>
      </c>
    </row>
    <row r="143" spans="1:19" outlineLevel="2" x14ac:dyDescent="0.45">
      <c r="A143" t="s">
        <v>17</v>
      </c>
      <c r="B143" s="52" t="s">
        <v>57</v>
      </c>
      <c r="C143" s="52" t="s">
        <v>349</v>
      </c>
      <c r="D143" s="52" t="s">
        <v>350</v>
      </c>
      <c r="E143" s="52" t="s">
        <v>387</v>
      </c>
      <c r="F143" s="52" t="s">
        <v>559</v>
      </c>
      <c r="G143" s="52" t="s">
        <v>60</v>
      </c>
      <c r="H143" s="54">
        <v>46023</v>
      </c>
      <c r="I143" s="52" t="s">
        <v>74</v>
      </c>
      <c r="J143" s="52" t="s">
        <v>107</v>
      </c>
      <c r="K143" s="52" t="s">
        <v>554</v>
      </c>
      <c r="L143" s="52" t="s">
        <v>554</v>
      </c>
      <c r="M143" s="52" t="s">
        <v>29</v>
      </c>
      <c r="N143" s="53">
        <v>-3.5</v>
      </c>
      <c r="O143" s="53">
        <v>-3.5</v>
      </c>
      <c r="P143" s="52" t="s">
        <v>555</v>
      </c>
      <c r="Q143" s="52" t="s">
        <v>556</v>
      </c>
      <c r="R143" s="52" t="s">
        <v>64</v>
      </c>
      <c r="S143" s="52" t="s">
        <v>107</v>
      </c>
    </row>
    <row r="144" spans="1:19" outlineLevel="2" x14ac:dyDescent="0.45">
      <c r="A144" t="s">
        <v>17</v>
      </c>
      <c r="B144" s="52" t="s">
        <v>57</v>
      </c>
      <c r="C144" s="52" t="s">
        <v>349</v>
      </c>
      <c r="D144" s="52" t="s">
        <v>350</v>
      </c>
      <c r="E144" s="52" t="s">
        <v>387</v>
      </c>
      <c r="F144" s="52" t="s">
        <v>560</v>
      </c>
      <c r="G144" s="52" t="s">
        <v>60</v>
      </c>
      <c r="H144" s="54">
        <v>46023</v>
      </c>
      <c r="I144" s="52" t="s">
        <v>74</v>
      </c>
      <c r="J144" s="52" t="s">
        <v>107</v>
      </c>
      <c r="K144" s="52" t="s">
        <v>554</v>
      </c>
      <c r="L144" s="52" t="s">
        <v>554</v>
      </c>
      <c r="M144" s="52" t="s">
        <v>29</v>
      </c>
      <c r="N144" s="53">
        <v>-3.5</v>
      </c>
      <c r="O144" s="53">
        <v>-3.5</v>
      </c>
      <c r="P144" s="52" t="s">
        <v>555</v>
      </c>
      <c r="Q144" s="52" t="s">
        <v>556</v>
      </c>
      <c r="R144" s="52" t="s">
        <v>64</v>
      </c>
      <c r="S144" s="52" t="s">
        <v>107</v>
      </c>
    </row>
    <row r="145" spans="1:19" outlineLevel="2" x14ac:dyDescent="0.45">
      <c r="A145" t="s">
        <v>17</v>
      </c>
      <c r="B145" s="52" t="s">
        <v>57</v>
      </c>
      <c r="C145" s="52" t="s">
        <v>349</v>
      </c>
      <c r="D145" s="52" t="s">
        <v>350</v>
      </c>
      <c r="E145" s="52" t="s">
        <v>387</v>
      </c>
      <c r="F145" s="52" t="s">
        <v>561</v>
      </c>
      <c r="G145" s="52" t="s">
        <v>60</v>
      </c>
      <c r="H145" s="54">
        <v>46023</v>
      </c>
      <c r="I145" s="52" t="s">
        <v>74</v>
      </c>
      <c r="J145" s="52" t="s">
        <v>107</v>
      </c>
      <c r="K145" s="52" t="s">
        <v>554</v>
      </c>
      <c r="L145" s="52" t="s">
        <v>554</v>
      </c>
      <c r="M145" s="52" t="s">
        <v>29</v>
      </c>
      <c r="N145" s="53">
        <v>-3.5</v>
      </c>
      <c r="O145" s="53">
        <v>-3.5</v>
      </c>
      <c r="P145" s="52" t="s">
        <v>555</v>
      </c>
      <c r="Q145" s="52" t="s">
        <v>556</v>
      </c>
      <c r="R145" s="52" t="s">
        <v>64</v>
      </c>
      <c r="S145" s="52" t="s">
        <v>107</v>
      </c>
    </row>
    <row r="146" spans="1:19" outlineLevel="2" x14ac:dyDescent="0.45">
      <c r="A146" t="s">
        <v>17</v>
      </c>
      <c r="B146" s="52" t="s">
        <v>57</v>
      </c>
      <c r="C146" s="52" t="s">
        <v>349</v>
      </c>
      <c r="D146" s="52" t="s">
        <v>350</v>
      </c>
      <c r="E146" s="52" t="s">
        <v>387</v>
      </c>
      <c r="F146" s="52" t="s">
        <v>562</v>
      </c>
      <c r="G146" s="52" t="s">
        <v>60</v>
      </c>
      <c r="H146" s="54">
        <v>46023</v>
      </c>
      <c r="I146" s="52" t="s">
        <v>74</v>
      </c>
      <c r="J146" s="52" t="s">
        <v>107</v>
      </c>
      <c r="K146" s="52" t="s">
        <v>554</v>
      </c>
      <c r="L146" s="52" t="s">
        <v>554</v>
      </c>
      <c r="M146" s="52" t="s">
        <v>29</v>
      </c>
      <c r="N146" s="53">
        <v>-3.5</v>
      </c>
      <c r="O146" s="53">
        <v>-3.5</v>
      </c>
      <c r="P146" s="52" t="s">
        <v>555</v>
      </c>
      <c r="Q146" s="52" t="s">
        <v>556</v>
      </c>
      <c r="R146" s="52" t="s">
        <v>64</v>
      </c>
      <c r="S146" s="52" t="s">
        <v>107</v>
      </c>
    </row>
    <row r="147" spans="1:19" outlineLevel="2" x14ac:dyDescent="0.45">
      <c r="A147" t="s">
        <v>17</v>
      </c>
      <c r="B147" s="52" t="s">
        <v>57</v>
      </c>
      <c r="C147" s="52" t="s">
        <v>349</v>
      </c>
      <c r="D147" s="52" t="s">
        <v>350</v>
      </c>
      <c r="E147" s="52" t="s">
        <v>387</v>
      </c>
      <c r="F147" s="52" t="s">
        <v>563</v>
      </c>
      <c r="G147" s="52" t="s">
        <v>60</v>
      </c>
      <c r="H147" s="54">
        <v>46023</v>
      </c>
      <c r="I147" s="52" t="s">
        <v>74</v>
      </c>
      <c r="J147" s="52" t="s">
        <v>107</v>
      </c>
      <c r="K147" s="52" t="s">
        <v>554</v>
      </c>
      <c r="L147" s="52" t="s">
        <v>554</v>
      </c>
      <c r="M147" s="52" t="s">
        <v>29</v>
      </c>
      <c r="N147" s="53">
        <v>-3.5</v>
      </c>
      <c r="O147" s="53">
        <v>-3.5</v>
      </c>
      <c r="P147" s="52" t="s">
        <v>555</v>
      </c>
      <c r="Q147" s="52" t="s">
        <v>556</v>
      </c>
      <c r="R147" s="52" t="s">
        <v>64</v>
      </c>
      <c r="S147" s="52" t="s">
        <v>107</v>
      </c>
    </row>
    <row r="148" spans="1:19" outlineLevel="2" x14ac:dyDescent="0.45">
      <c r="A148" t="s">
        <v>17</v>
      </c>
      <c r="B148" s="52" t="s">
        <v>57</v>
      </c>
      <c r="C148" s="52" t="s">
        <v>349</v>
      </c>
      <c r="D148" s="52" t="s">
        <v>350</v>
      </c>
      <c r="E148" s="52" t="s">
        <v>387</v>
      </c>
      <c r="F148" s="52" t="s">
        <v>564</v>
      </c>
      <c r="G148" s="52" t="s">
        <v>60</v>
      </c>
      <c r="H148" s="54">
        <v>46023</v>
      </c>
      <c r="I148" s="52" t="s">
        <v>74</v>
      </c>
      <c r="J148" s="52" t="s">
        <v>107</v>
      </c>
      <c r="K148" s="52" t="s">
        <v>554</v>
      </c>
      <c r="L148" s="52" t="s">
        <v>554</v>
      </c>
      <c r="M148" s="52" t="s">
        <v>29</v>
      </c>
      <c r="N148" s="53">
        <v>-3.5</v>
      </c>
      <c r="O148" s="53">
        <v>-3.5</v>
      </c>
      <c r="P148" s="52" t="s">
        <v>555</v>
      </c>
      <c r="Q148" s="52" t="s">
        <v>556</v>
      </c>
      <c r="R148" s="52" t="s">
        <v>64</v>
      </c>
      <c r="S148" s="52" t="s">
        <v>107</v>
      </c>
    </row>
    <row r="149" spans="1:19" outlineLevel="2" x14ac:dyDescent="0.45">
      <c r="A149" t="s">
        <v>17</v>
      </c>
      <c r="B149" s="52" t="s">
        <v>57</v>
      </c>
      <c r="C149" s="52" t="s">
        <v>349</v>
      </c>
      <c r="D149" s="52" t="s">
        <v>350</v>
      </c>
      <c r="E149" s="52" t="s">
        <v>387</v>
      </c>
      <c r="F149" s="52" t="s">
        <v>565</v>
      </c>
      <c r="G149" s="52" t="s">
        <v>60</v>
      </c>
      <c r="H149" s="54">
        <v>46023</v>
      </c>
      <c r="I149" s="52" t="s">
        <v>74</v>
      </c>
      <c r="J149" s="52" t="s">
        <v>107</v>
      </c>
      <c r="K149" s="52" t="s">
        <v>554</v>
      </c>
      <c r="L149" s="52" t="s">
        <v>554</v>
      </c>
      <c r="M149" s="52" t="s">
        <v>29</v>
      </c>
      <c r="N149" s="53">
        <v>-3.5</v>
      </c>
      <c r="O149" s="53">
        <v>-3.5</v>
      </c>
      <c r="P149" s="52" t="s">
        <v>555</v>
      </c>
      <c r="Q149" s="52" t="s">
        <v>556</v>
      </c>
      <c r="R149" s="52" t="s">
        <v>64</v>
      </c>
      <c r="S149" s="52" t="s">
        <v>107</v>
      </c>
    </row>
    <row r="150" spans="1:19" outlineLevel="2" x14ac:dyDescent="0.45">
      <c r="A150" t="s">
        <v>17</v>
      </c>
      <c r="B150" s="52" t="s">
        <v>57</v>
      </c>
      <c r="C150" s="52" t="s">
        <v>349</v>
      </c>
      <c r="D150" s="52" t="s">
        <v>350</v>
      </c>
      <c r="E150" s="52" t="s">
        <v>387</v>
      </c>
      <c r="F150" s="52" t="s">
        <v>566</v>
      </c>
      <c r="G150" s="52" t="s">
        <v>60</v>
      </c>
      <c r="H150" s="54">
        <v>46023</v>
      </c>
      <c r="I150" s="52" t="s">
        <v>74</v>
      </c>
      <c r="J150" s="52" t="s">
        <v>107</v>
      </c>
      <c r="K150" s="52" t="s">
        <v>554</v>
      </c>
      <c r="L150" s="52" t="s">
        <v>554</v>
      </c>
      <c r="M150" s="52" t="s">
        <v>29</v>
      </c>
      <c r="N150" s="53">
        <v>-3.5</v>
      </c>
      <c r="O150" s="53">
        <v>-3.5</v>
      </c>
      <c r="P150" s="52" t="s">
        <v>555</v>
      </c>
      <c r="Q150" s="52" t="s">
        <v>556</v>
      </c>
      <c r="R150" s="52" t="s">
        <v>64</v>
      </c>
      <c r="S150" s="52" t="s">
        <v>107</v>
      </c>
    </row>
    <row r="151" spans="1:19" outlineLevel="2" x14ac:dyDescent="0.45">
      <c r="A151" t="s">
        <v>17</v>
      </c>
      <c r="B151" s="52" t="s">
        <v>57</v>
      </c>
      <c r="C151" s="52" t="s">
        <v>349</v>
      </c>
      <c r="D151" s="52" t="s">
        <v>350</v>
      </c>
      <c r="E151" s="52" t="s">
        <v>387</v>
      </c>
      <c r="F151" s="52" t="s">
        <v>567</v>
      </c>
      <c r="G151" s="52" t="s">
        <v>60</v>
      </c>
      <c r="H151" s="54">
        <v>46023</v>
      </c>
      <c r="I151" s="52" t="s">
        <v>74</v>
      </c>
      <c r="J151" s="52" t="s">
        <v>107</v>
      </c>
      <c r="K151" s="52" t="s">
        <v>554</v>
      </c>
      <c r="L151" s="52" t="s">
        <v>554</v>
      </c>
      <c r="M151" s="52" t="s">
        <v>29</v>
      </c>
      <c r="N151" s="53">
        <v>-3.5</v>
      </c>
      <c r="O151" s="53">
        <v>-3.5</v>
      </c>
      <c r="P151" s="52" t="s">
        <v>555</v>
      </c>
      <c r="Q151" s="52" t="s">
        <v>556</v>
      </c>
      <c r="R151" s="52" t="s">
        <v>64</v>
      </c>
      <c r="S151" s="52" t="s">
        <v>107</v>
      </c>
    </row>
    <row r="152" spans="1:19" outlineLevel="2" x14ac:dyDescent="0.45">
      <c r="A152" t="s">
        <v>17</v>
      </c>
      <c r="B152" s="52" t="s">
        <v>57</v>
      </c>
      <c r="C152" s="52" t="s">
        <v>349</v>
      </c>
      <c r="D152" s="52" t="s">
        <v>350</v>
      </c>
      <c r="E152" s="52" t="s">
        <v>387</v>
      </c>
      <c r="F152" s="52" t="s">
        <v>568</v>
      </c>
      <c r="G152" s="52" t="s">
        <v>60</v>
      </c>
      <c r="H152" s="54">
        <v>46023</v>
      </c>
      <c r="I152" s="52" t="s">
        <v>74</v>
      </c>
      <c r="J152" s="52" t="s">
        <v>107</v>
      </c>
      <c r="K152" s="52" t="s">
        <v>554</v>
      </c>
      <c r="L152" s="52" t="s">
        <v>554</v>
      </c>
      <c r="M152" s="52" t="s">
        <v>29</v>
      </c>
      <c r="N152" s="53">
        <v>-3.5</v>
      </c>
      <c r="O152" s="53">
        <v>-3.5</v>
      </c>
      <c r="P152" s="52" t="s">
        <v>555</v>
      </c>
      <c r="Q152" s="52" t="s">
        <v>556</v>
      </c>
      <c r="R152" s="52" t="s">
        <v>64</v>
      </c>
      <c r="S152" s="52" t="s">
        <v>107</v>
      </c>
    </row>
    <row r="153" spans="1:19" outlineLevel="2" x14ac:dyDescent="0.45">
      <c r="A153" t="s">
        <v>17</v>
      </c>
      <c r="B153" s="52" t="s">
        <v>57</v>
      </c>
      <c r="C153" s="52" t="s">
        <v>349</v>
      </c>
      <c r="D153" s="52" t="s">
        <v>350</v>
      </c>
      <c r="E153" s="52" t="s">
        <v>387</v>
      </c>
      <c r="F153" s="52" t="s">
        <v>569</v>
      </c>
      <c r="G153" s="52" t="s">
        <v>60</v>
      </c>
      <c r="H153" s="54">
        <v>46023</v>
      </c>
      <c r="I153" s="52" t="s">
        <v>74</v>
      </c>
      <c r="J153" s="52" t="s">
        <v>107</v>
      </c>
      <c r="K153" s="52" t="s">
        <v>554</v>
      </c>
      <c r="L153" s="52" t="s">
        <v>554</v>
      </c>
      <c r="M153" s="52" t="s">
        <v>29</v>
      </c>
      <c r="N153" s="53">
        <v>-3.5</v>
      </c>
      <c r="O153" s="53">
        <v>-3.5</v>
      </c>
      <c r="P153" s="52" t="s">
        <v>555</v>
      </c>
      <c r="Q153" s="52" t="s">
        <v>556</v>
      </c>
      <c r="R153" s="52" t="s">
        <v>64</v>
      </c>
      <c r="S153" s="52" t="s">
        <v>107</v>
      </c>
    </row>
    <row r="154" spans="1:19" outlineLevel="2" x14ac:dyDescent="0.45">
      <c r="A154" t="s">
        <v>17</v>
      </c>
      <c r="B154" s="52" t="s">
        <v>57</v>
      </c>
      <c r="C154" s="52" t="s">
        <v>349</v>
      </c>
      <c r="D154" s="52" t="s">
        <v>350</v>
      </c>
      <c r="E154" s="52" t="s">
        <v>387</v>
      </c>
      <c r="F154" s="52" t="s">
        <v>570</v>
      </c>
      <c r="G154" s="52" t="s">
        <v>60</v>
      </c>
      <c r="H154" s="54">
        <v>46023</v>
      </c>
      <c r="I154" s="52" t="s">
        <v>74</v>
      </c>
      <c r="J154" s="52" t="s">
        <v>210</v>
      </c>
      <c r="K154" s="52" t="s">
        <v>554</v>
      </c>
      <c r="L154" s="52" t="s">
        <v>554</v>
      </c>
      <c r="M154" s="52" t="s">
        <v>29</v>
      </c>
      <c r="N154" s="53">
        <v>-3.5</v>
      </c>
      <c r="O154" s="53">
        <v>-3.5</v>
      </c>
      <c r="P154" s="52" t="s">
        <v>555</v>
      </c>
      <c r="Q154" s="52" t="s">
        <v>556</v>
      </c>
      <c r="R154" s="52" t="s">
        <v>64</v>
      </c>
      <c r="S154" s="52" t="s">
        <v>210</v>
      </c>
    </row>
    <row r="155" spans="1:19" outlineLevel="2" x14ac:dyDescent="0.45">
      <c r="A155" t="s">
        <v>17</v>
      </c>
      <c r="B155" s="52" t="s">
        <v>57</v>
      </c>
      <c r="C155" s="52" t="s">
        <v>349</v>
      </c>
      <c r="D155" s="52" t="s">
        <v>350</v>
      </c>
      <c r="E155" s="52" t="s">
        <v>387</v>
      </c>
      <c r="F155" s="52" t="s">
        <v>571</v>
      </c>
      <c r="G155" s="52" t="s">
        <v>60</v>
      </c>
      <c r="H155" s="54">
        <v>46023</v>
      </c>
      <c r="I155" s="52" t="s">
        <v>74</v>
      </c>
      <c r="J155" s="52" t="s">
        <v>99</v>
      </c>
      <c r="K155" s="52" t="s">
        <v>554</v>
      </c>
      <c r="L155" s="52" t="s">
        <v>554</v>
      </c>
      <c r="M155" s="52" t="s">
        <v>29</v>
      </c>
      <c r="N155" s="53">
        <v>-4.3</v>
      </c>
      <c r="O155" s="53">
        <v>-4.3</v>
      </c>
      <c r="P155" s="52" t="s">
        <v>555</v>
      </c>
      <c r="Q155" s="52" t="s">
        <v>556</v>
      </c>
      <c r="R155" s="52" t="s">
        <v>64</v>
      </c>
      <c r="S155" s="52" t="s">
        <v>99</v>
      </c>
    </row>
    <row r="156" spans="1:19" outlineLevel="2" x14ac:dyDescent="0.45">
      <c r="A156" t="s">
        <v>17</v>
      </c>
      <c r="B156" s="52" t="s">
        <v>57</v>
      </c>
      <c r="C156" s="52" t="s">
        <v>349</v>
      </c>
      <c r="D156" s="52" t="s">
        <v>350</v>
      </c>
      <c r="E156" s="52" t="s">
        <v>387</v>
      </c>
      <c r="F156" s="52" t="s">
        <v>572</v>
      </c>
      <c r="G156" s="52" t="s">
        <v>60</v>
      </c>
      <c r="H156" s="54">
        <v>46023</v>
      </c>
      <c r="I156" s="52" t="s">
        <v>74</v>
      </c>
      <c r="J156" s="52" t="s">
        <v>210</v>
      </c>
      <c r="K156" s="52" t="s">
        <v>554</v>
      </c>
      <c r="L156" s="52" t="s">
        <v>554</v>
      </c>
      <c r="M156" s="52" t="s">
        <v>29</v>
      </c>
      <c r="N156" s="53">
        <v>-4.3</v>
      </c>
      <c r="O156" s="53">
        <v>-4.3</v>
      </c>
      <c r="P156" s="52" t="s">
        <v>555</v>
      </c>
      <c r="Q156" s="52" t="s">
        <v>556</v>
      </c>
      <c r="R156" s="52" t="s">
        <v>64</v>
      </c>
      <c r="S156" s="52" t="s">
        <v>210</v>
      </c>
    </row>
    <row r="157" spans="1:19" outlineLevel="2" x14ac:dyDescent="0.45">
      <c r="A157" t="s">
        <v>17</v>
      </c>
      <c r="B157" s="52" t="s">
        <v>57</v>
      </c>
      <c r="C157" s="52" t="s">
        <v>349</v>
      </c>
      <c r="D157" s="52" t="s">
        <v>350</v>
      </c>
      <c r="E157" s="52" t="s">
        <v>387</v>
      </c>
      <c r="F157" s="52" t="s">
        <v>573</v>
      </c>
      <c r="G157" s="52" t="s">
        <v>60</v>
      </c>
      <c r="H157" s="54">
        <v>46023</v>
      </c>
      <c r="I157" s="52" t="s">
        <v>74</v>
      </c>
      <c r="J157" s="52" t="s">
        <v>210</v>
      </c>
      <c r="K157" s="52" t="s">
        <v>554</v>
      </c>
      <c r="L157" s="52" t="s">
        <v>554</v>
      </c>
      <c r="M157" s="52" t="s">
        <v>29</v>
      </c>
      <c r="N157" s="53">
        <v>-4.3</v>
      </c>
      <c r="O157" s="53">
        <v>-4.3</v>
      </c>
      <c r="P157" s="52" t="s">
        <v>555</v>
      </c>
      <c r="Q157" s="52" t="s">
        <v>556</v>
      </c>
      <c r="R157" s="52" t="s">
        <v>64</v>
      </c>
      <c r="S157" s="52" t="s">
        <v>210</v>
      </c>
    </row>
    <row r="158" spans="1:19" outlineLevel="2" x14ac:dyDescent="0.45">
      <c r="A158" t="s">
        <v>17</v>
      </c>
      <c r="B158" s="52" t="s">
        <v>57</v>
      </c>
      <c r="C158" s="52" t="s">
        <v>349</v>
      </c>
      <c r="D158" s="52" t="s">
        <v>350</v>
      </c>
      <c r="E158" s="52" t="s">
        <v>387</v>
      </c>
      <c r="F158" s="52" t="s">
        <v>574</v>
      </c>
      <c r="G158" s="52" t="s">
        <v>60</v>
      </c>
      <c r="H158" s="54">
        <v>46023</v>
      </c>
      <c r="I158" s="52" t="s">
        <v>74</v>
      </c>
      <c r="J158" s="52" t="s">
        <v>210</v>
      </c>
      <c r="K158" s="52" t="s">
        <v>554</v>
      </c>
      <c r="L158" s="52" t="s">
        <v>554</v>
      </c>
      <c r="M158" s="52" t="s">
        <v>29</v>
      </c>
      <c r="N158" s="53">
        <v>-4.3</v>
      </c>
      <c r="O158" s="53">
        <v>-4.3</v>
      </c>
      <c r="P158" s="52" t="s">
        <v>555</v>
      </c>
      <c r="Q158" s="52" t="s">
        <v>556</v>
      </c>
      <c r="R158" s="52" t="s">
        <v>64</v>
      </c>
      <c r="S158" s="52" t="s">
        <v>210</v>
      </c>
    </row>
    <row r="159" spans="1:19" outlineLevel="2" x14ac:dyDescent="0.45">
      <c r="A159" t="s">
        <v>17</v>
      </c>
      <c r="B159" s="52" t="s">
        <v>57</v>
      </c>
      <c r="C159" s="52" t="s">
        <v>349</v>
      </c>
      <c r="D159" s="52" t="s">
        <v>350</v>
      </c>
      <c r="E159" s="52" t="s">
        <v>387</v>
      </c>
      <c r="F159" s="52" t="s">
        <v>575</v>
      </c>
      <c r="G159" s="52" t="s">
        <v>60</v>
      </c>
      <c r="H159" s="54">
        <v>46023</v>
      </c>
      <c r="I159" s="52" t="s">
        <v>74</v>
      </c>
      <c r="J159" s="52" t="s">
        <v>210</v>
      </c>
      <c r="K159" s="52" t="s">
        <v>554</v>
      </c>
      <c r="L159" s="52" t="s">
        <v>554</v>
      </c>
      <c r="M159" s="52" t="s">
        <v>29</v>
      </c>
      <c r="N159" s="53">
        <v>-4.3</v>
      </c>
      <c r="O159" s="53">
        <v>-4.3</v>
      </c>
      <c r="P159" s="52" t="s">
        <v>555</v>
      </c>
      <c r="Q159" s="52" t="s">
        <v>556</v>
      </c>
      <c r="R159" s="52" t="s">
        <v>64</v>
      </c>
      <c r="S159" s="52" t="s">
        <v>210</v>
      </c>
    </row>
    <row r="160" spans="1:19" outlineLevel="2" x14ac:dyDescent="0.45">
      <c r="A160" t="s">
        <v>17</v>
      </c>
      <c r="B160" s="52" t="s">
        <v>57</v>
      </c>
      <c r="C160" s="52" t="s">
        <v>349</v>
      </c>
      <c r="D160" s="52" t="s">
        <v>350</v>
      </c>
      <c r="E160" s="52" t="s">
        <v>387</v>
      </c>
      <c r="F160" s="52" t="s">
        <v>576</v>
      </c>
      <c r="G160" s="52" t="s">
        <v>60</v>
      </c>
      <c r="H160" s="54">
        <v>46023</v>
      </c>
      <c r="I160" s="52" t="s">
        <v>74</v>
      </c>
      <c r="J160" s="52" t="s">
        <v>210</v>
      </c>
      <c r="K160" s="52" t="s">
        <v>554</v>
      </c>
      <c r="L160" s="52" t="s">
        <v>554</v>
      </c>
      <c r="M160" s="52" t="s">
        <v>29</v>
      </c>
      <c r="N160" s="53">
        <v>-4.3</v>
      </c>
      <c r="O160" s="53">
        <v>-4.3</v>
      </c>
      <c r="P160" s="52" t="s">
        <v>555</v>
      </c>
      <c r="Q160" s="52" t="s">
        <v>556</v>
      </c>
      <c r="R160" s="52" t="s">
        <v>64</v>
      </c>
      <c r="S160" s="52" t="s">
        <v>210</v>
      </c>
    </row>
    <row r="161" spans="1:19" outlineLevel="2" x14ac:dyDescent="0.45">
      <c r="A161" t="s">
        <v>17</v>
      </c>
      <c r="B161" s="52" t="s">
        <v>57</v>
      </c>
      <c r="C161" s="52" t="s">
        <v>349</v>
      </c>
      <c r="D161" s="52" t="s">
        <v>350</v>
      </c>
      <c r="E161" s="52" t="s">
        <v>387</v>
      </c>
      <c r="F161" s="52" t="s">
        <v>577</v>
      </c>
      <c r="G161" s="52" t="s">
        <v>60</v>
      </c>
      <c r="H161" s="54">
        <v>46023</v>
      </c>
      <c r="I161" s="52" t="s">
        <v>74</v>
      </c>
      <c r="J161" s="52" t="s">
        <v>210</v>
      </c>
      <c r="K161" s="52" t="s">
        <v>554</v>
      </c>
      <c r="L161" s="52" t="s">
        <v>554</v>
      </c>
      <c r="M161" s="52" t="s">
        <v>29</v>
      </c>
      <c r="N161" s="53">
        <v>-4.3</v>
      </c>
      <c r="O161" s="53">
        <v>-4.3</v>
      </c>
      <c r="P161" s="52" t="s">
        <v>555</v>
      </c>
      <c r="Q161" s="52" t="s">
        <v>556</v>
      </c>
      <c r="R161" s="52" t="s">
        <v>64</v>
      </c>
      <c r="S161" s="52" t="s">
        <v>210</v>
      </c>
    </row>
    <row r="162" spans="1:19" outlineLevel="2" x14ac:dyDescent="0.45">
      <c r="A162" t="s">
        <v>17</v>
      </c>
      <c r="B162" s="52" t="s">
        <v>57</v>
      </c>
      <c r="C162" s="52" t="s">
        <v>349</v>
      </c>
      <c r="D162" s="52" t="s">
        <v>350</v>
      </c>
      <c r="E162" s="52" t="s">
        <v>387</v>
      </c>
      <c r="F162" s="52" t="s">
        <v>578</v>
      </c>
      <c r="G162" s="52" t="s">
        <v>60</v>
      </c>
      <c r="H162" s="54">
        <v>46023</v>
      </c>
      <c r="I162" s="52" t="s">
        <v>74</v>
      </c>
      <c r="J162" s="52" t="s">
        <v>210</v>
      </c>
      <c r="K162" s="52" t="s">
        <v>554</v>
      </c>
      <c r="L162" s="52" t="s">
        <v>554</v>
      </c>
      <c r="M162" s="52" t="s">
        <v>29</v>
      </c>
      <c r="N162" s="53">
        <v>-4.3</v>
      </c>
      <c r="O162" s="53">
        <v>-4.3</v>
      </c>
      <c r="P162" s="52" t="s">
        <v>555</v>
      </c>
      <c r="Q162" s="52" t="s">
        <v>556</v>
      </c>
      <c r="R162" s="52" t="s">
        <v>64</v>
      </c>
      <c r="S162" s="52" t="s">
        <v>210</v>
      </c>
    </row>
    <row r="163" spans="1:19" outlineLevel="2" x14ac:dyDescent="0.45">
      <c r="A163" t="s">
        <v>17</v>
      </c>
      <c r="B163" s="52" t="s">
        <v>57</v>
      </c>
      <c r="C163" s="52" t="s">
        <v>349</v>
      </c>
      <c r="D163" s="52" t="s">
        <v>350</v>
      </c>
      <c r="E163" s="52" t="s">
        <v>387</v>
      </c>
      <c r="F163" s="52" t="s">
        <v>579</v>
      </c>
      <c r="G163" s="52" t="s">
        <v>60</v>
      </c>
      <c r="H163" s="54">
        <v>46023</v>
      </c>
      <c r="I163" s="52" t="s">
        <v>74</v>
      </c>
      <c r="J163" s="52" t="s">
        <v>210</v>
      </c>
      <c r="K163" s="52" t="s">
        <v>554</v>
      </c>
      <c r="L163" s="52" t="s">
        <v>554</v>
      </c>
      <c r="M163" s="52" t="s">
        <v>29</v>
      </c>
      <c r="N163" s="53">
        <v>-4.3</v>
      </c>
      <c r="O163" s="53">
        <v>-4.3</v>
      </c>
      <c r="P163" s="52" t="s">
        <v>555</v>
      </c>
      <c r="Q163" s="52" t="s">
        <v>556</v>
      </c>
      <c r="R163" s="52" t="s">
        <v>64</v>
      </c>
      <c r="S163" s="52" t="s">
        <v>210</v>
      </c>
    </row>
    <row r="164" spans="1:19" outlineLevel="2" x14ac:dyDescent="0.45">
      <c r="A164" t="s">
        <v>17</v>
      </c>
      <c r="B164" s="52" t="s">
        <v>57</v>
      </c>
      <c r="C164" s="52" t="s">
        <v>349</v>
      </c>
      <c r="D164" s="52" t="s">
        <v>350</v>
      </c>
      <c r="E164" s="52" t="s">
        <v>387</v>
      </c>
      <c r="F164" s="52" t="s">
        <v>580</v>
      </c>
      <c r="G164" s="52" t="s">
        <v>60</v>
      </c>
      <c r="H164" s="54">
        <v>46023</v>
      </c>
      <c r="I164" s="52" t="s">
        <v>74</v>
      </c>
      <c r="J164" s="52" t="s">
        <v>210</v>
      </c>
      <c r="K164" s="52" t="s">
        <v>554</v>
      </c>
      <c r="L164" s="52" t="s">
        <v>554</v>
      </c>
      <c r="M164" s="52" t="s">
        <v>29</v>
      </c>
      <c r="N164" s="53">
        <v>-4.3</v>
      </c>
      <c r="O164" s="53">
        <v>-4.3</v>
      </c>
      <c r="P164" s="52" t="s">
        <v>555</v>
      </c>
      <c r="Q164" s="52" t="s">
        <v>556</v>
      </c>
      <c r="R164" s="52" t="s">
        <v>64</v>
      </c>
      <c r="S164" s="52" t="s">
        <v>210</v>
      </c>
    </row>
    <row r="165" spans="1:19" outlineLevel="2" x14ac:dyDescent="0.45">
      <c r="A165" t="s">
        <v>17</v>
      </c>
      <c r="B165" s="52" t="s">
        <v>57</v>
      </c>
      <c r="C165" s="52" t="s">
        <v>349</v>
      </c>
      <c r="D165" s="52" t="s">
        <v>350</v>
      </c>
      <c r="E165" s="52" t="s">
        <v>387</v>
      </c>
      <c r="F165" s="52" t="s">
        <v>581</v>
      </c>
      <c r="G165" s="52" t="s">
        <v>60</v>
      </c>
      <c r="H165" s="54">
        <v>46023</v>
      </c>
      <c r="I165" s="52" t="s">
        <v>74</v>
      </c>
      <c r="J165" s="52" t="s">
        <v>210</v>
      </c>
      <c r="K165" s="52" t="s">
        <v>554</v>
      </c>
      <c r="L165" s="52" t="s">
        <v>554</v>
      </c>
      <c r="M165" s="52" t="s">
        <v>29</v>
      </c>
      <c r="N165" s="53">
        <v>-4.3</v>
      </c>
      <c r="O165" s="53">
        <v>-4.3</v>
      </c>
      <c r="P165" s="52" t="s">
        <v>555</v>
      </c>
      <c r="Q165" s="52" t="s">
        <v>556</v>
      </c>
      <c r="R165" s="52" t="s">
        <v>64</v>
      </c>
      <c r="S165" s="52" t="s">
        <v>210</v>
      </c>
    </row>
    <row r="166" spans="1:19" outlineLevel="2" x14ac:dyDescent="0.45">
      <c r="A166" t="s">
        <v>17</v>
      </c>
      <c r="B166" s="52" t="s">
        <v>57</v>
      </c>
      <c r="C166" s="52" t="s">
        <v>349</v>
      </c>
      <c r="D166" s="52" t="s">
        <v>350</v>
      </c>
      <c r="E166" s="52" t="s">
        <v>387</v>
      </c>
      <c r="F166" s="52" t="s">
        <v>582</v>
      </c>
      <c r="G166" s="52" t="s">
        <v>60</v>
      </c>
      <c r="H166" s="54">
        <v>46023</v>
      </c>
      <c r="I166" s="52" t="s">
        <v>74</v>
      </c>
      <c r="J166" s="52" t="s">
        <v>210</v>
      </c>
      <c r="K166" s="52" t="s">
        <v>554</v>
      </c>
      <c r="L166" s="52" t="s">
        <v>554</v>
      </c>
      <c r="M166" s="52" t="s">
        <v>29</v>
      </c>
      <c r="N166" s="53">
        <v>-4.3</v>
      </c>
      <c r="O166" s="53">
        <v>-4.3</v>
      </c>
      <c r="P166" s="52" t="s">
        <v>555</v>
      </c>
      <c r="Q166" s="52" t="s">
        <v>556</v>
      </c>
      <c r="R166" s="52" t="s">
        <v>64</v>
      </c>
      <c r="S166" s="52" t="s">
        <v>210</v>
      </c>
    </row>
    <row r="167" spans="1:19" outlineLevel="2" x14ac:dyDescent="0.45">
      <c r="A167" t="s">
        <v>17</v>
      </c>
      <c r="B167" s="52" t="s">
        <v>57</v>
      </c>
      <c r="C167" s="52" t="s">
        <v>349</v>
      </c>
      <c r="D167" s="52" t="s">
        <v>350</v>
      </c>
      <c r="E167" s="52" t="s">
        <v>387</v>
      </c>
      <c r="F167" s="52" t="s">
        <v>583</v>
      </c>
      <c r="G167" s="52" t="s">
        <v>60</v>
      </c>
      <c r="H167" s="54">
        <v>46023</v>
      </c>
      <c r="I167" s="52" t="s">
        <v>74</v>
      </c>
      <c r="J167" s="52" t="s">
        <v>210</v>
      </c>
      <c r="K167" s="52" t="s">
        <v>554</v>
      </c>
      <c r="L167" s="52" t="s">
        <v>554</v>
      </c>
      <c r="M167" s="52" t="s">
        <v>29</v>
      </c>
      <c r="N167" s="53">
        <v>-4.3</v>
      </c>
      <c r="O167" s="53">
        <v>-4.3</v>
      </c>
      <c r="P167" s="52" t="s">
        <v>555</v>
      </c>
      <c r="Q167" s="52" t="s">
        <v>556</v>
      </c>
      <c r="R167" s="52" t="s">
        <v>64</v>
      </c>
      <c r="S167" s="52" t="s">
        <v>210</v>
      </c>
    </row>
    <row r="168" spans="1:19" outlineLevel="2" x14ac:dyDescent="0.45">
      <c r="A168" t="s">
        <v>17</v>
      </c>
      <c r="B168" s="52" t="s">
        <v>57</v>
      </c>
      <c r="C168" s="52" t="s">
        <v>349</v>
      </c>
      <c r="D168" s="52" t="s">
        <v>350</v>
      </c>
      <c r="E168" s="52" t="s">
        <v>387</v>
      </c>
      <c r="F168" s="52" t="s">
        <v>584</v>
      </c>
      <c r="G168" s="52" t="s">
        <v>60</v>
      </c>
      <c r="H168" s="54">
        <v>46023</v>
      </c>
      <c r="I168" s="52" t="s">
        <v>74</v>
      </c>
      <c r="J168" s="52" t="s">
        <v>210</v>
      </c>
      <c r="K168" s="52" t="s">
        <v>554</v>
      </c>
      <c r="L168" s="52" t="s">
        <v>554</v>
      </c>
      <c r="M168" s="52" t="s">
        <v>29</v>
      </c>
      <c r="N168" s="53">
        <v>-4.3</v>
      </c>
      <c r="O168" s="53">
        <v>-4.3</v>
      </c>
      <c r="P168" s="52" t="s">
        <v>555</v>
      </c>
      <c r="Q168" s="52" t="s">
        <v>556</v>
      </c>
      <c r="R168" s="52" t="s">
        <v>64</v>
      </c>
      <c r="S168" s="52" t="s">
        <v>210</v>
      </c>
    </row>
    <row r="169" spans="1:19" outlineLevel="2" x14ac:dyDescent="0.45">
      <c r="A169" t="s">
        <v>17</v>
      </c>
      <c r="B169" s="52" t="s">
        <v>57</v>
      </c>
      <c r="C169" s="52" t="s">
        <v>349</v>
      </c>
      <c r="D169" s="52" t="s">
        <v>350</v>
      </c>
      <c r="E169" s="52" t="s">
        <v>387</v>
      </c>
      <c r="F169" s="52" t="s">
        <v>585</v>
      </c>
      <c r="G169" s="52" t="s">
        <v>60</v>
      </c>
      <c r="H169" s="54">
        <v>46023</v>
      </c>
      <c r="I169" s="52" t="s">
        <v>74</v>
      </c>
      <c r="J169" s="52" t="s">
        <v>210</v>
      </c>
      <c r="K169" s="52" t="s">
        <v>554</v>
      </c>
      <c r="L169" s="52" t="s">
        <v>554</v>
      </c>
      <c r="M169" s="52" t="s">
        <v>29</v>
      </c>
      <c r="N169" s="53">
        <v>-4.3</v>
      </c>
      <c r="O169" s="53">
        <v>-4.3</v>
      </c>
      <c r="P169" s="52" t="s">
        <v>555</v>
      </c>
      <c r="Q169" s="52" t="s">
        <v>556</v>
      </c>
      <c r="R169" s="52" t="s">
        <v>64</v>
      </c>
      <c r="S169" s="52" t="s">
        <v>210</v>
      </c>
    </row>
    <row r="170" spans="1:19" outlineLevel="2" x14ac:dyDescent="0.45">
      <c r="A170" t="s">
        <v>17</v>
      </c>
      <c r="B170" s="52" t="s">
        <v>57</v>
      </c>
      <c r="C170" s="52" t="s">
        <v>349</v>
      </c>
      <c r="D170" s="52" t="s">
        <v>350</v>
      </c>
      <c r="E170" s="52" t="s">
        <v>387</v>
      </c>
      <c r="F170" s="52" t="s">
        <v>586</v>
      </c>
      <c r="G170" s="52" t="s">
        <v>60</v>
      </c>
      <c r="H170" s="54">
        <v>46023</v>
      </c>
      <c r="I170" s="52" t="s">
        <v>74</v>
      </c>
      <c r="J170" s="52" t="s">
        <v>210</v>
      </c>
      <c r="K170" s="52" t="s">
        <v>554</v>
      </c>
      <c r="L170" s="52" t="s">
        <v>554</v>
      </c>
      <c r="M170" s="52" t="s">
        <v>29</v>
      </c>
      <c r="N170" s="53">
        <v>-4.3</v>
      </c>
      <c r="O170" s="53">
        <v>-4.3</v>
      </c>
      <c r="P170" s="52" t="s">
        <v>555</v>
      </c>
      <c r="Q170" s="52" t="s">
        <v>556</v>
      </c>
      <c r="R170" s="52" t="s">
        <v>64</v>
      </c>
      <c r="S170" s="52" t="s">
        <v>210</v>
      </c>
    </row>
    <row r="171" spans="1:19" outlineLevel="2" x14ac:dyDescent="0.45">
      <c r="A171" t="s">
        <v>17</v>
      </c>
      <c r="B171" s="52" t="s">
        <v>57</v>
      </c>
      <c r="C171" s="52" t="s">
        <v>349</v>
      </c>
      <c r="D171" s="52" t="s">
        <v>350</v>
      </c>
      <c r="E171" s="52" t="s">
        <v>387</v>
      </c>
      <c r="F171" s="52" t="s">
        <v>587</v>
      </c>
      <c r="G171" s="52" t="s">
        <v>60</v>
      </c>
      <c r="H171" s="54">
        <v>46023</v>
      </c>
      <c r="I171" s="52" t="s">
        <v>74</v>
      </c>
      <c r="J171" s="52" t="s">
        <v>210</v>
      </c>
      <c r="K171" s="52" t="s">
        <v>554</v>
      </c>
      <c r="L171" s="52" t="s">
        <v>554</v>
      </c>
      <c r="M171" s="52" t="s">
        <v>29</v>
      </c>
      <c r="N171" s="53">
        <v>-4.3</v>
      </c>
      <c r="O171" s="53">
        <v>-4.3</v>
      </c>
      <c r="P171" s="52" t="s">
        <v>555</v>
      </c>
      <c r="Q171" s="52" t="s">
        <v>556</v>
      </c>
      <c r="R171" s="52" t="s">
        <v>64</v>
      </c>
      <c r="S171" s="52" t="s">
        <v>210</v>
      </c>
    </row>
    <row r="172" spans="1:19" outlineLevel="2" x14ac:dyDescent="0.45">
      <c r="A172" t="s">
        <v>17</v>
      </c>
      <c r="B172" s="52" t="s">
        <v>57</v>
      </c>
      <c r="C172" s="52" t="s">
        <v>349</v>
      </c>
      <c r="D172" s="52" t="s">
        <v>350</v>
      </c>
      <c r="E172" s="52" t="s">
        <v>387</v>
      </c>
      <c r="F172" s="52" t="s">
        <v>588</v>
      </c>
      <c r="G172" s="52" t="s">
        <v>60</v>
      </c>
      <c r="H172" s="54">
        <v>46023</v>
      </c>
      <c r="I172" s="52" t="s">
        <v>74</v>
      </c>
      <c r="J172" s="52" t="s">
        <v>210</v>
      </c>
      <c r="K172" s="52" t="s">
        <v>554</v>
      </c>
      <c r="L172" s="52" t="s">
        <v>554</v>
      </c>
      <c r="M172" s="52" t="s">
        <v>29</v>
      </c>
      <c r="N172" s="53">
        <v>-7.5</v>
      </c>
      <c r="O172" s="53">
        <v>-7.5</v>
      </c>
      <c r="P172" s="52" t="s">
        <v>555</v>
      </c>
      <c r="Q172" s="52" t="s">
        <v>556</v>
      </c>
      <c r="R172" s="52" t="s">
        <v>64</v>
      </c>
      <c r="S172" s="52" t="s">
        <v>210</v>
      </c>
    </row>
    <row r="173" spans="1:19" outlineLevel="2" x14ac:dyDescent="0.45">
      <c r="A173" t="s">
        <v>17</v>
      </c>
      <c r="B173" s="52" t="s">
        <v>57</v>
      </c>
      <c r="C173" s="52" t="s">
        <v>349</v>
      </c>
      <c r="D173" s="52" t="s">
        <v>350</v>
      </c>
      <c r="E173" s="52" t="s">
        <v>387</v>
      </c>
      <c r="F173" s="52" t="s">
        <v>589</v>
      </c>
      <c r="G173" s="52" t="s">
        <v>60</v>
      </c>
      <c r="H173" s="54">
        <v>46023</v>
      </c>
      <c r="I173" s="52" t="s">
        <v>74</v>
      </c>
      <c r="J173" s="52" t="s">
        <v>210</v>
      </c>
      <c r="K173" s="52" t="s">
        <v>554</v>
      </c>
      <c r="L173" s="52" t="s">
        <v>554</v>
      </c>
      <c r="M173" s="52" t="s">
        <v>29</v>
      </c>
      <c r="N173" s="53">
        <v>-8</v>
      </c>
      <c r="O173" s="53">
        <v>-8</v>
      </c>
      <c r="P173" s="52" t="s">
        <v>555</v>
      </c>
      <c r="Q173" s="52" t="s">
        <v>556</v>
      </c>
      <c r="R173" s="52" t="s">
        <v>64</v>
      </c>
      <c r="S173" s="52" t="s">
        <v>210</v>
      </c>
    </row>
    <row r="174" spans="1:19" outlineLevel="2" x14ac:dyDescent="0.45">
      <c r="A174" t="s">
        <v>17</v>
      </c>
      <c r="B174" s="52" t="s">
        <v>57</v>
      </c>
      <c r="C174" s="52" t="s">
        <v>349</v>
      </c>
      <c r="D174" s="52" t="s">
        <v>350</v>
      </c>
      <c r="E174" s="52" t="s">
        <v>387</v>
      </c>
      <c r="F174" s="52" t="s">
        <v>590</v>
      </c>
      <c r="G174" s="52" t="s">
        <v>60</v>
      </c>
      <c r="H174" s="54">
        <v>46023</v>
      </c>
      <c r="I174" s="52" t="s">
        <v>74</v>
      </c>
      <c r="J174" s="52" t="s">
        <v>210</v>
      </c>
      <c r="K174" s="52" t="s">
        <v>554</v>
      </c>
      <c r="L174" s="52" t="s">
        <v>554</v>
      </c>
      <c r="M174" s="52" t="s">
        <v>29</v>
      </c>
      <c r="N174" s="53">
        <v>-22</v>
      </c>
      <c r="O174" s="53">
        <v>-22</v>
      </c>
      <c r="P174" s="52" t="s">
        <v>555</v>
      </c>
      <c r="Q174" s="52" t="s">
        <v>556</v>
      </c>
      <c r="R174" s="52" t="s">
        <v>64</v>
      </c>
      <c r="S174" s="52" t="s">
        <v>210</v>
      </c>
    </row>
    <row r="175" spans="1:19" outlineLevel="2" x14ac:dyDescent="0.45">
      <c r="A175" t="s">
        <v>17</v>
      </c>
      <c r="B175" s="52" t="s">
        <v>57</v>
      </c>
      <c r="C175" s="52" t="s">
        <v>349</v>
      </c>
      <c r="D175" s="52" t="s">
        <v>350</v>
      </c>
      <c r="E175" s="52" t="s">
        <v>387</v>
      </c>
      <c r="F175" s="52" t="s">
        <v>591</v>
      </c>
      <c r="G175" s="52" t="s">
        <v>60</v>
      </c>
      <c r="H175" s="54">
        <v>46023</v>
      </c>
      <c r="I175" s="52" t="s">
        <v>74</v>
      </c>
      <c r="J175" s="52" t="s">
        <v>210</v>
      </c>
      <c r="K175" s="52" t="s">
        <v>554</v>
      </c>
      <c r="L175" s="52" t="s">
        <v>554</v>
      </c>
      <c r="M175" s="52" t="s">
        <v>29</v>
      </c>
      <c r="N175" s="53">
        <v>-24</v>
      </c>
      <c r="O175" s="53">
        <v>-24</v>
      </c>
      <c r="P175" s="52" t="s">
        <v>555</v>
      </c>
      <c r="Q175" s="52" t="s">
        <v>556</v>
      </c>
      <c r="R175" s="52" t="s">
        <v>64</v>
      </c>
      <c r="S175" s="52" t="s">
        <v>210</v>
      </c>
    </row>
    <row r="176" spans="1:19" outlineLevel="2" x14ac:dyDescent="0.45">
      <c r="A176" t="s">
        <v>17</v>
      </c>
      <c r="B176" s="52" t="s">
        <v>57</v>
      </c>
      <c r="C176" s="52" t="s">
        <v>349</v>
      </c>
      <c r="D176" s="52" t="s">
        <v>350</v>
      </c>
      <c r="E176" s="52" t="s">
        <v>387</v>
      </c>
      <c r="F176" s="52" t="s">
        <v>592</v>
      </c>
      <c r="G176" s="52" t="s">
        <v>60</v>
      </c>
      <c r="H176" s="54">
        <v>46023</v>
      </c>
      <c r="I176" s="52" t="s">
        <v>74</v>
      </c>
      <c r="J176" s="52" t="s">
        <v>87</v>
      </c>
      <c r="K176" s="52" t="s">
        <v>554</v>
      </c>
      <c r="L176" s="52" t="s">
        <v>554</v>
      </c>
      <c r="M176" s="52" t="s">
        <v>29</v>
      </c>
      <c r="N176" s="53">
        <v>-40</v>
      </c>
      <c r="O176" s="53">
        <v>-40</v>
      </c>
      <c r="P176" s="52" t="s">
        <v>555</v>
      </c>
      <c r="Q176" s="52" t="s">
        <v>556</v>
      </c>
      <c r="R176" s="52" t="s">
        <v>64</v>
      </c>
      <c r="S176" s="52" t="s">
        <v>87</v>
      </c>
    </row>
    <row r="177" spans="1:19" outlineLevel="2" x14ac:dyDescent="0.45">
      <c r="A177" t="s">
        <v>17</v>
      </c>
      <c r="B177" s="52" t="s">
        <v>57</v>
      </c>
      <c r="C177" s="52" t="s">
        <v>349</v>
      </c>
      <c r="D177" s="52" t="s">
        <v>350</v>
      </c>
      <c r="E177" s="52" t="s">
        <v>387</v>
      </c>
      <c r="F177" s="52" t="s">
        <v>593</v>
      </c>
      <c r="G177" s="52" t="s">
        <v>60</v>
      </c>
      <c r="H177" s="54">
        <v>46023</v>
      </c>
      <c r="I177" s="52" t="s">
        <v>74</v>
      </c>
      <c r="J177" s="52" t="s">
        <v>210</v>
      </c>
      <c r="K177" s="52" t="s">
        <v>554</v>
      </c>
      <c r="L177" s="52" t="s">
        <v>554</v>
      </c>
      <c r="M177" s="52" t="s">
        <v>29</v>
      </c>
      <c r="N177" s="53">
        <v>-40</v>
      </c>
      <c r="O177" s="53">
        <v>-40</v>
      </c>
      <c r="P177" s="52" t="s">
        <v>555</v>
      </c>
      <c r="Q177" s="52" t="s">
        <v>556</v>
      </c>
      <c r="R177" s="52" t="s">
        <v>64</v>
      </c>
      <c r="S177" s="52" t="s">
        <v>210</v>
      </c>
    </row>
    <row r="178" spans="1:19" outlineLevel="2" x14ac:dyDescent="0.45">
      <c r="A178" t="s">
        <v>17</v>
      </c>
      <c r="B178" s="52" t="s">
        <v>57</v>
      </c>
      <c r="C178" s="52" t="s">
        <v>349</v>
      </c>
      <c r="D178" s="52" t="s">
        <v>350</v>
      </c>
      <c r="E178" s="52" t="s">
        <v>387</v>
      </c>
      <c r="F178" s="52" t="s">
        <v>594</v>
      </c>
      <c r="G178" s="52" t="s">
        <v>60</v>
      </c>
      <c r="H178" s="54">
        <v>46023</v>
      </c>
      <c r="I178" s="52" t="s">
        <v>74</v>
      </c>
      <c r="J178" s="52" t="s">
        <v>210</v>
      </c>
      <c r="K178" s="52" t="s">
        <v>554</v>
      </c>
      <c r="L178" s="52" t="s">
        <v>554</v>
      </c>
      <c r="M178" s="52" t="s">
        <v>29</v>
      </c>
      <c r="N178" s="53">
        <v>-48</v>
      </c>
      <c r="O178" s="53">
        <v>-48</v>
      </c>
      <c r="P178" s="52" t="s">
        <v>555</v>
      </c>
      <c r="Q178" s="52" t="s">
        <v>556</v>
      </c>
      <c r="R178" s="52" t="s">
        <v>64</v>
      </c>
      <c r="S178" s="52" t="s">
        <v>210</v>
      </c>
    </row>
    <row r="179" spans="1:19" outlineLevel="2" x14ac:dyDescent="0.45">
      <c r="A179" t="s">
        <v>17</v>
      </c>
      <c r="B179" s="52" t="s">
        <v>66</v>
      </c>
      <c r="C179" s="52" t="s">
        <v>349</v>
      </c>
      <c r="D179" s="52" t="s">
        <v>350</v>
      </c>
      <c r="E179" s="52" t="s">
        <v>387</v>
      </c>
      <c r="F179" s="52" t="s">
        <v>595</v>
      </c>
      <c r="G179" s="52" t="s">
        <v>60</v>
      </c>
      <c r="H179" s="54">
        <v>46023</v>
      </c>
      <c r="I179" s="52" t="s">
        <v>74</v>
      </c>
      <c r="J179" s="52" t="s">
        <v>210</v>
      </c>
      <c r="K179" s="52" t="s">
        <v>596</v>
      </c>
      <c r="L179" s="52" t="s">
        <v>596</v>
      </c>
      <c r="M179" s="52" t="s">
        <v>67</v>
      </c>
      <c r="N179" s="53">
        <v>-1.3</v>
      </c>
      <c r="O179" s="53">
        <v>-4.3499999999999996</v>
      </c>
      <c r="P179" s="52" t="s">
        <v>597</v>
      </c>
      <c r="Q179" s="52" t="s">
        <v>598</v>
      </c>
      <c r="R179" s="52" t="s">
        <v>64</v>
      </c>
      <c r="S179" s="52" t="s">
        <v>210</v>
      </c>
    </row>
    <row r="180" spans="1:19" outlineLevel="2" x14ac:dyDescent="0.45">
      <c r="A180" t="s">
        <v>17</v>
      </c>
      <c r="B180" s="52" t="s">
        <v>66</v>
      </c>
      <c r="C180" s="52" t="s">
        <v>349</v>
      </c>
      <c r="D180" s="52" t="s">
        <v>350</v>
      </c>
      <c r="E180" s="52" t="s">
        <v>387</v>
      </c>
      <c r="F180" s="52" t="s">
        <v>599</v>
      </c>
      <c r="G180" s="52" t="s">
        <v>60</v>
      </c>
      <c r="H180" s="54">
        <v>46023</v>
      </c>
      <c r="I180" s="52" t="s">
        <v>74</v>
      </c>
      <c r="J180" s="52" t="s">
        <v>210</v>
      </c>
      <c r="K180" s="52" t="s">
        <v>596</v>
      </c>
      <c r="L180" s="52" t="s">
        <v>596</v>
      </c>
      <c r="M180" s="52" t="s">
        <v>67</v>
      </c>
      <c r="N180" s="53">
        <v>-1.53</v>
      </c>
      <c r="O180" s="53">
        <v>-5.12</v>
      </c>
      <c r="P180" s="52" t="s">
        <v>597</v>
      </c>
      <c r="Q180" s="52" t="s">
        <v>598</v>
      </c>
      <c r="R180" s="52" t="s">
        <v>64</v>
      </c>
      <c r="S180" s="52" t="s">
        <v>210</v>
      </c>
    </row>
    <row r="181" spans="1:19" outlineLevel="2" x14ac:dyDescent="0.45">
      <c r="A181" t="s">
        <v>17</v>
      </c>
      <c r="B181" s="52" t="s">
        <v>66</v>
      </c>
      <c r="C181" s="52" t="s">
        <v>349</v>
      </c>
      <c r="D181" s="52" t="s">
        <v>350</v>
      </c>
      <c r="E181" s="52" t="s">
        <v>387</v>
      </c>
      <c r="F181" s="52" t="s">
        <v>600</v>
      </c>
      <c r="G181" s="52" t="s">
        <v>60</v>
      </c>
      <c r="H181" s="54">
        <v>46023</v>
      </c>
      <c r="I181" s="52" t="s">
        <v>74</v>
      </c>
      <c r="J181" s="52" t="s">
        <v>210</v>
      </c>
      <c r="K181" s="52" t="s">
        <v>596</v>
      </c>
      <c r="L181" s="52" t="s">
        <v>596</v>
      </c>
      <c r="M181" s="52" t="s">
        <v>67</v>
      </c>
      <c r="N181" s="53">
        <v>-1.53</v>
      </c>
      <c r="O181" s="53">
        <v>-5.12</v>
      </c>
      <c r="P181" s="52" t="s">
        <v>597</v>
      </c>
      <c r="Q181" s="52" t="s">
        <v>598</v>
      </c>
      <c r="R181" s="52" t="s">
        <v>64</v>
      </c>
      <c r="S181" s="52" t="s">
        <v>210</v>
      </c>
    </row>
    <row r="182" spans="1:19" outlineLevel="2" x14ac:dyDescent="0.45">
      <c r="A182" t="s">
        <v>17</v>
      </c>
      <c r="B182" s="52" t="s">
        <v>66</v>
      </c>
      <c r="C182" s="52" t="s">
        <v>349</v>
      </c>
      <c r="D182" s="52" t="s">
        <v>350</v>
      </c>
      <c r="E182" s="52" t="s">
        <v>387</v>
      </c>
      <c r="F182" s="52" t="s">
        <v>601</v>
      </c>
      <c r="G182" s="52" t="s">
        <v>60</v>
      </c>
      <c r="H182" s="54">
        <v>46023</v>
      </c>
      <c r="I182" s="52" t="s">
        <v>74</v>
      </c>
      <c r="J182" s="52" t="s">
        <v>210</v>
      </c>
      <c r="K182" s="52" t="s">
        <v>596</v>
      </c>
      <c r="L182" s="52" t="s">
        <v>596</v>
      </c>
      <c r="M182" s="52" t="s">
        <v>67</v>
      </c>
      <c r="N182" s="53">
        <v>-1.53</v>
      </c>
      <c r="O182" s="53">
        <v>-5.12</v>
      </c>
      <c r="P182" s="52" t="s">
        <v>597</v>
      </c>
      <c r="Q182" s="52" t="s">
        <v>598</v>
      </c>
      <c r="R182" s="52" t="s">
        <v>64</v>
      </c>
      <c r="S182" s="52" t="s">
        <v>210</v>
      </c>
    </row>
    <row r="183" spans="1:19" outlineLevel="2" x14ac:dyDescent="0.45">
      <c r="A183" t="s">
        <v>17</v>
      </c>
      <c r="B183" s="52" t="s">
        <v>66</v>
      </c>
      <c r="C183" s="52" t="s">
        <v>349</v>
      </c>
      <c r="D183" s="52" t="s">
        <v>350</v>
      </c>
      <c r="E183" s="52" t="s">
        <v>387</v>
      </c>
      <c r="F183" s="52" t="s">
        <v>602</v>
      </c>
      <c r="G183" s="52" t="s">
        <v>60</v>
      </c>
      <c r="H183" s="54">
        <v>46023</v>
      </c>
      <c r="I183" s="52" t="s">
        <v>74</v>
      </c>
      <c r="J183" s="52" t="s">
        <v>210</v>
      </c>
      <c r="K183" s="52" t="s">
        <v>596</v>
      </c>
      <c r="L183" s="52" t="s">
        <v>596</v>
      </c>
      <c r="M183" s="52" t="s">
        <v>67</v>
      </c>
      <c r="N183" s="53">
        <v>-1.53</v>
      </c>
      <c r="O183" s="53">
        <v>-5.12</v>
      </c>
      <c r="P183" s="52" t="s">
        <v>597</v>
      </c>
      <c r="Q183" s="52" t="s">
        <v>598</v>
      </c>
      <c r="R183" s="52" t="s">
        <v>64</v>
      </c>
      <c r="S183" s="52" t="s">
        <v>210</v>
      </c>
    </row>
    <row r="184" spans="1:19" outlineLevel="2" x14ac:dyDescent="0.45">
      <c r="A184" t="s">
        <v>17</v>
      </c>
      <c r="B184" s="52" t="s">
        <v>66</v>
      </c>
      <c r="C184" s="52" t="s">
        <v>349</v>
      </c>
      <c r="D184" s="52" t="s">
        <v>350</v>
      </c>
      <c r="E184" s="52" t="s">
        <v>387</v>
      </c>
      <c r="F184" s="52" t="s">
        <v>603</v>
      </c>
      <c r="G184" s="52" t="s">
        <v>60</v>
      </c>
      <c r="H184" s="54">
        <v>46023</v>
      </c>
      <c r="I184" s="52" t="s">
        <v>74</v>
      </c>
      <c r="J184" s="52" t="s">
        <v>210</v>
      </c>
      <c r="K184" s="52" t="s">
        <v>596</v>
      </c>
      <c r="L184" s="52" t="s">
        <v>596</v>
      </c>
      <c r="M184" s="52" t="s">
        <v>67</v>
      </c>
      <c r="N184" s="53">
        <v>-1.53</v>
      </c>
      <c r="O184" s="53">
        <v>-5.12</v>
      </c>
      <c r="P184" s="52" t="s">
        <v>597</v>
      </c>
      <c r="Q184" s="52" t="s">
        <v>598</v>
      </c>
      <c r="R184" s="52" t="s">
        <v>64</v>
      </c>
      <c r="S184" s="52" t="s">
        <v>210</v>
      </c>
    </row>
    <row r="185" spans="1:19" outlineLevel="2" x14ac:dyDescent="0.45">
      <c r="A185" t="s">
        <v>17</v>
      </c>
      <c r="B185" s="52" t="s">
        <v>66</v>
      </c>
      <c r="C185" s="52" t="s">
        <v>349</v>
      </c>
      <c r="D185" s="52" t="s">
        <v>350</v>
      </c>
      <c r="E185" s="52" t="s">
        <v>387</v>
      </c>
      <c r="F185" s="52" t="s">
        <v>604</v>
      </c>
      <c r="G185" s="52" t="s">
        <v>60</v>
      </c>
      <c r="H185" s="54">
        <v>46023</v>
      </c>
      <c r="I185" s="52" t="s">
        <v>74</v>
      </c>
      <c r="J185" s="52" t="s">
        <v>87</v>
      </c>
      <c r="K185" s="52" t="s">
        <v>596</v>
      </c>
      <c r="L185" s="52" t="s">
        <v>596</v>
      </c>
      <c r="M185" s="52" t="s">
        <v>67</v>
      </c>
      <c r="N185" s="53">
        <v>-1.53</v>
      </c>
      <c r="O185" s="53">
        <v>-5.15</v>
      </c>
      <c r="P185" s="52" t="s">
        <v>597</v>
      </c>
      <c r="Q185" s="52" t="s">
        <v>605</v>
      </c>
      <c r="R185" s="52" t="s">
        <v>64</v>
      </c>
      <c r="S185" s="52" t="s">
        <v>87</v>
      </c>
    </row>
    <row r="186" spans="1:19" outlineLevel="2" x14ac:dyDescent="0.45">
      <c r="A186" t="s">
        <v>17</v>
      </c>
      <c r="B186" s="52" t="s">
        <v>66</v>
      </c>
      <c r="C186" s="52" t="s">
        <v>349</v>
      </c>
      <c r="D186" s="52" t="s">
        <v>350</v>
      </c>
      <c r="E186" s="52" t="s">
        <v>387</v>
      </c>
      <c r="F186" s="52" t="s">
        <v>606</v>
      </c>
      <c r="G186" s="52" t="s">
        <v>60</v>
      </c>
      <c r="H186" s="54">
        <v>46023</v>
      </c>
      <c r="I186" s="52" t="s">
        <v>74</v>
      </c>
      <c r="J186" s="52" t="s">
        <v>210</v>
      </c>
      <c r="K186" s="52" t="s">
        <v>596</v>
      </c>
      <c r="L186" s="52" t="s">
        <v>596</v>
      </c>
      <c r="M186" s="52" t="s">
        <v>67</v>
      </c>
      <c r="N186" s="53">
        <v>-14</v>
      </c>
      <c r="O186" s="53">
        <v>-46.83</v>
      </c>
      <c r="P186" s="52" t="s">
        <v>597</v>
      </c>
      <c r="Q186" s="52" t="s">
        <v>598</v>
      </c>
      <c r="R186" s="52" t="s">
        <v>64</v>
      </c>
      <c r="S186" s="52" t="s">
        <v>210</v>
      </c>
    </row>
    <row r="187" spans="1:19" outlineLevel="2" x14ac:dyDescent="0.45">
      <c r="A187" t="s">
        <v>17</v>
      </c>
      <c r="B187" s="52" t="s">
        <v>66</v>
      </c>
      <c r="C187" s="52" t="s">
        <v>349</v>
      </c>
      <c r="D187" s="52" t="s">
        <v>350</v>
      </c>
      <c r="E187" s="52" t="s">
        <v>387</v>
      </c>
      <c r="F187" s="52" t="s">
        <v>607</v>
      </c>
      <c r="G187" s="52" t="s">
        <v>60</v>
      </c>
      <c r="H187" s="54">
        <v>46023</v>
      </c>
      <c r="I187" s="52" t="s">
        <v>74</v>
      </c>
      <c r="J187" s="52" t="s">
        <v>210</v>
      </c>
      <c r="K187" s="52" t="s">
        <v>608</v>
      </c>
      <c r="L187" s="52" t="s">
        <v>608</v>
      </c>
      <c r="M187" s="52" t="s">
        <v>67</v>
      </c>
      <c r="N187" s="53">
        <v>-11.35</v>
      </c>
      <c r="O187" s="53">
        <v>-37.97</v>
      </c>
      <c r="P187" s="52" t="s">
        <v>609</v>
      </c>
      <c r="Q187" s="52" t="s">
        <v>598</v>
      </c>
      <c r="R187" s="52" t="s">
        <v>64</v>
      </c>
      <c r="S187" s="52" t="s">
        <v>210</v>
      </c>
    </row>
    <row r="188" spans="1:19" outlineLevel="2" x14ac:dyDescent="0.45">
      <c r="A188" t="s">
        <v>17</v>
      </c>
      <c r="B188" s="52" t="s">
        <v>66</v>
      </c>
      <c r="C188" s="52"/>
      <c r="D188" s="52" t="s">
        <v>610</v>
      </c>
      <c r="E188" s="52" t="s">
        <v>387</v>
      </c>
      <c r="F188" s="52" t="s">
        <v>611</v>
      </c>
      <c r="G188" s="52" t="s">
        <v>60</v>
      </c>
      <c r="H188" s="54">
        <v>46023</v>
      </c>
      <c r="I188" s="52" t="s">
        <v>74</v>
      </c>
      <c r="J188" s="52" t="s">
        <v>340</v>
      </c>
      <c r="K188" s="52" t="s">
        <v>612</v>
      </c>
      <c r="L188" s="52" t="s">
        <v>612</v>
      </c>
      <c r="M188" s="52" t="s">
        <v>67</v>
      </c>
      <c r="N188" s="53">
        <v>-90000</v>
      </c>
      <c r="O188" s="93">
        <v>-302310</v>
      </c>
      <c r="P188" s="52" t="s">
        <v>613</v>
      </c>
      <c r="Q188" s="52" t="s">
        <v>614</v>
      </c>
      <c r="R188" s="55" t="s">
        <v>64</v>
      </c>
      <c r="S188" s="52" t="s">
        <v>340</v>
      </c>
    </row>
    <row r="189" spans="1:19" outlineLevel="2" x14ac:dyDescent="0.45">
      <c r="A189" t="s">
        <v>17</v>
      </c>
      <c r="B189" s="52" t="s">
        <v>57</v>
      </c>
      <c r="C189" s="52"/>
      <c r="D189" s="52" t="s">
        <v>338</v>
      </c>
      <c r="E189" s="52" t="s">
        <v>387</v>
      </c>
      <c r="F189" s="52" t="s">
        <v>615</v>
      </c>
      <c r="G189" s="52" t="s">
        <v>60</v>
      </c>
      <c r="H189" s="54">
        <v>46023</v>
      </c>
      <c r="I189" s="52" t="s">
        <v>74</v>
      </c>
      <c r="J189" s="52" t="s">
        <v>616</v>
      </c>
      <c r="K189" s="52" t="s">
        <v>617</v>
      </c>
      <c r="L189" s="52" t="s">
        <v>617</v>
      </c>
      <c r="M189" s="52" t="s">
        <v>29</v>
      </c>
      <c r="N189" s="53">
        <v>-210000</v>
      </c>
      <c r="O189" s="93">
        <v>-210000</v>
      </c>
      <c r="P189" s="52" t="s">
        <v>618</v>
      </c>
      <c r="Q189" s="52" t="s">
        <v>619</v>
      </c>
      <c r="R189" s="55" t="s">
        <v>64</v>
      </c>
      <c r="S189" s="52" t="s">
        <v>616</v>
      </c>
    </row>
    <row r="190" spans="1:19" outlineLevel="2" x14ac:dyDescent="0.45">
      <c r="A190" t="s">
        <v>17</v>
      </c>
      <c r="B190" s="52" t="s">
        <v>57</v>
      </c>
      <c r="C190" s="52" t="s">
        <v>620</v>
      </c>
      <c r="D190" s="52" t="s">
        <v>621</v>
      </c>
      <c r="E190" s="52" t="s">
        <v>387</v>
      </c>
      <c r="F190" s="52" t="s">
        <v>622</v>
      </c>
      <c r="G190" s="52" t="s">
        <v>60</v>
      </c>
      <c r="H190" s="54">
        <v>46023</v>
      </c>
      <c r="I190" s="52" t="s">
        <v>74</v>
      </c>
      <c r="J190" s="52" t="s">
        <v>210</v>
      </c>
      <c r="K190" s="52" t="s">
        <v>623</v>
      </c>
      <c r="L190" s="52" t="s">
        <v>623</v>
      </c>
      <c r="M190" s="52" t="s">
        <v>29</v>
      </c>
      <c r="N190" s="53">
        <v>-78735.899999999994</v>
      </c>
      <c r="O190" s="93">
        <v>-78735.899999999994</v>
      </c>
      <c r="P190" s="52" t="s">
        <v>624</v>
      </c>
      <c r="Q190" s="52" t="s">
        <v>625</v>
      </c>
      <c r="R190" s="55" t="s">
        <v>64</v>
      </c>
      <c r="S190" s="52" t="s">
        <v>210</v>
      </c>
    </row>
    <row r="191" spans="1:19" outlineLevel="2" x14ac:dyDescent="0.45">
      <c r="A191" t="s">
        <v>17</v>
      </c>
      <c r="B191" s="52" t="s">
        <v>66</v>
      </c>
      <c r="C191" s="52" t="s">
        <v>376</v>
      </c>
      <c r="D191" s="52" t="s">
        <v>377</v>
      </c>
      <c r="E191" s="52" t="s">
        <v>387</v>
      </c>
      <c r="F191" s="52" t="s">
        <v>626</v>
      </c>
      <c r="G191" s="52" t="s">
        <v>60</v>
      </c>
      <c r="H191" s="54">
        <v>46023</v>
      </c>
      <c r="I191" s="52" t="s">
        <v>74</v>
      </c>
      <c r="J191" s="52" t="s">
        <v>210</v>
      </c>
      <c r="K191" s="52" t="s">
        <v>627</v>
      </c>
      <c r="L191" s="52" t="s">
        <v>627</v>
      </c>
      <c r="M191" s="52" t="s">
        <v>67</v>
      </c>
      <c r="N191" s="53">
        <v>-15000</v>
      </c>
      <c r="O191" s="93">
        <v>-50175</v>
      </c>
      <c r="P191" s="52" t="s">
        <v>628</v>
      </c>
      <c r="Q191" s="52" t="s">
        <v>629</v>
      </c>
      <c r="R191" s="55" t="s">
        <v>64</v>
      </c>
      <c r="S191" s="52" t="s">
        <v>210</v>
      </c>
    </row>
    <row r="192" spans="1:19" outlineLevel="2" x14ac:dyDescent="0.45">
      <c r="A192" t="s">
        <v>17</v>
      </c>
      <c r="B192" s="52" t="s">
        <v>57</v>
      </c>
      <c r="C192" s="52" t="s">
        <v>630</v>
      </c>
      <c r="D192" s="52" t="s">
        <v>631</v>
      </c>
      <c r="E192" s="52" t="s">
        <v>387</v>
      </c>
      <c r="F192" s="52" t="s">
        <v>632</v>
      </c>
      <c r="G192" s="52" t="s">
        <v>60</v>
      </c>
      <c r="H192" s="54">
        <v>46023</v>
      </c>
      <c r="I192" s="52" t="s">
        <v>74</v>
      </c>
      <c r="J192" s="52" t="s">
        <v>208</v>
      </c>
      <c r="K192" s="52" t="s">
        <v>633</v>
      </c>
      <c r="L192" s="52" t="s">
        <v>633</v>
      </c>
      <c r="M192" s="52" t="s">
        <v>29</v>
      </c>
      <c r="N192" s="53">
        <v>-45000</v>
      </c>
      <c r="O192" s="93">
        <v>-45000</v>
      </c>
      <c r="P192" s="52" t="s">
        <v>634</v>
      </c>
      <c r="Q192" s="52" t="s">
        <v>635</v>
      </c>
      <c r="R192" s="55" t="s">
        <v>64</v>
      </c>
      <c r="S192" s="52" t="s">
        <v>208</v>
      </c>
    </row>
    <row r="193" spans="1:19" outlineLevel="2" x14ac:dyDescent="0.45">
      <c r="A193" t="s">
        <v>17</v>
      </c>
      <c r="B193" s="52" t="s">
        <v>66</v>
      </c>
      <c r="C193" s="52" t="s">
        <v>376</v>
      </c>
      <c r="D193" s="52" t="s">
        <v>377</v>
      </c>
      <c r="E193" s="52" t="s">
        <v>387</v>
      </c>
      <c r="F193" s="52" t="s">
        <v>636</v>
      </c>
      <c r="G193" s="52" t="s">
        <v>60</v>
      </c>
      <c r="H193" s="54">
        <v>46023</v>
      </c>
      <c r="I193" s="52" t="s">
        <v>74</v>
      </c>
      <c r="J193" s="52" t="s">
        <v>210</v>
      </c>
      <c r="K193" s="52" t="s">
        <v>637</v>
      </c>
      <c r="L193" s="52" t="s">
        <v>637</v>
      </c>
      <c r="M193" s="52" t="s">
        <v>67</v>
      </c>
      <c r="N193" s="53">
        <v>-11800</v>
      </c>
      <c r="O193" s="53">
        <v>-39471</v>
      </c>
      <c r="P193" s="52" t="s">
        <v>638</v>
      </c>
      <c r="Q193" s="52" t="s">
        <v>639</v>
      </c>
      <c r="R193" s="55" t="s">
        <v>64</v>
      </c>
      <c r="S193" s="52" t="s">
        <v>210</v>
      </c>
    </row>
    <row r="194" spans="1:19" outlineLevel="2" x14ac:dyDescent="0.45">
      <c r="A194" t="s">
        <v>17</v>
      </c>
      <c r="B194" s="52" t="s">
        <v>57</v>
      </c>
      <c r="C194" s="52" t="s">
        <v>376</v>
      </c>
      <c r="D194" s="52" t="s">
        <v>377</v>
      </c>
      <c r="E194" s="52" t="s">
        <v>387</v>
      </c>
      <c r="F194" s="52" t="s">
        <v>640</v>
      </c>
      <c r="G194" s="52" t="s">
        <v>60</v>
      </c>
      <c r="H194" s="54">
        <v>46023</v>
      </c>
      <c r="I194" s="52" t="s">
        <v>74</v>
      </c>
      <c r="J194" s="52" t="s">
        <v>210</v>
      </c>
      <c r="K194" s="52" t="s">
        <v>641</v>
      </c>
      <c r="L194" s="52" t="s">
        <v>641</v>
      </c>
      <c r="M194" s="52" t="s">
        <v>29</v>
      </c>
      <c r="N194" s="53">
        <v>-27652.11</v>
      </c>
      <c r="O194" s="53">
        <v>-27652.11</v>
      </c>
      <c r="P194" s="52" t="s">
        <v>642</v>
      </c>
      <c r="Q194" s="52" t="s">
        <v>643</v>
      </c>
      <c r="R194" s="55" t="s">
        <v>64</v>
      </c>
      <c r="S194" s="52" t="s">
        <v>210</v>
      </c>
    </row>
    <row r="195" spans="1:19" outlineLevel="2" x14ac:dyDescent="0.45">
      <c r="A195" t="s">
        <v>17</v>
      </c>
      <c r="B195" s="52" t="s">
        <v>57</v>
      </c>
      <c r="C195" s="52" t="s">
        <v>376</v>
      </c>
      <c r="D195" s="52" t="s">
        <v>377</v>
      </c>
      <c r="E195" s="52" t="s">
        <v>387</v>
      </c>
      <c r="F195" s="52" t="s">
        <v>644</v>
      </c>
      <c r="G195" s="52" t="s">
        <v>60</v>
      </c>
      <c r="H195" s="54">
        <v>46023</v>
      </c>
      <c r="I195" s="52" t="s">
        <v>74</v>
      </c>
      <c r="J195" s="52" t="s">
        <v>210</v>
      </c>
      <c r="K195" s="52" t="s">
        <v>645</v>
      </c>
      <c r="L195" s="52" t="s">
        <v>645</v>
      </c>
      <c r="M195" s="52" t="s">
        <v>29</v>
      </c>
      <c r="N195" s="53">
        <v>-25000</v>
      </c>
      <c r="O195" s="53">
        <v>-25000</v>
      </c>
      <c r="P195" s="52" t="s">
        <v>646</v>
      </c>
      <c r="Q195" s="52" t="s">
        <v>647</v>
      </c>
      <c r="R195" s="55" t="s">
        <v>64</v>
      </c>
      <c r="S195" s="52" t="s">
        <v>210</v>
      </c>
    </row>
    <row r="196" spans="1:19" outlineLevel="2" x14ac:dyDescent="0.45">
      <c r="A196" t="s">
        <v>17</v>
      </c>
      <c r="B196" s="52" t="s">
        <v>57</v>
      </c>
      <c r="C196" s="52" t="s">
        <v>376</v>
      </c>
      <c r="D196" s="52" t="s">
        <v>377</v>
      </c>
      <c r="E196" s="52" t="s">
        <v>387</v>
      </c>
      <c r="F196" s="52" t="s">
        <v>648</v>
      </c>
      <c r="G196" s="52" t="s">
        <v>60</v>
      </c>
      <c r="H196" s="54">
        <v>46023</v>
      </c>
      <c r="I196" s="52" t="s">
        <v>74</v>
      </c>
      <c r="J196" s="52" t="s">
        <v>649</v>
      </c>
      <c r="K196" s="52" t="s">
        <v>650</v>
      </c>
      <c r="L196" s="52" t="s">
        <v>650</v>
      </c>
      <c r="M196" s="52" t="s">
        <v>29</v>
      </c>
      <c r="N196" s="53">
        <v>-20000</v>
      </c>
      <c r="O196" s="53">
        <v>-20000</v>
      </c>
      <c r="P196" s="52" t="s">
        <v>651</v>
      </c>
      <c r="Q196" s="52" t="s">
        <v>652</v>
      </c>
      <c r="R196" s="55" t="s">
        <v>64</v>
      </c>
      <c r="S196" s="52" t="s">
        <v>649</v>
      </c>
    </row>
    <row r="197" spans="1:19" outlineLevel="2" x14ac:dyDescent="0.45">
      <c r="A197" t="s">
        <v>17</v>
      </c>
      <c r="B197" s="52" t="s">
        <v>57</v>
      </c>
      <c r="C197" s="52" t="s">
        <v>376</v>
      </c>
      <c r="D197" s="52" t="s">
        <v>377</v>
      </c>
      <c r="E197" s="52" t="s">
        <v>387</v>
      </c>
      <c r="F197" s="52" t="s">
        <v>653</v>
      </c>
      <c r="G197" s="52" t="s">
        <v>60</v>
      </c>
      <c r="H197" s="54">
        <v>46023</v>
      </c>
      <c r="I197" s="52" t="s">
        <v>74</v>
      </c>
      <c r="J197" s="52" t="s">
        <v>210</v>
      </c>
      <c r="K197" s="52" t="s">
        <v>645</v>
      </c>
      <c r="L197" s="52" t="s">
        <v>645</v>
      </c>
      <c r="M197" s="52" t="s">
        <v>29</v>
      </c>
      <c r="N197" s="53">
        <v>-20000</v>
      </c>
      <c r="O197" s="53">
        <v>-20000</v>
      </c>
      <c r="P197" s="52" t="s">
        <v>646</v>
      </c>
      <c r="Q197" s="52" t="s">
        <v>647</v>
      </c>
      <c r="R197" s="55" t="s">
        <v>64</v>
      </c>
      <c r="S197" s="52" t="s">
        <v>210</v>
      </c>
    </row>
    <row r="198" spans="1:19" outlineLevel="2" x14ac:dyDescent="0.45">
      <c r="A198" t="s">
        <v>17</v>
      </c>
      <c r="B198" s="52" t="s">
        <v>57</v>
      </c>
      <c r="C198" s="52" t="s">
        <v>376</v>
      </c>
      <c r="D198" s="52" t="s">
        <v>377</v>
      </c>
      <c r="E198" s="52" t="s">
        <v>387</v>
      </c>
      <c r="F198" s="52" t="s">
        <v>654</v>
      </c>
      <c r="G198" s="52" t="s">
        <v>60</v>
      </c>
      <c r="H198" s="54">
        <v>46023</v>
      </c>
      <c r="I198" s="52" t="s">
        <v>74</v>
      </c>
      <c r="J198" s="52" t="s">
        <v>210</v>
      </c>
      <c r="K198" s="52" t="s">
        <v>645</v>
      </c>
      <c r="L198" s="52" t="s">
        <v>645</v>
      </c>
      <c r="M198" s="52" t="s">
        <v>29</v>
      </c>
      <c r="N198" s="53">
        <v>-20000</v>
      </c>
      <c r="O198" s="53">
        <v>-20000</v>
      </c>
      <c r="P198" s="52" t="s">
        <v>646</v>
      </c>
      <c r="Q198" s="52" t="s">
        <v>647</v>
      </c>
      <c r="R198" s="55" t="s">
        <v>64</v>
      </c>
      <c r="S198" s="52" t="s">
        <v>210</v>
      </c>
    </row>
    <row r="199" spans="1:19" outlineLevel="2" x14ac:dyDescent="0.45">
      <c r="A199" t="s">
        <v>17</v>
      </c>
      <c r="B199" s="52" t="s">
        <v>57</v>
      </c>
      <c r="C199" s="52" t="s">
        <v>376</v>
      </c>
      <c r="D199" s="52" t="s">
        <v>377</v>
      </c>
      <c r="E199" s="52" t="s">
        <v>387</v>
      </c>
      <c r="F199" s="52" t="s">
        <v>655</v>
      </c>
      <c r="G199" s="52" t="s">
        <v>60</v>
      </c>
      <c r="H199" s="54">
        <v>46023</v>
      </c>
      <c r="I199" s="52" t="s">
        <v>74</v>
      </c>
      <c r="J199" s="52" t="s">
        <v>210</v>
      </c>
      <c r="K199" s="52" t="s">
        <v>645</v>
      </c>
      <c r="L199" s="52" t="s">
        <v>645</v>
      </c>
      <c r="M199" s="52" t="s">
        <v>29</v>
      </c>
      <c r="N199" s="53">
        <v>-20000</v>
      </c>
      <c r="O199" s="53">
        <v>-20000</v>
      </c>
      <c r="P199" s="52" t="s">
        <v>646</v>
      </c>
      <c r="Q199" s="52" t="s">
        <v>647</v>
      </c>
      <c r="R199" s="55" t="s">
        <v>64</v>
      </c>
      <c r="S199" s="52" t="s">
        <v>210</v>
      </c>
    </row>
    <row r="200" spans="1:19" outlineLevel="2" x14ac:dyDescent="0.45">
      <c r="A200" t="s">
        <v>17</v>
      </c>
      <c r="B200" s="52" t="s">
        <v>57</v>
      </c>
      <c r="C200" s="52" t="s">
        <v>656</v>
      </c>
      <c r="D200" s="52" t="s">
        <v>657</v>
      </c>
      <c r="E200" s="52" t="s">
        <v>387</v>
      </c>
      <c r="F200" s="52" t="s">
        <v>658</v>
      </c>
      <c r="G200" s="52" t="s">
        <v>60</v>
      </c>
      <c r="H200" s="54">
        <v>46023</v>
      </c>
      <c r="I200" s="52" t="s">
        <v>74</v>
      </c>
      <c r="J200" s="52" t="s">
        <v>210</v>
      </c>
      <c r="K200" s="52" t="s">
        <v>659</v>
      </c>
      <c r="L200" s="52" t="s">
        <v>659</v>
      </c>
      <c r="M200" s="52" t="s">
        <v>29</v>
      </c>
      <c r="N200" s="53">
        <v>-18563.68</v>
      </c>
      <c r="O200" s="53">
        <v>-18563.68</v>
      </c>
      <c r="P200" s="52" t="s">
        <v>660</v>
      </c>
      <c r="Q200" s="52" t="s">
        <v>625</v>
      </c>
      <c r="R200" s="55" t="s">
        <v>64</v>
      </c>
      <c r="S200" s="52" t="s">
        <v>210</v>
      </c>
    </row>
    <row r="201" spans="1:19" outlineLevel="2" x14ac:dyDescent="0.45">
      <c r="A201" t="s">
        <v>17</v>
      </c>
      <c r="B201" s="52" t="s">
        <v>57</v>
      </c>
      <c r="C201" s="52" t="s">
        <v>376</v>
      </c>
      <c r="D201" s="52" t="s">
        <v>377</v>
      </c>
      <c r="E201" s="52" t="s">
        <v>387</v>
      </c>
      <c r="F201" s="52" t="s">
        <v>661</v>
      </c>
      <c r="G201" s="52" t="s">
        <v>60</v>
      </c>
      <c r="H201" s="54">
        <v>46023</v>
      </c>
      <c r="I201" s="52" t="s">
        <v>74</v>
      </c>
      <c r="J201" s="52" t="s">
        <v>210</v>
      </c>
      <c r="K201" s="52" t="s">
        <v>645</v>
      </c>
      <c r="L201" s="52" t="s">
        <v>645</v>
      </c>
      <c r="M201" s="52" t="s">
        <v>29</v>
      </c>
      <c r="N201" s="53">
        <v>-16875</v>
      </c>
      <c r="O201" s="53">
        <v>-16875</v>
      </c>
      <c r="P201" s="52" t="s">
        <v>646</v>
      </c>
      <c r="Q201" s="52" t="s">
        <v>647</v>
      </c>
      <c r="R201" s="55" t="s">
        <v>64</v>
      </c>
      <c r="S201" s="52" t="s">
        <v>210</v>
      </c>
    </row>
    <row r="202" spans="1:19" outlineLevel="2" x14ac:dyDescent="0.45">
      <c r="A202" t="s">
        <v>17</v>
      </c>
      <c r="B202" s="52" t="s">
        <v>57</v>
      </c>
      <c r="C202" s="52" t="s">
        <v>376</v>
      </c>
      <c r="D202" s="52" t="s">
        <v>377</v>
      </c>
      <c r="E202" s="52" t="s">
        <v>387</v>
      </c>
      <c r="F202" s="52" t="s">
        <v>662</v>
      </c>
      <c r="G202" s="52" t="s">
        <v>60</v>
      </c>
      <c r="H202" s="54">
        <v>46023</v>
      </c>
      <c r="I202" s="52" t="s">
        <v>74</v>
      </c>
      <c r="J202" s="52" t="s">
        <v>649</v>
      </c>
      <c r="K202" s="52" t="s">
        <v>650</v>
      </c>
      <c r="L202" s="52" t="s">
        <v>650</v>
      </c>
      <c r="M202" s="52" t="s">
        <v>29</v>
      </c>
      <c r="N202" s="53">
        <v>-16681</v>
      </c>
      <c r="O202" s="53">
        <v>-16681</v>
      </c>
      <c r="P202" s="52" t="s">
        <v>651</v>
      </c>
      <c r="Q202" s="52" t="s">
        <v>652</v>
      </c>
      <c r="R202" s="55" t="s">
        <v>64</v>
      </c>
      <c r="S202" s="52" t="s">
        <v>649</v>
      </c>
    </row>
    <row r="203" spans="1:19" outlineLevel="2" x14ac:dyDescent="0.45">
      <c r="A203" t="s">
        <v>17</v>
      </c>
      <c r="B203" s="52" t="s">
        <v>66</v>
      </c>
      <c r="C203" s="52" t="s">
        <v>663</v>
      </c>
      <c r="D203" s="52" t="s">
        <v>664</v>
      </c>
      <c r="E203" s="52" t="s">
        <v>387</v>
      </c>
      <c r="F203" s="52" t="s">
        <v>665</v>
      </c>
      <c r="G203" s="52" t="s">
        <v>60</v>
      </c>
      <c r="H203" s="54">
        <v>46023</v>
      </c>
      <c r="I203" s="52" t="s">
        <v>74</v>
      </c>
      <c r="J203" s="52" t="s">
        <v>210</v>
      </c>
      <c r="K203" s="52" t="s">
        <v>666</v>
      </c>
      <c r="L203" s="52" t="s">
        <v>666</v>
      </c>
      <c r="M203" s="52" t="s">
        <v>67</v>
      </c>
      <c r="N203" s="53">
        <v>-4672.8</v>
      </c>
      <c r="O203" s="53">
        <v>-15630.52</v>
      </c>
      <c r="P203" s="52" t="s">
        <v>667</v>
      </c>
      <c r="Q203" s="52" t="s">
        <v>668</v>
      </c>
      <c r="R203" s="55" t="s">
        <v>64</v>
      </c>
      <c r="S203" s="52" t="s">
        <v>210</v>
      </c>
    </row>
    <row r="204" spans="1:19" outlineLevel="2" x14ac:dyDescent="0.45">
      <c r="A204" t="s">
        <v>17</v>
      </c>
      <c r="B204" s="52" t="s">
        <v>66</v>
      </c>
      <c r="C204" s="52" t="s">
        <v>669</v>
      </c>
      <c r="D204" s="52" t="s">
        <v>670</v>
      </c>
      <c r="E204" s="52" t="s">
        <v>387</v>
      </c>
      <c r="F204" s="52" t="s">
        <v>671</v>
      </c>
      <c r="G204" s="52" t="s">
        <v>60</v>
      </c>
      <c r="H204" s="54">
        <v>46023</v>
      </c>
      <c r="I204" s="52" t="s">
        <v>74</v>
      </c>
      <c r="J204" s="52" t="s">
        <v>87</v>
      </c>
      <c r="K204" s="52" t="s">
        <v>672</v>
      </c>
      <c r="L204" s="52" t="s">
        <v>672</v>
      </c>
      <c r="M204" s="52" t="s">
        <v>67</v>
      </c>
      <c r="N204" s="53">
        <v>-4159.5</v>
      </c>
      <c r="O204" s="53">
        <v>-14009.2</v>
      </c>
      <c r="P204" s="52" t="s">
        <v>673</v>
      </c>
      <c r="Q204" s="52" t="s">
        <v>674</v>
      </c>
      <c r="R204" s="55" t="s">
        <v>64</v>
      </c>
      <c r="S204" s="52" t="s">
        <v>87</v>
      </c>
    </row>
    <row r="205" spans="1:19" outlineLevel="2" x14ac:dyDescent="0.45">
      <c r="A205" t="s">
        <v>17</v>
      </c>
      <c r="B205" s="52" t="s">
        <v>57</v>
      </c>
      <c r="C205" s="52" t="s">
        <v>630</v>
      </c>
      <c r="D205" s="52" t="s">
        <v>631</v>
      </c>
      <c r="E205" s="52" t="s">
        <v>387</v>
      </c>
      <c r="F205" s="52" t="s">
        <v>677</v>
      </c>
      <c r="G205" s="52" t="s">
        <v>60</v>
      </c>
      <c r="H205" s="54">
        <v>46023</v>
      </c>
      <c r="I205" s="52" t="s">
        <v>74</v>
      </c>
      <c r="J205" s="52" t="s">
        <v>210</v>
      </c>
      <c r="K205" s="52" t="s">
        <v>678</v>
      </c>
      <c r="L205" s="52" t="s">
        <v>678</v>
      </c>
      <c r="M205" s="52" t="s">
        <v>29</v>
      </c>
      <c r="N205" s="53">
        <v>-13431</v>
      </c>
      <c r="O205" s="53">
        <v>-13431</v>
      </c>
      <c r="P205" s="52" t="s">
        <v>679</v>
      </c>
      <c r="Q205" s="52" t="s">
        <v>680</v>
      </c>
      <c r="R205" s="55" t="s">
        <v>64</v>
      </c>
      <c r="S205" s="52" t="s">
        <v>210</v>
      </c>
    </row>
    <row r="206" spans="1:19" outlineLevel="2" x14ac:dyDescent="0.45">
      <c r="A206" t="s">
        <v>17</v>
      </c>
      <c r="B206" s="52" t="s">
        <v>57</v>
      </c>
      <c r="C206" s="52" t="s">
        <v>376</v>
      </c>
      <c r="D206" s="52" t="s">
        <v>377</v>
      </c>
      <c r="E206" s="52" t="s">
        <v>387</v>
      </c>
      <c r="F206" s="52" t="s">
        <v>681</v>
      </c>
      <c r="G206" s="52" t="s">
        <v>60</v>
      </c>
      <c r="H206" s="54">
        <v>46023</v>
      </c>
      <c r="I206" s="52" t="s">
        <v>74</v>
      </c>
      <c r="J206" s="52" t="s">
        <v>210</v>
      </c>
      <c r="K206" s="52" t="s">
        <v>641</v>
      </c>
      <c r="L206" s="52" t="s">
        <v>641</v>
      </c>
      <c r="M206" s="52" t="s">
        <v>29</v>
      </c>
      <c r="N206" s="53">
        <v>-11110.63</v>
      </c>
      <c r="O206" s="53">
        <v>-11110.63</v>
      </c>
      <c r="P206" s="52" t="s">
        <v>642</v>
      </c>
      <c r="Q206" s="52" t="s">
        <v>643</v>
      </c>
      <c r="R206" s="55" t="s">
        <v>64</v>
      </c>
      <c r="S206" s="52" t="s">
        <v>210</v>
      </c>
    </row>
    <row r="207" spans="1:19" outlineLevel="2" x14ac:dyDescent="0.45">
      <c r="A207" t="s">
        <v>17</v>
      </c>
      <c r="B207" s="52" t="s">
        <v>66</v>
      </c>
      <c r="C207" s="52" t="s">
        <v>682</v>
      </c>
      <c r="D207" s="52" t="s">
        <v>683</v>
      </c>
      <c r="E207" s="52" t="s">
        <v>387</v>
      </c>
      <c r="F207" s="52" t="s">
        <v>684</v>
      </c>
      <c r="G207" s="52" t="s">
        <v>60</v>
      </c>
      <c r="H207" s="54">
        <v>46023</v>
      </c>
      <c r="I207" s="52" t="s">
        <v>74</v>
      </c>
      <c r="J207" s="52" t="s">
        <v>210</v>
      </c>
      <c r="K207" s="52" t="s">
        <v>685</v>
      </c>
      <c r="L207" s="52" t="s">
        <v>685</v>
      </c>
      <c r="M207" s="52" t="s">
        <v>67</v>
      </c>
      <c r="N207" s="53">
        <v>-3115.2</v>
      </c>
      <c r="O207" s="53">
        <v>-10420.34</v>
      </c>
      <c r="P207" s="52" t="s">
        <v>686</v>
      </c>
      <c r="Q207" s="52" t="s">
        <v>687</v>
      </c>
      <c r="R207" s="55" t="s">
        <v>64</v>
      </c>
      <c r="S207" s="52" t="s">
        <v>210</v>
      </c>
    </row>
    <row r="208" spans="1:19" outlineLevel="2" x14ac:dyDescent="0.45">
      <c r="A208" t="s">
        <v>17</v>
      </c>
      <c r="B208" s="52" t="s">
        <v>57</v>
      </c>
      <c r="C208" s="52" t="s">
        <v>376</v>
      </c>
      <c r="D208" s="52" t="s">
        <v>377</v>
      </c>
      <c r="E208" s="52" t="s">
        <v>387</v>
      </c>
      <c r="F208" s="52" t="s">
        <v>688</v>
      </c>
      <c r="G208" s="52" t="s">
        <v>60</v>
      </c>
      <c r="H208" s="54">
        <v>46023</v>
      </c>
      <c r="I208" s="52" t="s">
        <v>74</v>
      </c>
      <c r="J208" s="52" t="s">
        <v>210</v>
      </c>
      <c r="K208" s="52" t="s">
        <v>645</v>
      </c>
      <c r="L208" s="52" t="s">
        <v>645</v>
      </c>
      <c r="M208" s="52" t="s">
        <v>29</v>
      </c>
      <c r="N208" s="53">
        <v>-10005</v>
      </c>
      <c r="O208" s="53">
        <v>-10005</v>
      </c>
      <c r="P208" s="52" t="s">
        <v>646</v>
      </c>
      <c r="Q208" s="52" t="s">
        <v>647</v>
      </c>
      <c r="R208" s="55" t="s">
        <v>64</v>
      </c>
      <c r="S208" s="52" t="s">
        <v>210</v>
      </c>
    </row>
    <row r="209" spans="1:19" outlineLevel="2" x14ac:dyDescent="0.45">
      <c r="A209" s="59" t="s">
        <v>17</v>
      </c>
      <c r="B209" s="60" t="s">
        <v>57</v>
      </c>
      <c r="C209" s="52" t="s">
        <v>376</v>
      </c>
      <c r="D209" s="60" t="s">
        <v>377</v>
      </c>
      <c r="E209" s="52" t="s">
        <v>387</v>
      </c>
      <c r="F209" s="52" t="s">
        <v>689</v>
      </c>
      <c r="G209" s="52" t="s">
        <v>60</v>
      </c>
      <c r="H209" s="54">
        <v>46023</v>
      </c>
      <c r="I209" s="52" t="s">
        <v>74</v>
      </c>
      <c r="J209" s="60" t="s">
        <v>210</v>
      </c>
      <c r="K209" s="52" t="s">
        <v>690</v>
      </c>
      <c r="L209" s="52" t="s">
        <v>690</v>
      </c>
      <c r="M209" s="60" t="s">
        <v>29</v>
      </c>
      <c r="N209" s="61">
        <v>-10000</v>
      </c>
      <c r="O209" s="61">
        <v>-10000</v>
      </c>
      <c r="P209" s="60" t="s">
        <v>691</v>
      </c>
      <c r="Q209" s="60" t="s">
        <v>692</v>
      </c>
      <c r="R209" s="62" t="s">
        <v>64</v>
      </c>
      <c r="S209" s="60" t="s">
        <v>210</v>
      </c>
    </row>
    <row r="210" spans="1:19" outlineLevel="2" x14ac:dyDescent="0.45">
      <c r="A210" t="s">
        <v>17</v>
      </c>
      <c r="B210" s="52" t="s">
        <v>57</v>
      </c>
      <c r="C210" s="52" t="s">
        <v>376</v>
      </c>
      <c r="D210" s="52" t="s">
        <v>377</v>
      </c>
      <c r="E210" s="52" t="s">
        <v>387</v>
      </c>
      <c r="F210" s="52" t="s">
        <v>693</v>
      </c>
      <c r="G210" s="52" t="s">
        <v>60</v>
      </c>
      <c r="H210" s="54">
        <v>46023</v>
      </c>
      <c r="I210" s="52" t="s">
        <v>74</v>
      </c>
      <c r="J210" s="52" t="s">
        <v>210</v>
      </c>
      <c r="K210" s="52" t="s">
        <v>645</v>
      </c>
      <c r="L210" s="52" t="s">
        <v>645</v>
      </c>
      <c r="M210" s="52" t="s">
        <v>29</v>
      </c>
      <c r="N210" s="53">
        <v>-10000</v>
      </c>
      <c r="O210" s="53">
        <v>-10000</v>
      </c>
      <c r="P210" s="52" t="s">
        <v>646</v>
      </c>
      <c r="Q210" s="52" t="s">
        <v>647</v>
      </c>
      <c r="R210" s="55" t="s">
        <v>64</v>
      </c>
      <c r="S210" s="52" t="s">
        <v>210</v>
      </c>
    </row>
    <row r="211" spans="1:19" outlineLevel="2" x14ac:dyDescent="0.45">
      <c r="A211" s="59" t="s">
        <v>17</v>
      </c>
      <c r="B211" s="60" t="s">
        <v>57</v>
      </c>
      <c r="C211" s="52" t="s">
        <v>376</v>
      </c>
      <c r="D211" s="60" t="s">
        <v>377</v>
      </c>
      <c r="E211" s="52" t="s">
        <v>71</v>
      </c>
      <c r="F211" s="52" t="s">
        <v>694</v>
      </c>
      <c r="G211" s="52" t="s">
        <v>73</v>
      </c>
      <c r="H211" s="54">
        <v>46023</v>
      </c>
      <c r="I211" s="52" t="s">
        <v>74</v>
      </c>
      <c r="J211" s="60" t="s">
        <v>210</v>
      </c>
      <c r="K211" s="52" t="s">
        <v>695</v>
      </c>
      <c r="L211" s="52" t="s">
        <v>695</v>
      </c>
      <c r="M211" s="60" t="s">
        <v>29</v>
      </c>
      <c r="N211" s="61">
        <v>10000</v>
      </c>
      <c r="O211" s="61">
        <v>10000</v>
      </c>
      <c r="P211" s="60" t="s">
        <v>696</v>
      </c>
      <c r="Q211" s="60" t="s">
        <v>118</v>
      </c>
      <c r="R211" s="62" t="s">
        <v>64</v>
      </c>
      <c r="S211" s="60" t="s">
        <v>210</v>
      </c>
    </row>
    <row r="212" spans="1:19" outlineLevel="2" x14ac:dyDescent="0.45">
      <c r="A212" t="s">
        <v>17</v>
      </c>
      <c r="B212" s="52" t="s">
        <v>57</v>
      </c>
      <c r="C212" s="52" t="s">
        <v>697</v>
      </c>
      <c r="D212" s="52" t="s">
        <v>698</v>
      </c>
      <c r="E212" s="52" t="s">
        <v>387</v>
      </c>
      <c r="F212" s="52" t="s">
        <v>699</v>
      </c>
      <c r="G212" s="52" t="s">
        <v>60</v>
      </c>
      <c r="H212" s="54">
        <v>46023</v>
      </c>
      <c r="I212" s="52" t="s">
        <v>74</v>
      </c>
      <c r="J212" s="52" t="s">
        <v>107</v>
      </c>
      <c r="K212" s="52" t="s">
        <v>700</v>
      </c>
      <c r="L212" s="52" t="s">
        <v>701</v>
      </c>
      <c r="M212" s="52" t="s">
        <v>29</v>
      </c>
      <c r="N212" s="53">
        <v>-8890.7900000000009</v>
      </c>
      <c r="O212" s="53">
        <v>-8890.7900000000009</v>
      </c>
      <c r="P212" s="52" t="s">
        <v>702</v>
      </c>
      <c r="Q212" s="52" t="s">
        <v>703</v>
      </c>
      <c r="R212" s="55" t="s">
        <v>64</v>
      </c>
      <c r="S212" s="52" t="s">
        <v>107</v>
      </c>
    </row>
    <row r="213" spans="1:19" outlineLevel="2" x14ac:dyDescent="0.45">
      <c r="A213" t="s">
        <v>17</v>
      </c>
      <c r="B213" s="52" t="s">
        <v>57</v>
      </c>
      <c r="C213" s="52" t="s">
        <v>376</v>
      </c>
      <c r="D213" s="52" t="s">
        <v>377</v>
      </c>
      <c r="E213" s="52" t="s">
        <v>387</v>
      </c>
      <c r="F213" s="52" t="s">
        <v>704</v>
      </c>
      <c r="G213" s="52" t="s">
        <v>60</v>
      </c>
      <c r="H213" s="54">
        <v>46023</v>
      </c>
      <c r="I213" s="52" t="s">
        <v>74</v>
      </c>
      <c r="J213" s="52" t="s">
        <v>210</v>
      </c>
      <c r="K213" s="52" t="s">
        <v>645</v>
      </c>
      <c r="L213" s="52" t="s">
        <v>645</v>
      </c>
      <c r="M213" s="52" t="s">
        <v>29</v>
      </c>
      <c r="N213" s="53">
        <v>-8817</v>
      </c>
      <c r="O213" s="53">
        <v>-8817</v>
      </c>
      <c r="P213" s="52" t="s">
        <v>646</v>
      </c>
      <c r="Q213" s="52" t="s">
        <v>647</v>
      </c>
      <c r="R213" s="55" t="s">
        <v>64</v>
      </c>
      <c r="S213" s="52" t="s">
        <v>210</v>
      </c>
    </row>
    <row r="214" spans="1:19" outlineLevel="2" x14ac:dyDescent="0.45">
      <c r="A214" t="s">
        <v>17</v>
      </c>
      <c r="B214" s="52" t="s">
        <v>57</v>
      </c>
      <c r="C214" s="52" t="s">
        <v>376</v>
      </c>
      <c r="D214" s="52" t="s">
        <v>377</v>
      </c>
      <c r="E214" s="52" t="s">
        <v>387</v>
      </c>
      <c r="F214" s="52" t="s">
        <v>705</v>
      </c>
      <c r="G214" s="52" t="s">
        <v>60</v>
      </c>
      <c r="H214" s="54">
        <v>46023</v>
      </c>
      <c r="I214" s="52" t="s">
        <v>74</v>
      </c>
      <c r="J214" s="52" t="s">
        <v>210</v>
      </c>
      <c r="K214" s="52" t="s">
        <v>645</v>
      </c>
      <c r="L214" s="52" t="s">
        <v>645</v>
      </c>
      <c r="M214" s="52" t="s">
        <v>29</v>
      </c>
      <c r="N214" s="53">
        <v>-8260</v>
      </c>
      <c r="O214" s="53">
        <v>-8260</v>
      </c>
      <c r="P214" s="52" t="s">
        <v>646</v>
      </c>
      <c r="Q214" s="52" t="s">
        <v>647</v>
      </c>
      <c r="R214" s="55" t="s">
        <v>64</v>
      </c>
      <c r="S214" s="52" t="s">
        <v>210</v>
      </c>
    </row>
    <row r="215" spans="1:19" outlineLevel="2" x14ac:dyDescent="0.45">
      <c r="A215" t="s">
        <v>17</v>
      </c>
      <c r="B215" s="52" t="s">
        <v>57</v>
      </c>
      <c r="C215" s="52" t="s">
        <v>376</v>
      </c>
      <c r="D215" s="52" t="s">
        <v>377</v>
      </c>
      <c r="E215" s="52" t="s">
        <v>387</v>
      </c>
      <c r="F215" s="52" t="s">
        <v>706</v>
      </c>
      <c r="G215" s="52" t="s">
        <v>60</v>
      </c>
      <c r="H215" s="54">
        <v>46023</v>
      </c>
      <c r="I215" s="52" t="s">
        <v>74</v>
      </c>
      <c r="J215" s="52" t="s">
        <v>210</v>
      </c>
      <c r="K215" s="52" t="s">
        <v>645</v>
      </c>
      <c r="L215" s="52" t="s">
        <v>645</v>
      </c>
      <c r="M215" s="52" t="s">
        <v>29</v>
      </c>
      <c r="N215" s="53">
        <v>-8000</v>
      </c>
      <c r="O215" s="53">
        <v>-8000</v>
      </c>
      <c r="P215" s="52" t="s">
        <v>646</v>
      </c>
      <c r="Q215" s="52" t="s">
        <v>647</v>
      </c>
      <c r="R215" s="55" t="s">
        <v>64</v>
      </c>
      <c r="S215" s="52" t="s">
        <v>210</v>
      </c>
    </row>
    <row r="216" spans="1:19" outlineLevel="2" x14ac:dyDescent="0.45">
      <c r="A216" t="s">
        <v>17</v>
      </c>
      <c r="B216" s="52" t="s">
        <v>57</v>
      </c>
      <c r="C216" s="52" t="s">
        <v>707</v>
      </c>
      <c r="D216" s="52" t="s">
        <v>708</v>
      </c>
      <c r="E216" s="52" t="s">
        <v>387</v>
      </c>
      <c r="F216" s="52" t="s">
        <v>709</v>
      </c>
      <c r="G216" s="52" t="s">
        <v>60</v>
      </c>
      <c r="H216" s="54">
        <v>46023</v>
      </c>
      <c r="I216" s="52" t="s">
        <v>74</v>
      </c>
      <c r="J216" s="52" t="s">
        <v>107</v>
      </c>
      <c r="K216" s="52" t="s">
        <v>710</v>
      </c>
      <c r="L216" s="52" t="s">
        <v>711</v>
      </c>
      <c r="M216" s="52" t="s">
        <v>29</v>
      </c>
      <c r="N216" s="53">
        <v>-7481.76</v>
      </c>
      <c r="O216" s="53">
        <v>-7481.76</v>
      </c>
      <c r="P216" s="52" t="s">
        <v>712</v>
      </c>
      <c r="Q216" s="52" t="s">
        <v>713</v>
      </c>
      <c r="R216" s="55" t="s">
        <v>64</v>
      </c>
      <c r="S216" s="52" t="s">
        <v>107</v>
      </c>
    </row>
    <row r="217" spans="1:19" outlineLevel="2" x14ac:dyDescent="0.45">
      <c r="A217" t="s">
        <v>17</v>
      </c>
      <c r="B217" s="52" t="s">
        <v>66</v>
      </c>
      <c r="C217" s="52" t="s">
        <v>376</v>
      </c>
      <c r="D217" s="52" t="s">
        <v>377</v>
      </c>
      <c r="E217" s="52" t="s">
        <v>387</v>
      </c>
      <c r="F217" s="52" t="s">
        <v>714</v>
      </c>
      <c r="G217" s="52" t="s">
        <v>60</v>
      </c>
      <c r="H217" s="54">
        <v>46023</v>
      </c>
      <c r="I217" s="52" t="s">
        <v>74</v>
      </c>
      <c r="J217" s="52" t="s">
        <v>210</v>
      </c>
      <c r="K217" s="52" t="s">
        <v>715</v>
      </c>
      <c r="L217" s="52" t="s">
        <v>715</v>
      </c>
      <c r="M217" s="52" t="s">
        <v>67</v>
      </c>
      <c r="N217" s="53">
        <v>-2000</v>
      </c>
      <c r="O217" s="53">
        <v>-6690</v>
      </c>
      <c r="P217" s="52" t="s">
        <v>716</v>
      </c>
      <c r="Q217" s="52" t="s">
        <v>717</v>
      </c>
      <c r="R217" s="55" t="s">
        <v>64</v>
      </c>
      <c r="S217" s="52" t="s">
        <v>210</v>
      </c>
    </row>
    <row r="218" spans="1:19" outlineLevel="2" x14ac:dyDescent="0.45">
      <c r="A218" t="s">
        <v>17</v>
      </c>
      <c r="B218" s="52" t="s">
        <v>57</v>
      </c>
      <c r="C218" s="52" t="s">
        <v>376</v>
      </c>
      <c r="D218" s="52" t="s">
        <v>377</v>
      </c>
      <c r="E218" s="52" t="s">
        <v>387</v>
      </c>
      <c r="F218" s="52" t="s">
        <v>723</v>
      </c>
      <c r="G218" s="52" t="s">
        <v>60</v>
      </c>
      <c r="H218" s="54">
        <v>46023</v>
      </c>
      <c r="I218" s="52" t="s">
        <v>74</v>
      </c>
      <c r="J218" s="52" t="s">
        <v>649</v>
      </c>
      <c r="K218" s="52" t="s">
        <v>650</v>
      </c>
      <c r="L218" s="52" t="s">
        <v>650</v>
      </c>
      <c r="M218" s="52" t="s">
        <v>29</v>
      </c>
      <c r="N218" s="53">
        <v>-5385.81</v>
      </c>
      <c r="O218" s="53">
        <v>-5385.81</v>
      </c>
      <c r="P218" s="52" t="s">
        <v>651</v>
      </c>
      <c r="Q218" s="52" t="s">
        <v>652</v>
      </c>
      <c r="R218" s="55" t="s">
        <v>64</v>
      </c>
      <c r="S218" s="52" t="s">
        <v>649</v>
      </c>
    </row>
    <row r="219" spans="1:19" outlineLevel="2" x14ac:dyDescent="0.45">
      <c r="A219" t="s">
        <v>17</v>
      </c>
      <c r="B219" s="52" t="s">
        <v>57</v>
      </c>
      <c r="C219" s="52" t="s">
        <v>376</v>
      </c>
      <c r="D219" s="52" t="s">
        <v>377</v>
      </c>
      <c r="E219" s="52" t="s">
        <v>387</v>
      </c>
      <c r="F219" s="52" t="s">
        <v>724</v>
      </c>
      <c r="G219" s="52" t="s">
        <v>60</v>
      </c>
      <c r="H219" s="54">
        <v>46023</v>
      </c>
      <c r="I219" s="52" t="s">
        <v>74</v>
      </c>
      <c r="J219" s="52" t="s">
        <v>649</v>
      </c>
      <c r="K219" s="52" t="s">
        <v>650</v>
      </c>
      <c r="L219" s="52" t="s">
        <v>650</v>
      </c>
      <c r="M219" s="52" t="s">
        <v>29</v>
      </c>
      <c r="N219" s="53">
        <v>-5237</v>
      </c>
      <c r="O219" s="53">
        <v>-5237</v>
      </c>
      <c r="P219" s="52" t="s">
        <v>651</v>
      </c>
      <c r="Q219" s="52" t="s">
        <v>652</v>
      </c>
      <c r="R219" s="55" t="s">
        <v>64</v>
      </c>
      <c r="S219" s="52" t="s">
        <v>649</v>
      </c>
    </row>
    <row r="220" spans="1:19" outlineLevel="2" x14ac:dyDescent="0.45">
      <c r="A220" t="s">
        <v>17</v>
      </c>
      <c r="B220" s="52" t="s">
        <v>57</v>
      </c>
      <c r="C220" s="52" t="s">
        <v>725</v>
      </c>
      <c r="D220" s="52" t="s">
        <v>726</v>
      </c>
      <c r="E220" s="52" t="s">
        <v>387</v>
      </c>
      <c r="F220" s="52" t="s">
        <v>727</v>
      </c>
      <c r="G220" s="52" t="s">
        <v>60</v>
      </c>
      <c r="H220" s="54">
        <v>46023</v>
      </c>
      <c r="I220" s="52" t="s">
        <v>74</v>
      </c>
      <c r="J220" s="52" t="s">
        <v>107</v>
      </c>
      <c r="K220" s="52" t="s">
        <v>728</v>
      </c>
      <c r="L220" s="52" t="s">
        <v>728</v>
      </c>
      <c r="M220" s="52" t="s">
        <v>29</v>
      </c>
      <c r="N220" s="53">
        <v>-4956</v>
      </c>
      <c r="O220" s="53">
        <v>-4956</v>
      </c>
      <c r="P220" s="52" t="s">
        <v>729</v>
      </c>
      <c r="Q220" s="52" t="s">
        <v>730</v>
      </c>
      <c r="R220" s="55" t="s">
        <v>64</v>
      </c>
      <c r="S220" s="52" t="s">
        <v>107</v>
      </c>
    </row>
    <row r="221" spans="1:19" outlineLevel="2" x14ac:dyDescent="0.45">
      <c r="A221" t="s">
        <v>17</v>
      </c>
      <c r="B221" s="52" t="s">
        <v>57</v>
      </c>
      <c r="C221" s="52" t="s">
        <v>376</v>
      </c>
      <c r="D221" s="52" t="s">
        <v>377</v>
      </c>
      <c r="E221" s="52" t="s">
        <v>387</v>
      </c>
      <c r="F221" s="52" t="s">
        <v>731</v>
      </c>
      <c r="G221" s="52" t="s">
        <v>60</v>
      </c>
      <c r="H221" s="54">
        <v>46023</v>
      </c>
      <c r="I221" s="52" t="s">
        <v>74</v>
      </c>
      <c r="J221" s="52" t="s">
        <v>210</v>
      </c>
      <c r="K221" s="52" t="s">
        <v>645</v>
      </c>
      <c r="L221" s="52" t="s">
        <v>645</v>
      </c>
      <c r="M221" s="52" t="s">
        <v>29</v>
      </c>
      <c r="N221" s="53">
        <v>-4935.22</v>
      </c>
      <c r="O221" s="53">
        <v>-4935.22</v>
      </c>
      <c r="P221" s="52" t="s">
        <v>646</v>
      </c>
      <c r="Q221" s="52" t="s">
        <v>647</v>
      </c>
      <c r="R221" s="55" t="s">
        <v>64</v>
      </c>
      <c r="S221" s="52" t="s">
        <v>210</v>
      </c>
    </row>
    <row r="222" spans="1:19" outlineLevel="2" x14ac:dyDescent="0.45">
      <c r="A222" t="s">
        <v>17</v>
      </c>
      <c r="B222" s="52" t="s">
        <v>57</v>
      </c>
      <c r="C222" s="52" t="s">
        <v>376</v>
      </c>
      <c r="D222" s="52" t="s">
        <v>377</v>
      </c>
      <c r="E222" s="52" t="s">
        <v>387</v>
      </c>
      <c r="F222" s="52" t="s">
        <v>732</v>
      </c>
      <c r="G222" s="52" t="s">
        <v>60</v>
      </c>
      <c r="H222" s="54">
        <v>46023</v>
      </c>
      <c r="I222" s="52" t="s">
        <v>74</v>
      </c>
      <c r="J222" s="52" t="s">
        <v>210</v>
      </c>
      <c r="K222" s="52" t="s">
        <v>641</v>
      </c>
      <c r="L222" s="52" t="s">
        <v>641</v>
      </c>
      <c r="M222" s="52" t="s">
        <v>29</v>
      </c>
      <c r="N222" s="53">
        <v>-4466.32</v>
      </c>
      <c r="O222" s="53">
        <v>-4466.32</v>
      </c>
      <c r="P222" s="52" t="s">
        <v>642</v>
      </c>
      <c r="Q222" s="52" t="s">
        <v>643</v>
      </c>
      <c r="R222" s="55" t="s">
        <v>64</v>
      </c>
      <c r="S222" s="52" t="s">
        <v>210</v>
      </c>
    </row>
    <row r="223" spans="1:19" outlineLevel="2" x14ac:dyDescent="0.45">
      <c r="A223" t="s">
        <v>17</v>
      </c>
      <c r="B223" s="52" t="s">
        <v>57</v>
      </c>
      <c r="C223" s="52" t="s">
        <v>376</v>
      </c>
      <c r="D223" s="52" t="s">
        <v>377</v>
      </c>
      <c r="E223" s="52" t="s">
        <v>387</v>
      </c>
      <c r="F223" s="52" t="s">
        <v>733</v>
      </c>
      <c r="G223" s="52" t="s">
        <v>60</v>
      </c>
      <c r="H223" s="54">
        <v>46023</v>
      </c>
      <c r="I223" s="52" t="s">
        <v>74</v>
      </c>
      <c r="J223" s="52" t="s">
        <v>210</v>
      </c>
      <c r="K223" s="52" t="s">
        <v>645</v>
      </c>
      <c r="L223" s="52" t="s">
        <v>645</v>
      </c>
      <c r="M223" s="52" t="s">
        <v>29</v>
      </c>
      <c r="N223" s="53">
        <v>-4000</v>
      </c>
      <c r="O223" s="53">
        <v>-4000</v>
      </c>
      <c r="P223" s="52" t="s">
        <v>646</v>
      </c>
      <c r="Q223" s="52" t="s">
        <v>647</v>
      </c>
      <c r="R223" s="55" t="s">
        <v>64</v>
      </c>
      <c r="S223" s="52" t="s">
        <v>210</v>
      </c>
    </row>
    <row r="224" spans="1:19" outlineLevel="2" x14ac:dyDescent="0.45">
      <c r="A224" t="s">
        <v>17</v>
      </c>
      <c r="B224" s="52" t="s">
        <v>57</v>
      </c>
      <c r="C224" s="52" t="s">
        <v>734</v>
      </c>
      <c r="D224" s="52" t="s">
        <v>735</v>
      </c>
      <c r="E224" s="52" t="s">
        <v>387</v>
      </c>
      <c r="F224" s="52" t="s">
        <v>736</v>
      </c>
      <c r="G224" s="52" t="s">
        <v>60</v>
      </c>
      <c r="H224" s="54">
        <v>46023</v>
      </c>
      <c r="I224" s="52" t="s">
        <v>74</v>
      </c>
      <c r="J224" s="52" t="s">
        <v>107</v>
      </c>
      <c r="K224" s="52" t="s">
        <v>737</v>
      </c>
      <c r="L224" s="52" t="s">
        <v>738</v>
      </c>
      <c r="M224" s="52" t="s">
        <v>29</v>
      </c>
      <c r="N224" s="53">
        <v>-3853.82</v>
      </c>
      <c r="O224" s="53">
        <v>-3853.82</v>
      </c>
      <c r="P224" s="52" t="s">
        <v>739</v>
      </c>
      <c r="Q224" s="52" t="s">
        <v>740</v>
      </c>
      <c r="R224" s="55" t="s">
        <v>64</v>
      </c>
      <c r="S224" s="52" t="s">
        <v>107</v>
      </c>
    </row>
    <row r="225" spans="1:19" outlineLevel="2" x14ac:dyDescent="0.45">
      <c r="A225" t="s">
        <v>17</v>
      </c>
      <c r="B225" s="52" t="s">
        <v>57</v>
      </c>
      <c r="C225" s="52" t="s">
        <v>376</v>
      </c>
      <c r="D225" s="52" t="s">
        <v>377</v>
      </c>
      <c r="E225" s="52" t="s">
        <v>387</v>
      </c>
      <c r="F225" s="52" t="s">
        <v>741</v>
      </c>
      <c r="G225" s="52" t="s">
        <v>60</v>
      </c>
      <c r="H225" s="54">
        <v>46023</v>
      </c>
      <c r="I225" s="52" t="s">
        <v>74</v>
      </c>
      <c r="J225" s="52" t="s">
        <v>210</v>
      </c>
      <c r="K225" s="52" t="s">
        <v>645</v>
      </c>
      <c r="L225" s="52" t="s">
        <v>645</v>
      </c>
      <c r="M225" s="52" t="s">
        <v>29</v>
      </c>
      <c r="N225" s="53">
        <v>-3500</v>
      </c>
      <c r="O225" s="53">
        <v>-3500</v>
      </c>
      <c r="P225" s="52" t="s">
        <v>646</v>
      </c>
      <c r="Q225" s="52" t="s">
        <v>647</v>
      </c>
      <c r="R225" s="55" t="s">
        <v>64</v>
      </c>
      <c r="S225" s="52" t="s">
        <v>210</v>
      </c>
    </row>
    <row r="226" spans="1:19" outlineLevel="2" x14ac:dyDescent="0.45">
      <c r="A226" t="s">
        <v>17</v>
      </c>
      <c r="B226" s="52" t="s">
        <v>66</v>
      </c>
      <c r="C226" s="52" t="s">
        <v>376</v>
      </c>
      <c r="D226" s="52" t="s">
        <v>377</v>
      </c>
      <c r="E226" s="52" t="s">
        <v>387</v>
      </c>
      <c r="F226" s="52" t="s">
        <v>742</v>
      </c>
      <c r="G226" s="52" t="s">
        <v>60</v>
      </c>
      <c r="H226" s="54">
        <v>46023</v>
      </c>
      <c r="I226" s="52" t="s">
        <v>74</v>
      </c>
      <c r="J226" s="52" t="s">
        <v>210</v>
      </c>
      <c r="K226" s="52" t="s">
        <v>743</v>
      </c>
      <c r="L226" s="52" t="s">
        <v>743</v>
      </c>
      <c r="M226" s="52" t="s">
        <v>67</v>
      </c>
      <c r="N226" s="53">
        <v>-1000</v>
      </c>
      <c r="O226" s="53">
        <v>-3345</v>
      </c>
      <c r="P226" s="52" t="s">
        <v>744</v>
      </c>
      <c r="Q226" s="52" t="s">
        <v>745</v>
      </c>
      <c r="R226" s="55" t="s">
        <v>64</v>
      </c>
      <c r="S226" s="52" t="s">
        <v>210</v>
      </c>
    </row>
    <row r="227" spans="1:19" outlineLevel="2" x14ac:dyDescent="0.45">
      <c r="A227" t="s">
        <v>17</v>
      </c>
      <c r="B227" s="52" t="s">
        <v>57</v>
      </c>
      <c r="C227" s="52" t="s">
        <v>376</v>
      </c>
      <c r="D227" s="52" t="s">
        <v>377</v>
      </c>
      <c r="E227" s="52" t="s">
        <v>387</v>
      </c>
      <c r="F227" s="52" t="s">
        <v>746</v>
      </c>
      <c r="G227" s="52" t="s">
        <v>60</v>
      </c>
      <c r="H227" s="54">
        <v>46023</v>
      </c>
      <c r="I227" s="52" t="s">
        <v>74</v>
      </c>
      <c r="J227" s="52" t="s">
        <v>210</v>
      </c>
      <c r="K227" s="52" t="s">
        <v>641</v>
      </c>
      <c r="L227" s="52" t="s">
        <v>641</v>
      </c>
      <c r="M227" s="52" t="s">
        <v>29</v>
      </c>
      <c r="N227" s="53">
        <v>-3297.06</v>
      </c>
      <c r="O227" s="53">
        <v>-3297.06</v>
      </c>
      <c r="P227" s="52" t="s">
        <v>642</v>
      </c>
      <c r="Q227" s="52" t="s">
        <v>643</v>
      </c>
      <c r="R227" s="55" t="s">
        <v>64</v>
      </c>
      <c r="S227" s="52" t="s">
        <v>210</v>
      </c>
    </row>
    <row r="228" spans="1:19" outlineLevel="2" x14ac:dyDescent="0.45">
      <c r="A228" t="s">
        <v>17</v>
      </c>
      <c r="B228" s="52" t="s">
        <v>57</v>
      </c>
      <c r="C228" s="52" t="s">
        <v>747</v>
      </c>
      <c r="D228" s="52" t="s">
        <v>748</v>
      </c>
      <c r="E228" s="52" t="s">
        <v>387</v>
      </c>
      <c r="F228" s="52" t="s">
        <v>749</v>
      </c>
      <c r="G228" s="52" t="s">
        <v>60</v>
      </c>
      <c r="H228" s="54">
        <v>46023</v>
      </c>
      <c r="I228" s="52" t="s">
        <v>74</v>
      </c>
      <c r="J228" s="52" t="s">
        <v>210</v>
      </c>
      <c r="K228" s="52" t="s">
        <v>750</v>
      </c>
      <c r="L228" s="52" t="s">
        <v>750</v>
      </c>
      <c r="M228" s="52" t="s">
        <v>29</v>
      </c>
      <c r="N228" s="53">
        <v>-3175.44</v>
      </c>
      <c r="O228" s="53">
        <v>-3175.44</v>
      </c>
      <c r="P228" s="52" t="s">
        <v>751</v>
      </c>
      <c r="Q228" s="52" t="s">
        <v>625</v>
      </c>
      <c r="R228" s="55" t="s">
        <v>64</v>
      </c>
      <c r="S228" s="52" t="s">
        <v>210</v>
      </c>
    </row>
    <row r="229" spans="1:19" outlineLevel="2" x14ac:dyDescent="0.45">
      <c r="A229" t="s">
        <v>17</v>
      </c>
      <c r="B229" s="52" t="s">
        <v>57</v>
      </c>
      <c r="C229" s="52" t="s">
        <v>752</v>
      </c>
      <c r="D229" s="52" t="s">
        <v>753</v>
      </c>
      <c r="E229" s="52" t="s">
        <v>387</v>
      </c>
      <c r="F229" s="52" t="s">
        <v>754</v>
      </c>
      <c r="G229" s="52" t="s">
        <v>60</v>
      </c>
      <c r="H229" s="54">
        <v>46023</v>
      </c>
      <c r="I229" s="52" t="s">
        <v>74</v>
      </c>
      <c r="J229" s="52" t="s">
        <v>210</v>
      </c>
      <c r="K229" s="52" t="s">
        <v>755</v>
      </c>
      <c r="L229" s="52" t="s">
        <v>755</v>
      </c>
      <c r="M229" s="52" t="s">
        <v>29</v>
      </c>
      <c r="N229" s="53">
        <v>-3115</v>
      </c>
      <c r="O229" s="53">
        <v>-3115</v>
      </c>
      <c r="P229" s="52" t="s">
        <v>756</v>
      </c>
      <c r="Q229" s="52" t="s">
        <v>625</v>
      </c>
      <c r="R229" s="55" t="s">
        <v>64</v>
      </c>
      <c r="S229" s="52" t="s">
        <v>210</v>
      </c>
    </row>
    <row r="230" spans="1:19" outlineLevel="2" x14ac:dyDescent="0.45">
      <c r="A230" t="s">
        <v>17</v>
      </c>
      <c r="B230" s="52" t="s">
        <v>57</v>
      </c>
      <c r="C230" s="52" t="s">
        <v>376</v>
      </c>
      <c r="D230" s="52" t="s">
        <v>377</v>
      </c>
      <c r="E230" s="52" t="s">
        <v>387</v>
      </c>
      <c r="F230" s="52" t="s">
        <v>757</v>
      </c>
      <c r="G230" s="52" t="s">
        <v>60</v>
      </c>
      <c r="H230" s="54">
        <v>46023</v>
      </c>
      <c r="I230" s="52" t="s">
        <v>74</v>
      </c>
      <c r="J230" s="52" t="s">
        <v>649</v>
      </c>
      <c r="K230" s="52" t="s">
        <v>650</v>
      </c>
      <c r="L230" s="52" t="s">
        <v>650</v>
      </c>
      <c r="M230" s="52" t="s">
        <v>29</v>
      </c>
      <c r="N230" s="53">
        <v>-3007</v>
      </c>
      <c r="O230" s="53">
        <v>-3007</v>
      </c>
      <c r="P230" s="52" t="s">
        <v>651</v>
      </c>
      <c r="Q230" s="52" t="s">
        <v>652</v>
      </c>
      <c r="R230" s="55" t="s">
        <v>64</v>
      </c>
      <c r="S230" s="52" t="s">
        <v>649</v>
      </c>
    </row>
    <row r="231" spans="1:19" outlineLevel="2" x14ac:dyDescent="0.45">
      <c r="A231" t="s">
        <v>17</v>
      </c>
      <c r="B231" s="52" t="s">
        <v>57</v>
      </c>
      <c r="C231" s="52" t="s">
        <v>758</v>
      </c>
      <c r="D231" s="52" t="s">
        <v>759</v>
      </c>
      <c r="E231" s="52" t="s">
        <v>387</v>
      </c>
      <c r="F231" s="52" t="s">
        <v>760</v>
      </c>
      <c r="G231" s="52" t="s">
        <v>60</v>
      </c>
      <c r="H231" s="54">
        <v>46023</v>
      </c>
      <c r="I231" s="52" t="s">
        <v>74</v>
      </c>
      <c r="J231" s="52" t="s">
        <v>99</v>
      </c>
      <c r="K231" s="52" t="s">
        <v>761</v>
      </c>
      <c r="L231" s="52" t="s">
        <v>761</v>
      </c>
      <c r="M231" s="52" t="s">
        <v>29</v>
      </c>
      <c r="N231" s="53">
        <v>-2632.06</v>
      </c>
      <c r="O231" s="53">
        <v>-2632.06</v>
      </c>
      <c r="P231" s="52" t="s">
        <v>762</v>
      </c>
      <c r="Q231" s="52" t="s">
        <v>763</v>
      </c>
      <c r="R231" s="55" t="s">
        <v>64</v>
      </c>
      <c r="S231" s="52" t="s">
        <v>99</v>
      </c>
    </row>
    <row r="232" spans="1:19" outlineLevel="2" x14ac:dyDescent="0.45">
      <c r="A232" t="s">
        <v>17</v>
      </c>
      <c r="B232" s="52" t="s">
        <v>57</v>
      </c>
      <c r="C232" s="52" t="s">
        <v>376</v>
      </c>
      <c r="D232" s="52" t="s">
        <v>377</v>
      </c>
      <c r="E232" s="52" t="s">
        <v>387</v>
      </c>
      <c r="F232" s="52" t="s">
        <v>764</v>
      </c>
      <c r="G232" s="52" t="s">
        <v>60</v>
      </c>
      <c r="H232" s="54">
        <v>46023</v>
      </c>
      <c r="I232" s="52" t="s">
        <v>74</v>
      </c>
      <c r="J232" s="52" t="s">
        <v>649</v>
      </c>
      <c r="K232" s="52" t="s">
        <v>650</v>
      </c>
      <c r="L232" s="52" t="s">
        <v>650</v>
      </c>
      <c r="M232" s="52" t="s">
        <v>29</v>
      </c>
      <c r="N232" s="53">
        <v>-2611.7199999999998</v>
      </c>
      <c r="O232" s="53">
        <v>-2611.7199999999998</v>
      </c>
      <c r="P232" s="52" t="s">
        <v>651</v>
      </c>
      <c r="Q232" s="52" t="s">
        <v>652</v>
      </c>
      <c r="R232" s="55" t="s">
        <v>64</v>
      </c>
      <c r="S232" s="52" t="s">
        <v>649</v>
      </c>
    </row>
    <row r="233" spans="1:19" outlineLevel="2" x14ac:dyDescent="0.45">
      <c r="A233" t="s">
        <v>17</v>
      </c>
      <c r="B233" s="52" t="s">
        <v>57</v>
      </c>
      <c r="C233" s="52" t="s">
        <v>725</v>
      </c>
      <c r="D233" s="52" t="s">
        <v>726</v>
      </c>
      <c r="E233" s="52" t="s">
        <v>387</v>
      </c>
      <c r="F233" s="52" t="s">
        <v>765</v>
      </c>
      <c r="G233" s="52" t="s">
        <v>60</v>
      </c>
      <c r="H233" s="54">
        <v>46023</v>
      </c>
      <c r="I233" s="52" t="s">
        <v>74</v>
      </c>
      <c r="J233" s="52" t="s">
        <v>107</v>
      </c>
      <c r="K233" s="52" t="s">
        <v>766</v>
      </c>
      <c r="L233" s="52" t="s">
        <v>766</v>
      </c>
      <c r="M233" s="52" t="s">
        <v>29</v>
      </c>
      <c r="N233" s="53">
        <v>-2478</v>
      </c>
      <c r="O233" s="53">
        <v>-2478</v>
      </c>
      <c r="P233" s="52" t="s">
        <v>767</v>
      </c>
      <c r="Q233" s="52" t="s">
        <v>768</v>
      </c>
      <c r="R233" s="55" t="s">
        <v>64</v>
      </c>
      <c r="S233" s="52" t="s">
        <v>107</v>
      </c>
    </row>
    <row r="234" spans="1:19" outlineLevel="2" x14ac:dyDescent="0.45">
      <c r="A234" t="s">
        <v>17</v>
      </c>
      <c r="B234" s="52" t="s">
        <v>57</v>
      </c>
      <c r="C234" s="52" t="s">
        <v>725</v>
      </c>
      <c r="D234" s="52" t="s">
        <v>726</v>
      </c>
      <c r="E234" s="52" t="s">
        <v>387</v>
      </c>
      <c r="F234" s="52" t="s">
        <v>769</v>
      </c>
      <c r="G234" s="52" t="s">
        <v>60</v>
      </c>
      <c r="H234" s="54">
        <v>46023</v>
      </c>
      <c r="I234" s="52" t="s">
        <v>74</v>
      </c>
      <c r="J234" s="52" t="s">
        <v>107</v>
      </c>
      <c r="K234" s="52" t="s">
        <v>770</v>
      </c>
      <c r="L234" s="52" t="s">
        <v>770</v>
      </c>
      <c r="M234" s="52" t="s">
        <v>29</v>
      </c>
      <c r="N234" s="53">
        <v>-2478</v>
      </c>
      <c r="O234" s="53">
        <v>-2478</v>
      </c>
      <c r="P234" s="52" t="s">
        <v>767</v>
      </c>
      <c r="Q234" s="52" t="s">
        <v>771</v>
      </c>
      <c r="R234" s="55" t="s">
        <v>64</v>
      </c>
      <c r="S234" s="52" t="s">
        <v>107</v>
      </c>
    </row>
    <row r="235" spans="1:19" outlineLevel="2" x14ac:dyDescent="0.45">
      <c r="A235" t="s">
        <v>17</v>
      </c>
      <c r="B235" s="52" t="s">
        <v>57</v>
      </c>
      <c r="C235" s="52" t="s">
        <v>747</v>
      </c>
      <c r="D235" s="52" t="s">
        <v>748</v>
      </c>
      <c r="E235" s="52" t="s">
        <v>387</v>
      </c>
      <c r="F235" s="52" t="s">
        <v>749</v>
      </c>
      <c r="G235" s="52" t="s">
        <v>60</v>
      </c>
      <c r="H235" s="54">
        <v>46023</v>
      </c>
      <c r="I235" s="52" t="s">
        <v>74</v>
      </c>
      <c r="J235" s="52" t="s">
        <v>210</v>
      </c>
      <c r="K235" s="52" t="s">
        <v>772</v>
      </c>
      <c r="L235" s="52" t="s">
        <v>772</v>
      </c>
      <c r="M235" s="52" t="s">
        <v>29</v>
      </c>
      <c r="N235" s="53">
        <v>-2400.54</v>
      </c>
      <c r="O235" s="53">
        <v>-2400.54</v>
      </c>
      <c r="P235" s="52" t="s">
        <v>773</v>
      </c>
      <c r="Q235" s="52" t="s">
        <v>625</v>
      </c>
      <c r="R235" s="55" t="s">
        <v>64</v>
      </c>
      <c r="S235" s="52" t="s">
        <v>210</v>
      </c>
    </row>
    <row r="236" spans="1:19" outlineLevel="2" x14ac:dyDescent="0.45">
      <c r="A236" t="s">
        <v>17</v>
      </c>
      <c r="B236" s="52" t="s">
        <v>57</v>
      </c>
      <c r="C236" s="52" t="s">
        <v>774</v>
      </c>
      <c r="D236" s="52" t="s">
        <v>775</v>
      </c>
      <c r="E236" s="52" t="s">
        <v>387</v>
      </c>
      <c r="F236" s="52" t="s">
        <v>776</v>
      </c>
      <c r="G236" s="52" t="s">
        <v>60</v>
      </c>
      <c r="H236" s="54">
        <v>46023</v>
      </c>
      <c r="I236" s="52" t="s">
        <v>74</v>
      </c>
      <c r="J236" s="52" t="s">
        <v>99</v>
      </c>
      <c r="K236" s="52" t="s">
        <v>777</v>
      </c>
      <c r="L236" s="52" t="s">
        <v>777</v>
      </c>
      <c r="M236" s="52" t="s">
        <v>29</v>
      </c>
      <c r="N236" s="53">
        <v>-2375.67</v>
      </c>
      <c r="O236" s="53">
        <v>-2375.67</v>
      </c>
      <c r="P236" s="52" t="s">
        <v>778</v>
      </c>
      <c r="Q236" s="52" t="s">
        <v>779</v>
      </c>
      <c r="R236" s="55" t="s">
        <v>64</v>
      </c>
      <c r="S236" s="52" t="s">
        <v>99</v>
      </c>
    </row>
    <row r="237" spans="1:19" outlineLevel="2" x14ac:dyDescent="0.45">
      <c r="A237" t="s">
        <v>17</v>
      </c>
      <c r="B237" s="52" t="s">
        <v>57</v>
      </c>
      <c r="C237" s="52" t="s">
        <v>780</v>
      </c>
      <c r="D237" s="52" t="s">
        <v>781</v>
      </c>
      <c r="E237" s="52" t="s">
        <v>387</v>
      </c>
      <c r="F237" s="52" t="s">
        <v>782</v>
      </c>
      <c r="G237" s="52" t="s">
        <v>60</v>
      </c>
      <c r="H237" s="54">
        <v>46023</v>
      </c>
      <c r="I237" s="52" t="s">
        <v>74</v>
      </c>
      <c r="J237" s="52" t="s">
        <v>210</v>
      </c>
      <c r="K237" s="52" t="s">
        <v>783</v>
      </c>
      <c r="L237" s="52" t="s">
        <v>783</v>
      </c>
      <c r="M237" s="52" t="s">
        <v>29</v>
      </c>
      <c r="N237" s="53">
        <v>-2253.1999999999998</v>
      </c>
      <c r="O237" s="53">
        <v>-2253.1999999999998</v>
      </c>
      <c r="P237" s="52" t="s">
        <v>784</v>
      </c>
      <c r="Q237" s="52" t="s">
        <v>625</v>
      </c>
      <c r="R237" s="55" t="s">
        <v>64</v>
      </c>
      <c r="S237" s="52" t="s">
        <v>210</v>
      </c>
    </row>
    <row r="238" spans="1:19" outlineLevel="2" x14ac:dyDescent="0.45">
      <c r="A238" t="s">
        <v>17</v>
      </c>
      <c r="B238" s="52" t="s">
        <v>57</v>
      </c>
      <c r="C238" s="52" t="s">
        <v>785</v>
      </c>
      <c r="D238" s="52" t="s">
        <v>786</v>
      </c>
      <c r="E238" s="52" t="s">
        <v>387</v>
      </c>
      <c r="F238" s="52" t="s">
        <v>787</v>
      </c>
      <c r="G238" s="52" t="s">
        <v>60</v>
      </c>
      <c r="H238" s="54">
        <v>46023</v>
      </c>
      <c r="I238" s="52" t="s">
        <v>74</v>
      </c>
      <c r="J238" s="52" t="s">
        <v>115</v>
      </c>
      <c r="K238" s="52" t="s">
        <v>788</v>
      </c>
      <c r="L238" s="52" t="s">
        <v>788</v>
      </c>
      <c r="M238" s="52" t="s">
        <v>29</v>
      </c>
      <c r="N238" s="53">
        <v>-2232.56</v>
      </c>
      <c r="O238" s="53">
        <v>-2232.56</v>
      </c>
      <c r="P238" s="52" t="s">
        <v>789</v>
      </c>
      <c r="Q238" s="52" t="s">
        <v>790</v>
      </c>
      <c r="R238" s="55" t="s">
        <v>64</v>
      </c>
      <c r="S238" s="52" t="s">
        <v>115</v>
      </c>
    </row>
    <row r="239" spans="1:19" outlineLevel="2" x14ac:dyDescent="0.45">
      <c r="A239" t="s">
        <v>17</v>
      </c>
      <c r="B239" s="52" t="s">
        <v>57</v>
      </c>
      <c r="C239" s="52" t="s">
        <v>785</v>
      </c>
      <c r="D239" s="52" t="s">
        <v>786</v>
      </c>
      <c r="E239" s="52" t="s">
        <v>387</v>
      </c>
      <c r="F239" s="52" t="s">
        <v>791</v>
      </c>
      <c r="G239" s="52" t="s">
        <v>60</v>
      </c>
      <c r="H239" s="54">
        <v>46023</v>
      </c>
      <c r="I239" s="52" t="s">
        <v>74</v>
      </c>
      <c r="J239" s="52" t="s">
        <v>210</v>
      </c>
      <c r="K239" s="52" t="s">
        <v>792</v>
      </c>
      <c r="L239" s="52" t="s">
        <v>792</v>
      </c>
      <c r="M239" s="52" t="s">
        <v>29</v>
      </c>
      <c r="N239" s="53">
        <v>-2232.56</v>
      </c>
      <c r="O239" s="53">
        <v>-2232.56</v>
      </c>
      <c r="P239" s="52" t="s">
        <v>793</v>
      </c>
      <c r="Q239" s="52" t="s">
        <v>625</v>
      </c>
      <c r="R239" s="55" t="s">
        <v>64</v>
      </c>
      <c r="S239" s="52" t="s">
        <v>210</v>
      </c>
    </row>
    <row r="240" spans="1:19" outlineLevel="2" x14ac:dyDescent="0.45">
      <c r="A240" t="s">
        <v>17</v>
      </c>
      <c r="B240" s="52" t="s">
        <v>57</v>
      </c>
      <c r="C240" s="52" t="s">
        <v>774</v>
      </c>
      <c r="D240" s="52" t="s">
        <v>775</v>
      </c>
      <c r="E240" s="52" t="s">
        <v>387</v>
      </c>
      <c r="F240" s="52" t="s">
        <v>794</v>
      </c>
      <c r="G240" s="52" t="s">
        <v>60</v>
      </c>
      <c r="H240" s="54">
        <v>46023</v>
      </c>
      <c r="I240" s="52" t="s">
        <v>74</v>
      </c>
      <c r="J240" s="52" t="s">
        <v>87</v>
      </c>
      <c r="K240" s="52" t="s">
        <v>777</v>
      </c>
      <c r="L240" s="52" t="s">
        <v>777</v>
      </c>
      <c r="M240" s="52" t="s">
        <v>29</v>
      </c>
      <c r="N240" s="53">
        <v>-2219.29</v>
      </c>
      <c r="O240" s="53">
        <v>-2219.29</v>
      </c>
      <c r="P240" s="52" t="s">
        <v>778</v>
      </c>
      <c r="Q240" s="52" t="s">
        <v>795</v>
      </c>
      <c r="R240" s="55" t="s">
        <v>64</v>
      </c>
      <c r="S240" s="52" t="s">
        <v>87</v>
      </c>
    </row>
    <row r="241" spans="1:19" outlineLevel="2" x14ac:dyDescent="0.45">
      <c r="A241" t="s">
        <v>17</v>
      </c>
      <c r="B241" s="52" t="s">
        <v>57</v>
      </c>
      <c r="C241" s="52" t="s">
        <v>774</v>
      </c>
      <c r="D241" s="52" t="s">
        <v>775</v>
      </c>
      <c r="E241" s="52" t="s">
        <v>387</v>
      </c>
      <c r="F241" s="52" t="s">
        <v>796</v>
      </c>
      <c r="G241" s="52" t="s">
        <v>60</v>
      </c>
      <c r="H241" s="54">
        <v>46023</v>
      </c>
      <c r="I241" s="52" t="s">
        <v>74</v>
      </c>
      <c r="J241" s="52" t="s">
        <v>210</v>
      </c>
      <c r="K241" s="52" t="s">
        <v>777</v>
      </c>
      <c r="L241" s="52" t="s">
        <v>777</v>
      </c>
      <c r="M241" s="52" t="s">
        <v>29</v>
      </c>
      <c r="N241" s="53">
        <v>-2160.6</v>
      </c>
      <c r="O241" s="53">
        <v>-2160.6</v>
      </c>
      <c r="P241" s="52" t="s">
        <v>778</v>
      </c>
      <c r="Q241" s="52" t="s">
        <v>797</v>
      </c>
      <c r="R241" s="55" t="s">
        <v>64</v>
      </c>
      <c r="S241" s="52" t="s">
        <v>210</v>
      </c>
    </row>
    <row r="242" spans="1:19" outlineLevel="2" x14ac:dyDescent="0.45">
      <c r="A242" t="s">
        <v>17</v>
      </c>
      <c r="B242" s="52" t="s">
        <v>57</v>
      </c>
      <c r="C242" s="52" t="s">
        <v>630</v>
      </c>
      <c r="D242" s="52" t="s">
        <v>631</v>
      </c>
      <c r="E242" s="52" t="s">
        <v>387</v>
      </c>
      <c r="F242" s="52" t="s">
        <v>798</v>
      </c>
      <c r="G242" s="52" t="s">
        <v>60</v>
      </c>
      <c r="H242" s="54">
        <v>46023</v>
      </c>
      <c r="I242" s="52" t="s">
        <v>74</v>
      </c>
      <c r="J242" s="52" t="s">
        <v>210</v>
      </c>
      <c r="K242" s="52" t="s">
        <v>799</v>
      </c>
      <c r="L242" s="52" t="s">
        <v>799</v>
      </c>
      <c r="M242" s="52" t="s">
        <v>29</v>
      </c>
      <c r="N242" s="53">
        <v>-2000</v>
      </c>
      <c r="O242" s="53">
        <v>-2000</v>
      </c>
      <c r="P242" s="52" t="s">
        <v>800</v>
      </c>
      <c r="Q242" s="52" t="s">
        <v>680</v>
      </c>
      <c r="R242" s="55" t="s">
        <v>64</v>
      </c>
      <c r="S242" s="52" t="s">
        <v>210</v>
      </c>
    </row>
    <row r="243" spans="1:19" outlineLevel="2" x14ac:dyDescent="0.45">
      <c r="A243" t="s">
        <v>17</v>
      </c>
      <c r="B243" s="52" t="s">
        <v>57</v>
      </c>
      <c r="C243" s="52" t="s">
        <v>376</v>
      </c>
      <c r="D243" s="52" t="s">
        <v>377</v>
      </c>
      <c r="E243" s="52" t="s">
        <v>387</v>
      </c>
      <c r="F243" s="52" t="s">
        <v>801</v>
      </c>
      <c r="G243" s="52" t="s">
        <v>60</v>
      </c>
      <c r="H243" s="54">
        <v>46023</v>
      </c>
      <c r="I243" s="52" t="s">
        <v>74</v>
      </c>
      <c r="J243" s="52" t="s">
        <v>210</v>
      </c>
      <c r="K243" s="52" t="s">
        <v>641</v>
      </c>
      <c r="L243" s="52" t="s">
        <v>641</v>
      </c>
      <c r="M243" s="52" t="s">
        <v>29</v>
      </c>
      <c r="N243" s="53">
        <v>-1977.87</v>
      </c>
      <c r="O243" s="53">
        <v>-1977.87</v>
      </c>
      <c r="P243" s="52" t="s">
        <v>642</v>
      </c>
      <c r="Q243" s="52" t="s">
        <v>643</v>
      </c>
      <c r="R243" s="55" t="s">
        <v>64</v>
      </c>
      <c r="S243" s="52" t="s">
        <v>210</v>
      </c>
    </row>
    <row r="244" spans="1:19" outlineLevel="2" x14ac:dyDescent="0.45">
      <c r="A244" t="s">
        <v>17</v>
      </c>
      <c r="B244" s="52" t="s">
        <v>57</v>
      </c>
      <c r="C244" s="52" t="s">
        <v>656</v>
      </c>
      <c r="D244" s="52" t="s">
        <v>657</v>
      </c>
      <c r="E244" s="52" t="s">
        <v>387</v>
      </c>
      <c r="F244" s="52" t="s">
        <v>802</v>
      </c>
      <c r="G244" s="52" t="s">
        <v>60</v>
      </c>
      <c r="H244" s="54">
        <v>46023</v>
      </c>
      <c r="I244" s="52" t="s">
        <v>74</v>
      </c>
      <c r="J244" s="52" t="s">
        <v>210</v>
      </c>
      <c r="K244" s="52" t="s">
        <v>803</v>
      </c>
      <c r="L244" s="52" t="s">
        <v>803</v>
      </c>
      <c r="M244" s="52" t="s">
        <v>29</v>
      </c>
      <c r="N244" s="53">
        <v>-1680.37</v>
      </c>
      <c r="O244" s="53">
        <v>-1680.37</v>
      </c>
      <c r="P244" s="52" t="s">
        <v>804</v>
      </c>
      <c r="Q244" s="52" t="s">
        <v>625</v>
      </c>
      <c r="R244" s="55" t="s">
        <v>64</v>
      </c>
      <c r="S244" s="52" t="s">
        <v>210</v>
      </c>
    </row>
    <row r="245" spans="1:19" outlineLevel="2" x14ac:dyDescent="0.45">
      <c r="A245" t="s">
        <v>17</v>
      </c>
      <c r="B245" s="52" t="s">
        <v>57</v>
      </c>
      <c r="C245" s="52" t="s">
        <v>805</v>
      </c>
      <c r="D245" s="52" t="s">
        <v>806</v>
      </c>
      <c r="E245" s="52" t="s">
        <v>387</v>
      </c>
      <c r="F245" s="52" t="s">
        <v>807</v>
      </c>
      <c r="G245" s="52" t="s">
        <v>60</v>
      </c>
      <c r="H245" s="54">
        <v>46023</v>
      </c>
      <c r="I245" s="52" t="s">
        <v>74</v>
      </c>
      <c r="J245" s="52" t="s">
        <v>99</v>
      </c>
      <c r="K245" s="52" t="s">
        <v>808</v>
      </c>
      <c r="L245" s="52" t="s">
        <v>808</v>
      </c>
      <c r="M245" s="52" t="s">
        <v>29</v>
      </c>
      <c r="N245" s="53">
        <v>-1652</v>
      </c>
      <c r="O245" s="53">
        <v>-1652</v>
      </c>
      <c r="P245" s="52" t="s">
        <v>809</v>
      </c>
      <c r="Q245" s="52" t="s">
        <v>810</v>
      </c>
      <c r="R245" s="55" t="s">
        <v>64</v>
      </c>
      <c r="S245" s="52" t="s">
        <v>99</v>
      </c>
    </row>
    <row r="246" spans="1:19" outlineLevel="2" x14ac:dyDescent="0.45">
      <c r="A246" t="s">
        <v>17</v>
      </c>
      <c r="B246" s="52" t="s">
        <v>57</v>
      </c>
      <c r="C246" s="52" t="s">
        <v>811</v>
      </c>
      <c r="D246" s="52" t="s">
        <v>812</v>
      </c>
      <c r="E246" s="52" t="s">
        <v>387</v>
      </c>
      <c r="F246" s="52" t="s">
        <v>813</v>
      </c>
      <c r="G246" s="52" t="s">
        <v>60</v>
      </c>
      <c r="H246" s="54">
        <v>46023</v>
      </c>
      <c r="I246" s="52" t="s">
        <v>74</v>
      </c>
      <c r="J246" s="52" t="s">
        <v>210</v>
      </c>
      <c r="K246" s="52" t="s">
        <v>814</v>
      </c>
      <c r="L246" s="52" t="s">
        <v>814</v>
      </c>
      <c r="M246" s="52" t="s">
        <v>29</v>
      </c>
      <c r="N246" s="53">
        <v>-1620</v>
      </c>
      <c r="O246" s="53">
        <v>-1620</v>
      </c>
      <c r="P246" s="52" t="s">
        <v>815</v>
      </c>
      <c r="Q246" s="52" t="s">
        <v>625</v>
      </c>
      <c r="R246" s="55" t="s">
        <v>64</v>
      </c>
      <c r="S246" s="52" t="s">
        <v>210</v>
      </c>
    </row>
    <row r="247" spans="1:19" outlineLevel="2" x14ac:dyDescent="0.45">
      <c r="A247" t="s">
        <v>17</v>
      </c>
      <c r="B247" s="52" t="s">
        <v>57</v>
      </c>
      <c r="C247" s="52" t="s">
        <v>758</v>
      </c>
      <c r="D247" s="52" t="s">
        <v>759</v>
      </c>
      <c r="E247" s="52" t="s">
        <v>387</v>
      </c>
      <c r="F247" s="52" t="s">
        <v>816</v>
      </c>
      <c r="G247" s="52" t="s">
        <v>60</v>
      </c>
      <c r="H247" s="54">
        <v>46023</v>
      </c>
      <c r="I247" s="52" t="s">
        <v>74</v>
      </c>
      <c r="J247" s="52" t="s">
        <v>99</v>
      </c>
      <c r="K247" s="52" t="s">
        <v>817</v>
      </c>
      <c r="L247" s="52" t="s">
        <v>817</v>
      </c>
      <c r="M247" s="52" t="s">
        <v>29</v>
      </c>
      <c r="N247" s="53">
        <v>-1595.9</v>
      </c>
      <c r="O247" s="53">
        <v>-1595.9</v>
      </c>
      <c r="P247" s="52" t="s">
        <v>818</v>
      </c>
      <c r="Q247" s="52" t="s">
        <v>763</v>
      </c>
      <c r="R247" s="55" t="s">
        <v>64</v>
      </c>
      <c r="S247" s="52" t="s">
        <v>99</v>
      </c>
    </row>
    <row r="248" spans="1:19" outlineLevel="2" x14ac:dyDescent="0.45">
      <c r="A248" t="s">
        <v>17</v>
      </c>
      <c r="B248" s="52" t="s">
        <v>57</v>
      </c>
      <c r="C248" s="52" t="s">
        <v>682</v>
      </c>
      <c r="D248" s="52" t="s">
        <v>683</v>
      </c>
      <c r="E248" s="52" t="s">
        <v>387</v>
      </c>
      <c r="F248" s="52" t="s">
        <v>819</v>
      </c>
      <c r="G248" s="52" t="s">
        <v>60</v>
      </c>
      <c r="H248" s="54">
        <v>46023</v>
      </c>
      <c r="I248" s="52" t="s">
        <v>74</v>
      </c>
      <c r="J248" s="52" t="s">
        <v>107</v>
      </c>
      <c r="K248" s="52" t="s">
        <v>685</v>
      </c>
      <c r="L248" s="52" t="s">
        <v>685</v>
      </c>
      <c r="M248" s="52" t="s">
        <v>29</v>
      </c>
      <c r="N248" s="53">
        <v>-1435</v>
      </c>
      <c r="O248" s="53">
        <v>-1435</v>
      </c>
      <c r="P248" s="52" t="s">
        <v>686</v>
      </c>
      <c r="Q248" s="52" t="s">
        <v>820</v>
      </c>
      <c r="R248" s="55" t="s">
        <v>64</v>
      </c>
      <c r="S248" s="52" t="s">
        <v>107</v>
      </c>
    </row>
    <row r="249" spans="1:19" outlineLevel="2" x14ac:dyDescent="0.45">
      <c r="A249" t="s">
        <v>17</v>
      </c>
      <c r="B249" s="52" t="s">
        <v>57</v>
      </c>
      <c r="C249" s="52" t="s">
        <v>682</v>
      </c>
      <c r="D249" s="52" t="s">
        <v>683</v>
      </c>
      <c r="E249" s="52" t="s">
        <v>387</v>
      </c>
      <c r="F249" s="52" t="s">
        <v>821</v>
      </c>
      <c r="G249" s="52" t="s">
        <v>60</v>
      </c>
      <c r="H249" s="54">
        <v>46023</v>
      </c>
      <c r="I249" s="52" t="s">
        <v>74</v>
      </c>
      <c r="J249" s="52" t="s">
        <v>107</v>
      </c>
      <c r="K249" s="52" t="s">
        <v>822</v>
      </c>
      <c r="L249" s="52" t="s">
        <v>822</v>
      </c>
      <c r="M249" s="52" t="s">
        <v>29</v>
      </c>
      <c r="N249" s="53">
        <v>-1431</v>
      </c>
      <c r="O249" s="53">
        <v>-1431</v>
      </c>
      <c r="P249" s="52" t="s">
        <v>823</v>
      </c>
      <c r="Q249" s="52" t="s">
        <v>824</v>
      </c>
      <c r="R249" s="55" t="s">
        <v>64</v>
      </c>
      <c r="S249" s="52" t="s">
        <v>107</v>
      </c>
    </row>
    <row r="250" spans="1:19" outlineLevel="2" x14ac:dyDescent="0.45">
      <c r="A250" t="s">
        <v>17</v>
      </c>
      <c r="B250" s="52" t="s">
        <v>57</v>
      </c>
      <c r="C250" s="52" t="s">
        <v>376</v>
      </c>
      <c r="D250" s="52" t="s">
        <v>377</v>
      </c>
      <c r="E250" s="52" t="s">
        <v>387</v>
      </c>
      <c r="F250" s="52" t="s">
        <v>825</v>
      </c>
      <c r="G250" s="52" t="s">
        <v>60</v>
      </c>
      <c r="H250" s="54">
        <v>46023</v>
      </c>
      <c r="I250" s="52" t="s">
        <v>74</v>
      </c>
      <c r="J250" s="52" t="s">
        <v>99</v>
      </c>
      <c r="K250" s="52" t="s">
        <v>826</v>
      </c>
      <c r="L250" s="52" t="s">
        <v>826</v>
      </c>
      <c r="M250" s="52" t="s">
        <v>29</v>
      </c>
      <c r="N250" s="53">
        <v>-1376.33</v>
      </c>
      <c r="O250" s="53">
        <v>-1376.33</v>
      </c>
      <c r="P250" s="52" t="s">
        <v>827</v>
      </c>
      <c r="Q250" s="52" t="s">
        <v>828</v>
      </c>
      <c r="R250" s="55" t="s">
        <v>64</v>
      </c>
      <c r="S250" s="52" t="s">
        <v>99</v>
      </c>
    </row>
    <row r="251" spans="1:19" outlineLevel="2" x14ac:dyDescent="0.45">
      <c r="A251" t="s">
        <v>17</v>
      </c>
      <c r="B251" s="52" t="s">
        <v>57</v>
      </c>
      <c r="C251" s="52" t="s">
        <v>829</v>
      </c>
      <c r="D251" s="52" t="s">
        <v>830</v>
      </c>
      <c r="E251" s="52" t="s">
        <v>387</v>
      </c>
      <c r="F251" s="52" t="s">
        <v>831</v>
      </c>
      <c r="G251" s="52" t="s">
        <v>60</v>
      </c>
      <c r="H251" s="54">
        <v>46023</v>
      </c>
      <c r="I251" s="52" t="s">
        <v>74</v>
      </c>
      <c r="J251" s="52" t="s">
        <v>107</v>
      </c>
      <c r="K251" s="52" t="s">
        <v>832</v>
      </c>
      <c r="L251" s="52" t="s">
        <v>833</v>
      </c>
      <c r="M251" s="52" t="s">
        <v>29</v>
      </c>
      <c r="N251" s="53">
        <v>-1375.77</v>
      </c>
      <c r="O251" s="53">
        <v>-1375.77</v>
      </c>
      <c r="P251" s="52" t="s">
        <v>834</v>
      </c>
      <c r="Q251" s="52" t="s">
        <v>835</v>
      </c>
      <c r="R251" s="55" t="s">
        <v>64</v>
      </c>
      <c r="S251" s="52" t="s">
        <v>107</v>
      </c>
    </row>
    <row r="252" spans="1:19" outlineLevel="2" x14ac:dyDescent="0.45">
      <c r="A252" t="s">
        <v>17</v>
      </c>
      <c r="B252" s="52" t="s">
        <v>57</v>
      </c>
      <c r="C252" s="52" t="s">
        <v>376</v>
      </c>
      <c r="D252" s="52" t="s">
        <v>377</v>
      </c>
      <c r="E252" s="52" t="s">
        <v>387</v>
      </c>
      <c r="F252" s="52" t="s">
        <v>836</v>
      </c>
      <c r="G252" s="52" t="s">
        <v>60</v>
      </c>
      <c r="H252" s="54">
        <v>46023</v>
      </c>
      <c r="I252" s="52" t="s">
        <v>74</v>
      </c>
      <c r="J252" s="52" t="s">
        <v>210</v>
      </c>
      <c r="K252" s="52" t="s">
        <v>645</v>
      </c>
      <c r="L252" s="52" t="s">
        <v>645</v>
      </c>
      <c r="M252" s="52" t="s">
        <v>29</v>
      </c>
      <c r="N252" s="53">
        <v>-1200</v>
      </c>
      <c r="O252" s="53">
        <v>-1200</v>
      </c>
      <c r="P252" s="52" t="s">
        <v>646</v>
      </c>
      <c r="Q252" s="52" t="s">
        <v>647</v>
      </c>
      <c r="R252" s="55" t="s">
        <v>64</v>
      </c>
      <c r="S252" s="52" t="s">
        <v>210</v>
      </c>
    </row>
    <row r="253" spans="1:19" outlineLevel="2" x14ac:dyDescent="0.45">
      <c r="A253" t="s">
        <v>17</v>
      </c>
      <c r="B253" s="52" t="s">
        <v>57</v>
      </c>
      <c r="C253" s="52" t="s">
        <v>376</v>
      </c>
      <c r="D253" s="52" t="s">
        <v>377</v>
      </c>
      <c r="E253" s="52" t="s">
        <v>387</v>
      </c>
      <c r="F253" s="52" t="s">
        <v>837</v>
      </c>
      <c r="G253" s="52" t="s">
        <v>60</v>
      </c>
      <c r="H253" s="54">
        <v>46023</v>
      </c>
      <c r="I253" s="52" t="s">
        <v>74</v>
      </c>
      <c r="J253" s="52" t="s">
        <v>210</v>
      </c>
      <c r="K253" s="52" t="s">
        <v>645</v>
      </c>
      <c r="L253" s="52" t="s">
        <v>645</v>
      </c>
      <c r="M253" s="52" t="s">
        <v>29</v>
      </c>
      <c r="N253" s="53">
        <v>-1194.75</v>
      </c>
      <c r="O253" s="53">
        <v>-1194.75</v>
      </c>
      <c r="P253" s="52" t="s">
        <v>646</v>
      </c>
      <c r="Q253" s="52" t="s">
        <v>647</v>
      </c>
      <c r="R253" s="55" t="s">
        <v>64</v>
      </c>
      <c r="S253" s="52" t="s">
        <v>210</v>
      </c>
    </row>
    <row r="254" spans="1:19" outlineLevel="2" x14ac:dyDescent="0.45">
      <c r="A254" t="s">
        <v>17</v>
      </c>
      <c r="B254" s="52" t="s">
        <v>57</v>
      </c>
      <c r="C254" s="52" t="s">
        <v>838</v>
      </c>
      <c r="D254" s="52" t="s">
        <v>839</v>
      </c>
      <c r="E254" s="52" t="s">
        <v>387</v>
      </c>
      <c r="F254" s="52" t="s">
        <v>840</v>
      </c>
      <c r="G254" s="52" t="s">
        <v>60</v>
      </c>
      <c r="H254" s="54">
        <v>46023</v>
      </c>
      <c r="I254" s="52" t="s">
        <v>74</v>
      </c>
      <c r="J254" s="52" t="s">
        <v>841</v>
      </c>
      <c r="K254" s="52" t="s">
        <v>842</v>
      </c>
      <c r="L254" s="52" t="s">
        <v>842</v>
      </c>
      <c r="M254" s="52" t="s">
        <v>29</v>
      </c>
      <c r="N254" s="53">
        <v>-1027.08</v>
      </c>
      <c r="O254" s="53">
        <v>-1027.08</v>
      </c>
      <c r="P254" s="52" t="s">
        <v>843</v>
      </c>
      <c r="Q254" s="52" t="s">
        <v>844</v>
      </c>
      <c r="R254" s="55" t="s">
        <v>64</v>
      </c>
      <c r="S254" s="52" t="s">
        <v>841</v>
      </c>
    </row>
    <row r="255" spans="1:19" outlineLevel="2" x14ac:dyDescent="0.45">
      <c r="A255" t="s">
        <v>17</v>
      </c>
      <c r="B255" s="52" t="s">
        <v>57</v>
      </c>
      <c r="C255" s="52" t="s">
        <v>376</v>
      </c>
      <c r="D255" s="52" t="s">
        <v>377</v>
      </c>
      <c r="E255" s="52" t="s">
        <v>387</v>
      </c>
      <c r="F255" s="52" t="s">
        <v>845</v>
      </c>
      <c r="G255" s="52" t="s">
        <v>60</v>
      </c>
      <c r="H255" s="54">
        <v>46023</v>
      </c>
      <c r="I255" s="52" t="s">
        <v>74</v>
      </c>
      <c r="J255" s="52" t="s">
        <v>649</v>
      </c>
      <c r="K255" s="52" t="s">
        <v>650</v>
      </c>
      <c r="L255" s="52" t="s">
        <v>650</v>
      </c>
      <c r="M255" s="52" t="s">
        <v>29</v>
      </c>
      <c r="N255" s="53">
        <v>-1001.59</v>
      </c>
      <c r="O255" s="53">
        <v>-1001.59</v>
      </c>
      <c r="P255" s="52" t="s">
        <v>651</v>
      </c>
      <c r="Q255" s="52" t="s">
        <v>652</v>
      </c>
      <c r="R255" s="55" t="s">
        <v>64</v>
      </c>
      <c r="S255" s="52" t="s">
        <v>649</v>
      </c>
    </row>
    <row r="256" spans="1:19" outlineLevel="2" x14ac:dyDescent="0.45">
      <c r="A256" t="s">
        <v>17</v>
      </c>
      <c r="B256" s="52" t="s">
        <v>57</v>
      </c>
      <c r="C256" s="52" t="s">
        <v>376</v>
      </c>
      <c r="D256" s="52" t="s">
        <v>377</v>
      </c>
      <c r="E256" s="52" t="s">
        <v>387</v>
      </c>
      <c r="F256" s="52" t="s">
        <v>846</v>
      </c>
      <c r="G256" s="52" t="s">
        <v>60</v>
      </c>
      <c r="H256" s="54">
        <v>46023</v>
      </c>
      <c r="I256" s="52" t="s">
        <v>74</v>
      </c>
      <c r="J256" s="52" t="s">
        <v>87</v>
      </c>
      <c r="K256" s="52" t="s">
        <v>847</v>
      </c>
      <c r="L256" s="52" t="s">
        <v>847</v>
      </c>
      <c r="M256" s="52" t="s">
        <v>29</v>
      </c>
      <c r="N256" s="53">
        <v>-1000</v>
      </c>
      <c r="O256" s="53">
        <v>-1000</v>
      </c>
      <c r="P256" s="52" t="s">
        <v>848</v>
      </c>
      <c r="Q256" s="52" t="s">
        <v>849</v>
      </c>
      <c r="R256" s="55" t="s">
        <v>64</v>
      </c>
      <c r="S256" s="52" t="s">
        <v>87</v>
      </c>
    </row>
    <row r="257" spans="1:19" outlineLevel="2" x14ac:dyDescent="0.45">
      <c r="A257" t="s">
        <v>17</v>
      </c>
      <c r="B257" s="52" t="s">
        <v>57</v>
      </c>
      <c r="C257" s="52" t="s">
        <v>850</v>
      </c>
      <c r="D257" s="52" t="s">
        <v>851</v>
      </c>
      <c r="E257" s="52" t="s">
        <v>387</v>
      </c>
      <c r="F257" s="52" t="s">
        <v>852</v>
      </c>
      <c r="G257" s="52" t="s">
        <v>60</v>
      </c>
      <c r="H257" s="54">
        <v>46023</v>
      </c>
      <c r="I257" s="52" t="s">
        <v>74</v>
      </c>
      <c r="J257" s="52" t="s">
        <v>115</v>
      </c>
      <c r="K257" s="52" t="s">
        <v>853</v>
      </c>
      <c r="L257" s="52" t="s">
        <v>853</v>
      </c>
      <c r="M257" s="52" t="s">
        <v>29</v>
      </c>
      <c r="N257" s="53">
        <v>-880</v>
      </c>
      <c r="O257" s="53">
        <v>-880</v>
      </c>
      <c r="P257" s="52" t="s">
        <v>854</v>
      </c>
      <c r="Q257" s="52" t="s">
        <v>855</v>
      </c>
      <c r="R257" s="55" t="s">
        <v>64</v>
      </c>
      <c r="S257" s="52" t="s">
        <v>115</v>
      </c>
    </row>
    <row r="258" spans="1:19" outlineLevel="2" x14ac:dyDescent="0.45">
      <c r="A258" t="s">
        <v>17</v>
      </c>
      <c r="B258" s="52" t="s">
        <v>57</v>
      </c>
      <c r="C258" s="52" t="s">
        <v>856</v>
      </c>
      <c r="D258" s="52" t="s">
        <v>857</v>
      </c>
      <c r="E258" s="52" t="s">
        <v>387</v>
      </c>
      <c r="F258" s="52" t="s">
        <v>825</v>
      </c>
      <c r="G258" s="52" t="s">
        <v>60</v>
      </c>
      <c r="H258" s="54">
        <v>46023</v>
      </c>
      <c r="I258" s="52" t="s">
        <v>74</v>
      </c>
      <c r="J258" s="52" t="s">
        <v>99</v>
      </c>
      <c r="K258" s="52" t="s">
        <v>858</v>
      </c>
      <c r="L258" s="52" t="s">
        <v>858</v>
      </c>
      <c r="M258" s="52" t="s">
        <v>29</v>
      </c>
      <c r="N258" s="53">
        <v>-793.67</v>
      </c>
      <c r="O258" s="53">
        <v>-793.67</v>
      </c>
      <c r="P258" s="52" t="s">
        <v>859</v>
      </c>
      <c r="Q258" s="52" t="s">
        <v>828</v>
      </c>
      <c r="R258" s="55" t="s">
        <v>64</v>
      </c>
      <c r="S258" s="52" t="s">
        <v>99</v>
      </c>
    </row>
    <row r="259" spans="1:19" outlineLevel="2" x14ac:dyDescent="0.45">
      <c r="A259" t="s">
        <v>17</v>
      </c>
      <c r="B259" s="52" t="s">
        <v>57</v>
      </c>
      <c r="C259" s="52" t="s">
        <v>774</v>
      </c>
      <c r="D259" s="52" t="s">
        <v>775</v>
      </c>
      <c r="E259" s="52" t="s">
        <v>387</v>
      </c>
      <c r="F259" s="52" t="s">
        <v>794</v>
      </c>
      <c r="G259" s="52" t="s">
        <v>60</v>
      </c>
      <c r="H259" s="54">
        <v>46023</v>
      </c>
      <c r="I259" s="52" t="s">
        <v>74</v>
      </c>
      <c r="J259" s="52" t="s">
        <v>87</v>
      </c>
      <c r="K259" s="52" t="s">
        <v>777</v>
      </c>
      <c r="L259" s="52" t="s">
        <v>777</v>
      </c>
      <c r="M259" s="52" t="s">
        <v>29</v>
      </c>
      <c r="N259" s="53">
        <v>-780.71</v>
      </c>
      <c r="O259" s="53">
        <v>-780.71</v>
      </c>
      <c r="P259" s="52" t="s">
        <v>778</v>
      </c>
      <c r="Q259" s="52" t="s">
        <v>795</v>
      </c>
      <c r="R259" s="55" t="s">
        <v>64</v>
      </c>
      <c r="S259" s="52" t="s">
        <v>87</v>
      </c>
    </row>
    <row r="260" spans="1:19" outlineLevel="2" x14ac:dyDescent="0.45">
      <c r="A260" t="s">
        <v>17</v>
      </c>
      <c r="B260" s="52" t="s">
        <v>57</v>
      </c>
      <c r="C260" s="52" t="s">
        <v>860</v>
      </c>
      <c r="D260" s="52" t="s">
        <v>861</v>
      </c>
      <c r="E260" s="52" t="s">
        <v>387</v>
      </c>
      <c r="F260" s="52" t="s">
        <v>862</v>
      </c>
      <c r="G260" s="52" t="s">
        <v>60</v>
      </c>
      <c r="H260" s="54">
        <v>46023</v>
      </c>
      <c r="I260" s="52" t="s">
        <v>74</v>
      </c>
      <c r="J260" s="52" t="s">
        <v>107</v>
      </c>
      <c r="K260" s="52" t="s">
        <v>863</v>
      </c>
      <c r="L260" s="52" t="s">
        <v>863</v>
      </c>
      <c r="M260" s="52" t="s">
        <v>29</v>
      </c>
      <c r="N260" s="53">
        <v>-779</v>
      </c>
      <c r="O260" s="53">
        <v>-779</v>
      </c>
      <c r="P260" s="52" t="s">
        <v>864</v>
      </c>
      <c r="Q260" s="52" t="s">
        <v>865</v>
      </c>
      <c r="R260" s="55" t="s">
        <v>64</v>
      </c>
      <c r="S260" s="52" t="s">
        <v>107</v>
      </c>
    </row>
    <row r="261" spans="1:19" outlineLevel="2" x14ac:dyDescent="0.45">
      <c r="A261" t="s">
        <v>17</v>
      </c>
      <c r="B261" s="52" t="s">
        <v>66</v>
      </c>
      <c r="C261" s="52" t="s">
        <v>630</v>
      </c>
      <c r="D261" s="52" t="s">
        <v>631</v>
      </c>
      <c r="E261" s="52" t="s">
        <v>387</v>
      </c>
      <c r="F261" s="52" t="s">
        <v>866</v>
      </c>
      <c r="G261" s="52" t="s">
        <v>60</v>
      </c>
      <c r="H261" s="54">
        <v>46023</v>
      </c>
      <c r="I261" s="52" t="s">
        <v>74</v>
      </c>
      <c r="J261" s="52" t="s">
        <v>649</v>
      </c>
      <c r="K261" s="52" t="s">
        <v>867</v>
      </c>
      <c r="L261" s="52" t="s">
        <v>867</v>
      </c>
      <c r="M261" s="52" t="s">
        <v>67</v>
      </c>
      <c r="N261" s="53">
        <v>-230</v>
      </c>
      <c r="O261" s="53">
        <v>-774.18</v>
      </c>
      <c r="P261" s="52" t="s">
        <v>868</v>
      </c>
      <c r="Q261" s="52" t="s">
        <v>869</v>
      </c>
      <c r="R261" s="55" t="s">
        <v>64</v>
      </c>
      <c r="S261" s="52" t="s">
        <v>649</v>
      </c>
    </row>
    <row r="262" spans="1:19" outlineLevel="2" x14ac:dyDescent="0.45">
      <c r="A262" t="s">
        <v>17</v>
      </c>
      <c r="B262" s="52" t="s">
        <v>57</v>
      </c>
      <c r="C262" s="52" t="s">
        <v>774</v>
      </c>
      <c r="D262" s="52" t="s">
        <v>775</v>
      </c>
      <c r="E262" s="52" t="s">
        <v>387</v>
      </c>
      <c r="F262" s="52" t="s">
        <v>776</v>
      </c>
      <c r="G262" s="52" t="s">
        <v>60</v>
      </c>
      <c r="H262" s="54">
        <v>46023</v>
      </c>
      <c r="I262" s="52" t="s">
        <v>74</v>
      </c>
      <c r="J262" s="52" t="s">
        <v>99</v>
      </c>
      <c r="K262" s="52" t="s">
        <v>777</v>
      </c>
      <c r="L262" s="52" t="s">
        <v>777</v>
      </c>
      <c r="M262" s="52" t="s">
        <v>29</v>
      </c>
      <c r="N262" s="53">
        <v>-624.33000000000004</v>
      </c>
      <c r="O262" s="53">
        <v>-624.33000000000004</v>
      </c>
      <c r="P262" s="52" t="s">
        <v>778</v>
      </c>
      <c r="Q262" s="52" t="s">
        <v>779</v>
      </c>
      <c r="R262" s="55" t="s">
        <v>64</v>
      </c>
      <c r="S262" s="52" t="s">
        <v>99</v>
      </c>
    </row>
    <row r="263" spans="1:19" outlineLevel="2" x14ac:dyDescent="0.45">
      <c r="A263" t="s">
        <v>17</v>
      </c>
      <c r="B263" s="52" t="s">
        <v>57</v>
      </c>
      <c r="C263" s="52" t="s">
        <v>870</v>
      </c>
      <c r="D263" s="52" t="s">
        <v>871</v>
      </c>
      <c r="E263" s="52" t="s">
        <v>387</v>
      </c>
      <c r="F263" s="52" t="s">
        <v>872</v>
      </c>
      <c r="G263" s="52" t="s">
        <v>60</v>
      </c>
      <c r="H263" s="54">
        <v>46023</v>
      </c>
      <c r="I263" s="52" t="s">
        <v>74</v>
      </c>
      <c r="J263" s="52" t="s">
        <v>210</v>
      </c>
      <c r="K263" s="52"/>
      <c r="L263" s="52"/>
      <c r="M263" s="52" t="s">
        <v>29</v>
      </c>
      <c r="N263" s="53">
        <v>-611.79</v>
      </c>
      <c r="O263" s="53">
        <v>-611.79</v>
      </c>
      <c r="P263" s="52" t="s">
        <v>873</v>
      </c>
      <c r="Q263" s="52" t="s">
        <v>873</v>
      </c>
      <c r="R263" s="55" t="s">
        <v>64</v>
      </c>
      <c r="S263" s="52" t="s">
        <v>210</v>
      </c>
    </row>
    <row r="264" spans="1:19" outlineLevel="2" x14ac:dyDescent="0.45">
      <c r="A264" t="s">
        <v>17</v>
      </c>
      <c r="B264" s="52" t="s">
        <v>57</v>
      </c>
      <c r="C264" s="52" t="s">
        <v>455</v>
      </c>
      <c r="D264" s="52" t="s">
        <v>456</v>
      </c>
      <c r="E264" s="52" t="s">
        <v>387</v>
      </c>
      <c r="F264" s="52" t="s">
        <v>412</v>
      </c>
      <c r="G264" s="52" t="s">
        <v>60</v>
      </c>
      <c r="H264" s="54">
        <v>46023</v>
      </c>
      <c r="I264" s="52" t="s">
        <v>74</v>
      </c>
      <c r="J264" s="52" t="s">
        <v>210</v>
      </c>
      <c r="K264" s="52" t="s">
        <v>874</v>
      </c>
      <c r="L264" s="52" t="s">
        <v>874</v>
      </c>
      <c r="M264" s="52" t="s">
        <v>29</v>
      </c>
      <c r="N264" s="53">
        <v>-600</v>
      </c>
      <c r="O264" s="53">
        <v>-600</v>
      </c>
      <c r="P264" s="52" t="s">
        <v>875</v>
      </c>
      <c r="Q264" s="52" t="s">
        <v>415</v>
      </c>
      <c r="R264" s="55" t="s">
        <v>64</v>
      </c>
      <c r="S264" s="52" t="s">
        <v>210</v>
      </c>
    </row>
    <row r="265" spans="1:19" outlineLevel="2" x14ac:dyDescent="0.45">
      <c r="A265" t="s">
        <v>17</v>
      </c>
      <c r="B265" s="52" t="s">
        <v>57</v>
      </c>
      <c r="C265" s="52" t="s">
        <v>774</v>
      </c>
      <c r="D265" s="52" t="s">
        <v>775</v>
      </c>
      <c r="E265" s="52" t="s">
        <v>387</v>
      </c>
      <c r="F265" s="52" t="s">
        <v>796</v>
      </c>
      <c r="G265" s="52" t="s">
        <v>60</v>
      </c>
      <c r="H265" s="54">
        <v>46023</v>
      </c>
      <c r="I265" s="52" t="s">
        <v>74</v>
      </c>
      <c r="J265" s="52" t="s">
        <v>210</v>
      </c>
      <c r="K265" s="52" t="s">
        <v>777</v>
      </c>
      <c r="L265" s="52" t="s">
        <v>777</v>
      </c>
      <c r="M265" s="52" t="s">
        <v>29</v>
      </c>
      <c r="N265" s="53">
        <v>-581.9</v>
      </c>
      <c r="O265" s="53">
        <v>-581.9</v>
      </c>
      <c r="P265" s="52" t="s">
        <v>778</v>
      </c>
      <c r="Q265" s="52" t="s">
        <v>797</v>
      </c>
      <c r="R265" s="55" t="s">
        <v>64</v>
      </c>
      <c r="S265" s="52" t="s">
        <v>210</v>
      </c>
    </row>
    <row r="266" spans="1:19" outlineLevel="2" x14ac:dyDescent="0.45">
      <c r="A266" t="s">
        <v>17</v>
      </c>
      <c r="B266" s="52" t="s">
        <v>57</v>
      </c>
      <c r="C266" s="52" t="s">
        <v>876</v>
      </c>
      <c r="D266" s="52" t="s">
        <v>877</v>
      </c>
      <c r="E266" s="52" t="s">
        <v>387</v>
      </c>
      <c r="F266" s="52" t="s">
        <v>878</v>
      </c>
      <c r="G266" s="52" t="s">
        <v>60</v>
      </c>
      <c r="H266" s="54">
        <v>46023</v>
      </c>
      <c r="I266" s="52" t="s">
        <v>74</v>
      </c>
      <c r="J266" s="52" t="s">
        <v>210</v>
      </c>
      <c r="K266" s="52" t="s">
        <v>879</v>
      </c>
      <c r="L266" s="52" t="s">
        <v>879</v>
      </c>
      <c r="M266" s="52" t="s">
        <v>29</v>
      </c>
      <c r="N266" s="53">
        <v>-580.04</v>
      </c>
      <c r="O266" s="53">
        <v>-580.04</v>
      </c>
      <c r="P266" s="52" t="s">
        <v>880</v>
      </c>
      <c r="Q266" s="52" t="s">
        <v>625</v>
      </c>
      <c r="R266" s="55" t="s">
        <v>64</v>
      </c>
      <c r="S266" s="52" t="s">
        <v>210</v>
      </c>
    </row>
    <row r="267" spans="1:19" outlineLevel="2" x14ac:dyDescent="0.45">
      <c r="A267" t="s">
        <v>17</v>
      </c>
      <c r="B267" s="52" t="s">
        <v>57</v>
      </c>
      <c r="C267" s="52" t="s">
        <v>376</v>
      </c>
      <c r="D267" s="52" t="s">
        <v>377</v>
      </c>
      <c r="E267" s="52" t="s">
        <v>387</v>
      </c>
      <c r="F267" s="52" t="s">
        <v>881</v>
      </c>
      <c r="G267" s="52" t="s">
        <v>60</v>
      </c>
      <c r="H267" s="54">
        <v>46023</v>
      </c>
      <c r="I267" s="52" t="s">
        <v>74</v>
      </c>
      <c r="J267" s="52" t="s">
        <v>210</v>
      </c>
      <c r="K267" s="52" t="s">
        <v>645</v>
      </c>
      <c r="L267" s="52" t="s">
        <v>645</v>
      </c>
      <c r="M267" s="52" t="s">
        <v>29</v>
      </c>
      <c r="N267" s="53">
        <v>-457.21</v>
      </c>
      <c r="O267" s="53">
        <v>-457.21</v>
      </c>
      <c r="P267" s="52" t="s">
        <v>646</v>
      </c>
      <c r="Q267" s="52" t="s">
        <v>647</v>
      </c>
      <c r="R267" s="55" t="s">
        <v>64</v>
      </c>
      <c r="S267" s="52" t="s">
        <v>210</v>
      </c>
    </row>
    <row r="268" spans="1:19" outlineLevel="2" x14ac:dyDescent="0.45">
      <c r="A268" t="s">
        <v>17</v>
      </c>
      <c r="B268" s="52" t="s">
        <v>57</v>
      </c>
      <c r="C268" s="52" t="s">
        <v>785</v>
      </c>
      <c r="D268" s="52" t="s">
        <v>786</v>
      </c>
      <c r="E268" s="52" t="s">
        <v>387</v>
      </c>
      <c r="F268" s="52" t="s">
        <v>882</v>
      </c>
      <c r="G268" s="52" t="s">
        <v>60</v>
      </c>
      <c r="H268" s="54">
        <v>46023</v>
      </c>
      <c r="I268" s="52" t="s">
        <v>74</v>
      </c>
      <c r="J268" s="52" t="s">
        <v>107</v>
      </c>
      <c r="K268" s="52" t="s">
        <v>883</v>
      </c>
      <c r="L268" s="52" t="s">
        <v>883</v>
      </c>
      <c r="M268" s="52" t="s">
        <v>29</v>
      </c>
      <c r="N268" s="53">
        <v>-447</v>
      </c>
      <c r="O268" s="53">
        <v>-447</v>
      </c>
      <c r="P268" s="52" t="s">
        <v>884</v>
      </c>
      <c r="Q268" s="52" t="s">
        <v>885</v>
      </c>
      <c r="R268" s="55" t="s">
        <v>64</v>
      </c>
      <c r="S268" s="52" t="s">
        <v>107</v>
      </c>
    </row>
    <row r="269" spans="1:19" outlineLevel="2" x14ac:dyDescent="0.45">
      <c r="A269" t="s">
        <v>17</v>
      </c>
      <c r="B269" s="52" t="s">
        <v>66</v>
      </c>
      <c r="C269" s="52" t="s">
        <v>349</v>
      </c>
      <c r="D269" s="52" t="s">
        <v>350</v>
      </c>
      <c r="E269" s="52" t="s">
        <v>387</v>
      </c>
      <c r="F269" s="52" t="s">
        <v>886</v>
      </c>
      <c r="G269" s="52" t="s">
        <v>60</v>
      </c>
      <c r="H269" s="54">
        <v>46023</v>
      </c>
      <c r="I269" s="52" t="s">
        <v>74</v>
      </c>
      <c r="J269" s="52" t="s">
        <v>340</v>
      </c>
      <c r="K269" s="52" t="s">
        <v>596</v>
      </c>
      <c r="L269" s="52" t="s">
        <v>596</v>
      </c>
      <c r="M269" s="52" t="s">
        <v>67</v>
      </c>
      <c r="N269" s="53">
        <v>-123.5</v>
      </c>
      <c r="O269" s="53">
        <v>-414.84</v>
      </c>
      <c r="P269" s="52" t="s">
        <v>597</v>
      </c>
      <c r="Q269" s="52" t="s">
        <v>887</v>
      </c>
      <c r="R269" s="55" t="s">
        <v>64</v>
      </c>
      <c r="S269" s="52" t="s">
        <v>340</v>
      </c>
    </row>
    <row r="270" spans="1:19" outlineLevel="2" x14ac:dyDescent="0.45">
      <c r="A270" t="s">
        <v>17</v>
      </c>
      <c r="B270" s="52" t="s">
        <v>57</v>
      </c>
      <c r="C270" s="52" t="s">
        <v>630</v>
      </c>
      <c r="D270" s="52" t="s">
        <v>631</v>
      </c>
      <c r="E270" s="52" t="s">
        <v>387</v>
      </c>
      <c r="F270" s="52" t="s">
        <v>888</v>
      </c>
      <c r="G270" s="52" t="s">
        <v>60</v>
      </c>
      <c r="H270" s="54">
        <v>46023</v>
      </c>
      <c r="I270" s="52" t="s">
        <v>74</v>
      </c>
      <c r="J270" s="52" t="s">
        <v>649</v>
      </c>
      <c r="K270" s="52" t="s">
        <v>889</v>
      </c>
      <c r="L270" s="52" t="s">
        <v>889</v>
      </c>
      <c r="M270" s="52" t="s">
        <v>29</v>
      </c>
      <c r="N270" s="53">
        <v>-413.51</v>
      </c>
      <c r="O270" s="53">
        <v>-413.51</v>
      </c>
      <c r="P270" s="52" t="s">
        <v>890</v>
      </c>
      <c r="Q270" s="52" t="s">
        <v>891</v>
      </c>
      <c r="R270" s="55" t="s">
        <v>64</v>
      </c>
      <c r="S270" s="52" t="s">
        <v>649</v>
      </c>
    </row>
    <row r="271" spans="1:19" outlineLevel="2" x14ac:dyDescent="0.45">
      <c r="A271" t="s">
        <v>17</v>
      </c>
      <c r="B271" s="52" t="s">
        <v>57</v>
      </c>
      <c r="C271" s="52" t="s">
        <v>376</v>
      </c>
      <c r="D271" s="52" t="s">
        <v>377</v>
      </c>
      <c r="E271" s="52" t="s">
        <v>387</v>
      </c>
      <c r="F271" s="52" t="s">
        <v>892</v>
      </c>
      <c r="G271" s="52" t="s">
        <v>60</v>
      </c>
      <c r="H271" s="54">
        <v>46023</v>
      </c>
      <c r="I271" s="52" t="s">
        <v>74</v>
      </c>
      <c r="J271" s="52" t="s">
        <v>210</v>
      </c>
      <c r="K271" s="52" t="s">
        <v>645</v>
      </c>
      <c r="L271" s="52" t="s">
        <v>645</v>
      </c>
      <c r="M271" s="52" t="s">
        <v>29</v>
      </c>
      <c r="N271" s="53">
        <v>-387.7</v>
      </c>
      <c r="O271" s="53">
        <v>-387.7</v>
      </c>
      <c r="P271" s="52" t="s">
        <v>646</v>
      </c>
      <c r="Q271" s="52" t="s">
        <v>647</v>
      </c>
      <c r="R271" s="55" t="s">
        <v>64</v>
      </c>
      <c r="S271" s="52" t="s">
        <v>210</v>
      </c>
    </row>
    <row r="272" spans="1:19" outlineLevel="2" x14ac:dyDescent="0.45">
      <c r="A272" t="s">
        <v>17</v>
      </c>
      <c r="B272" s="52" t="s">
        <v>57</v>
      </c>
      <c r="C272" s="52" t="s">
        <v>376</v>
      </c>
      <c r="D272" s="52" t="s">
        <v>377</v>
      </c>
      <c r="E272" s="52" t="s">
        <v>387</v>
      </c>
      <c r="F272" s="52" t="s">
        <v>893</v>
      </c>
      <c r="G272" s="52" t="s">
        <v>60</v>
      </c>
      <c r="H272" s="54">
        <v>46023</v>
      </c>
      <c r="I272" s="52" t="s">
        <v>74</v>
      </c>
      <c r="J272" s="52" t="s">
        <v>210</v>
      </c>
      <c r="K272" s="52" t="s">
        <v>645</v>
      </c>
      <c r="L272" s="52" t="s">
        <v>645</v>
      </c>
      <c r="M272" s="52" t="s">
        <v>29</v>
      </c>
      <c r="N272" s="53">
        <v>-387.7</v>
      </c>
      <c r="O272" s="53">
        <v>-387.7</v>
      </c>
      <c r="P272" s="52" t="s">
        <v>646</v>
      </c>
      <c r="Q272" s="52" t="s">
        <v>647</v>
      </c>
      <c r="R272" s="55" t="s">
        <v>64</v>
      </c>
      <c r="S272" s="52" t="s">
        <v>210</v>
      </c>
    </row>
    <row r="273" spans="1:19" outlineLevel="2" x14ac:dyDescent="0.45">
      <c r="A273" t="s">
        <v>17</v>
      </c>
      <c r="B273" s="52" t="s">
        <v>57</v>
      </c>
      <c r="C273" s="52" t="s">
        <v>894</v>
      </c>
      <c r="D273" s="52" t="s">
        <v>895</v>
      </c>
      <c r="E273" s="52" t="s">
        <v>387</v>
      </c>
      <c r="F273" s="52" t="s">
        <v>896</v>
      </c>
      <c r="G273" s="52" t="s">
        <v>60</v>
      </c>
      <c r="H273" s="54">
        <v>46023</v>
      </c>
      <c r="I273" s="52" t="s">
        <v>74</v>
      </c>
      <c r="J273" s="52" t="s">
        <v>210</v>
      </c>
      <c r="K273" s="52" t="s">
        <v>897</v>
      </c>
      <c r="L273" s="52" t="s">
        <v>897</v>
      </c>
      <c r="M273" s="52" t="s">
        <v>29</v>
      </c>
      <c r="N273" s="53">
        <v>-380</v>
      </c>
      <c r="O273" s="53">
        <v>-380</v>
      </c>
      <c r="P273" s="52" t="s">
        <v>898</v>
      </c>
      <c r="Q273" s="52" t="s">
        <v>625</v>
      </c>
      <c r="R273" s="55" t="s">
        <v>64</v>
      </c>
      <c r="S273" s="52" t="s">
        <v>210</v>
      </c>
    </row>
    <row r="274" spans="1:19" outlineLevel="2" x14ac:dyDescent="0.45">
      <c r="A274" t="s">
        <v>17</v>
      </c>
      <c r="B274" s="52" t="s">
        <v>57</v>
      </c>
      <c r="C274" s="52" t="s">
        <v>656</v>
      </c>
      <c r="D274" s="52" t="s">
        <v>657</v>
      </c>
      <c r="E274" s="52" t="s">
        <v>387</v>
      </c>
      <c r="F274" s="52" t="s">
        <v>899</v>
      </c>
      <c r="G274" s="52" t="s">
        <v>60</v>
      </c>
      <c r="H274" s="54">
        <v>46023</v>
      </c>
      <c r="I274" s="52" t="s">
        <v>74</v>
      </c>
      <c r="J274" s="52" t="s">
        <v>210</v>
      </c>
      <c r="K274" s="52" t="s">
        <v>900</v>
      </c>
      <c r="L274" s="52" t="s">
        <v>900</v>
      </c>
      <c r="M274" s="52" t="s">
        <v>29</v>
      </c>
      <c r="N274" s="53">
        <v>-376.87</v>
      </c>
      <c r="O274" s="53">
        <v>-376.87</v>
      </c>
      <c r="P274" s="52" t="s">
        <v>901</v>
      </c>
      <c r="Q274" s="52" t="s">
        <v>625</v>
      </c>
      <c r="R274" s="55" t="s">
        <v>64</v>
      </c>
      <c r="S274" s="52" t="s">
        <v>210</v>
      </c>
    </row>
    <row r="275" spans="1:19" outlineLevel="2" x14ac:dyDescent="0.45">
      <c r="A275" t="s">
        <v>17</v>
      </c>
      <c r="B275" s="52" t="s">
        <v>57</v>
      </c>
      <c r="C275" s="52" t="s">
        <v>785</v>
      </c>
      <c r="D275" s="52" t="s">
        <v>786</v>
      </c>
      <c r="E275" s="52" t="s">
        <v>387</v>
      </c>
      <c r="F275" s="52" t="s">
        <v>903</v>
      </c>
      <c r="G275" s="52" t="s">
        <v>60</v>
      </c>
      <c r="H275" s="54">
        <v>46023</v>
      </c>
      <c r="I275" s="52" t="s">
        <v>74</v>
      </c>
      <c r="J275" s="52" t="s">
        <v>107</v>
      </c>
      <c r="K275" s="52" t="s">
        <v>904</v>
      </c>
      <c r="L275" s="52" t="s">
        <v>904</v>
      </c>
      <c r="M275" s="52" t="s">
        <v>29</v>
      </c>
      <c r="N275" s="53">
        <v>-305</v>
      </c>
      <c r="O275" s="53">
        <v>-305</v>
      </c>
      <c r="P275" s="52" t="s">
        <v>905</v>
      </c>
      <c r="Q275" s="52" t="s">
        <v>906</v>
      </c>
      <c r="R275" s="55" t="s">
        <v>64</v>
      </c>
      <c r="S275" s="52" t="s">
        <v>107</v>
      </c>
    </row>
    <row r="276" spans="1:19" outlineLevel="2" x14ac:dyDescent="0.45">
      <c r="A276" t="s">
        <v>17</v>
      </c>
      <c r="B276" s="52" t="s">
        <v>57</v>
      </c>
      <c r="C276" s="52" t="s">
        <v>785</v>
      </c>
      <c r="D276" s="52" t="s">
        <v>786</v>
      </c>
      <c r="E276" s="52" t="s">
        <v>387</v>
      </c>
      <c r="F276" s="52" t="s">
        <v>907</v>
      </c>
      <c r="G276" s="52" t="s">
        <v>60</v>
      </c>
      <c r="H276" s="54">
        <v>46023</v>
      </c>
      <c r="I276" s="52" t="s">
        <v>74</v>
      </c>
      <c r="J276" s="52" t="s">
        <v>107</v>
      </c>
      <c r="K276" s="52" t="s">
        <v>908</v>
      </c>
      <c r="L276" s="52" t="s">
        <v>908</v>
      </c>
      <c r="M276" s="52" t="s">
        <v>29</v>
      </c>
      <c r="N276" s="53">
        <v>-305</v>
      </c>
      <c r="O276" s="53">
        <v>-305</v>
      </c>
      <c r="P276" s="52" t="s">
        <v>909</v>
      </c>
      <c r="Q276" s="52" t="s">
        <v>910</v>
      </c>
      <c r="R276" s="55" t="s">
        <v>64</v>
      </c>
      <c r="S276" s="52" t="s">
        <v>107</v>
      </c>
    </row>
    <row r="277" spans="1:19" outlineLevel="2" x14ac:dyDescent="0.45">
      <c r="A277" t="s">
        <v>17</v>
      </c>
      <c r="B277" s="52" t="s">
        <v>57</v>
      </c>
      <c r="C277" s="52" t="s">
        <v>911</v>
      </c>
      <c r="D277" s="52" t="s">
        <v>912</v>
      </c>
      <c r="E277" s="52" t="s">
        <v>387</v>
      </c>
      <c r="F277" s="52" t="s">
        <v>913</v>
      </c>
      <c r="G277" s="52" t="s">
        <v>60</v>
      </c>
      <c r="H277" s="54">
        <v>46023</v>
      </c>
      <c r="I277" s="52" t="s">
        <v>74</v>
      </c>
      <c r="J277" s="52" t="s">
        <v>107</v>
      </c>
      <c r="K277" s="52" t="s">
        <v>914</v>
      </c>
      <c r="L277" s="52" t="s">
        <v>914</v>
      </c>
      <c r="M277" s="52" t="s">
        <v>29</v>
      </c>
      <c r="N277" s="53">
        <v>-260</v>
      </c>
      <c r="O277" s="53">
        <v>-260</v>
      </c>
      <c r="P277" s="52" t="s">
        <v>915</v>
      </c>
      <c r="Q277" s="52" t="s">
        <v>916</v>
      </c>
      <c r="R277" s="55" t="s">
        <v>64</v>
      </c>
      <c r="S277" s="52" t="s">
        <v>107</v>
      </c>
    </row>
    <row r="278" spans="1:19" outlineLevel="2" x14ac:dyDescent="0.45">
      <c r="A278" t="s">
        <v>17</v>
      </c>
      <c r="B278" s="52" t="s">
        <v>57</v>
      </c>
      <c r="C278" s="52" t="s">
        <v>774</v>
      </c>
      <c r="D278" s="52" t="s">
        <v>775</v>
      </c>
      <c r="E278" s="52" t="s">
        <v>387</v>
      </c>
      <c r="F278" s="52" t="s">
        <v>796</v>
      </c>
      <c r="G278" s="52" t="s">
        <v>60</v>
      </c>
      <c r="H278" s="54">
        <v>46023</v>
      </c>
      <c r="I278" s="52" t="s">
        <v>74</v>
      </c>
      <c r="J278" s="52" t="s">
        <v>210</v>
      </c>
      <c r="K278" s="52" t="s">
        <v>777</v>
      </c>
      <c r="L278" s="52" t="s">
        <v>777</v>
      </c>
      <c r="M278" s="52" t="s">
        <v>29</v>
      </c>
      <c r="N278" s="53">
        <v>-257.5</v>
      </c>
      <c r="O278" s="53">
        <v>-257.5</v>
      </c>
      <c r="P278" s="52" t="s">
        <v>778</v>
      </c>
      <c r="Q278" s="52" t="s">
        <v>797</v>
      </c>
      <c r="R278" s="55" t="s">
        <v>64</v>
      </c>
      <c r="S278" s="52" t="s">
        <v>210</v>
      </c>
    </row>
    <row r="279" spans="1:19" outlineLevel="2" x14ac:dyDescent="0.45">
      <c r="A279" t="s">
        <v>17</v>
      </c>
      <c r="B279" s="52" t="s">
        <v>66</v>
      </c>
      <c r="C279" s="52" t="s">
        <v>917</v>
      </c>
      <c r="D279" s="52" t="s">
        <v>918</v>
      </c>
      <c r="E279" s="52" t="s">
        <v>387</v>
      </c>
      <c r="F279" s="52" t="s">
        <v>919</v>
      </c>
      <c r="G279" s="52" t="s">
        <v>60</v>
      </c>
      <c r="H279" s="54">
        <v>46023</v>
      </c>
      <c r="I279" s="52" t="s">
        <v>74</v>
      </c>
      <c r="J279" s="52" t="s">
        <v>841</v>
      </c>
      <c r="K279" s="52" t="s">
        <v>920</v>
      </c>
      <c r="L279" s="52" t="s">
        <v>920</v>
      </c>
      <c r="M279" s="52" t="s">
        <v>67</v>
      </c>
      <c r="N279" s="53">
        <v>-64.900000000000006</v>
      </c>
      <c r="O279" s="53">
        <v>-218.58</v>
      </c>
      <c r="P279" s="52" t="s">
        <v>921</v>
      </c>
      <c r="Q279" s="52" t="s">
        <v>922</v>
      </c>
      <c r="R279" s="55" t="s">
        <v>64</v>
      </c>
      <c r="S279" s="52" t="s">
        <v>841</v>
      </c>
    </row>
    <row r="280" spans="1:19" outlineLevel="2" x14ac:dyDescent="0.45">
      <c r="A280" t="s">
        <v>17</v>
      </c>
      <c r="B280" s="52" t="s">
        <v>57</v>
      </c>
      <c r="C280" s="52"/>
      <c r="D280" s="52" t="s">
        <v>338</v>
      </c>
      <c r="E280" s="52" t="s">
        <v>387</v>
      </c>
      <c r="F280" s="52" t="s">
        <v>923</v>
      </c>
      <c r="G280" s="52" t="s">
        <v>60</v>
      </c>
      <c r="H280" s="54">
        <v>46023</v>
      </c>
      <c r="I280" s="52" t="s">
        <v>74</v>
      </c>
      <c r="J280" s="52" t="s">
        <v>210</v>
      </c>
      <c r="K280" s="52"/>
      <c r="L280" s="52"/>
      <c r="M280" s="52" t="s">
        <v>29</v>
      </c>
      <c r="N280" s="53">
        <v>-195.8</v>
      </c>
      <c r="O280" s="53">
        <v>-195.8</v>
      </c>
      <c r="P280" s="52" t="s">
        <v>873</v>
      </c>
      <c r="Q280" s="52" t="s">
        <v>873</v>
      </c>
      <c r="R280" s="55" t="s">
        <v>64</v>
      </c>
      <c r="S280" s="52" t="s">
        <v>210</v>
      </c>
    </row>
    <row r="281" spans="1:19" outlineLevel="2" x14ac:dyDescent="0.45">
      <c r="A281" t="s">
        <v>17</v>
      </c>
      <c r="B281" s="52" t="s">
        <v>57</v>
      </c>
      <c r="C281" s="52" t="s">
        <v>924</v>
      </c>
      <c r="D281" s="52" t="s">
        <v>925</v>
      </c>
      <c r="E281" s="52" t="s">
        <v>387</v>
      </c>
      <c r="F281" s="52" t="s">
        <v>926</v>
      </c>
      <c r="G281" s="52" t="s">
        <v>60</v>
      </c>
      <c r="H281" s="54">
        <v>46023</v>
      </c>
      <c r="I281" s="52" t="s">
        <v>74</v>
      </c>
      <c r="J281" s="52" t="s">
        <v>210</v>
      </c>
      <c r="K281" s="52" t="s">
        <v>927</v>
      </c>
      <c r="L281" s="52" t="s">
        <v>927</v>
      </c>
      <c r="M281" s="52" t="s">
        <v>29</v>
      </c>
      <c r="N281" s="53">
        <v>-188.8</v>
      </c>
      <c r="O281" s="53">
        <v>-188.8</v>
      </c>
      <c r="P281" s="52" t="s">
        <v>928</v>
      </c>
      <c r="Q281" s="52" t="s">
        <v>625</v>
      </c>
      <c r="R281" s="55" t="s">
        <v>64</v>
      </c>
      <c r="S281" s="52" t="s">
        <v>210</v>
      </c>
    </row>
    <row r="282" spans="1:19" outlineLevel="2" x14ac:dyDescent="0.45">
      <c r="A282" t="s">
        <v>17</v>
      </c>
      <c r="B282" s="52" t="s">
        <v>57</v>
      </c>
      <c r="C282" s="52" t="s">
        <v>376</v>
      </c>
      <c r="D282" s="52" t="s">
        <v>377</v>
      </c>
      <c r="E282" s="52" t="s">
        <v>387</v>
      </c>
      <c r="F282" s="52" t="s">
        <v>929</v>
      </c>
      <c r="G282" s="52" t="s">
        <v>60</v>
      </c>
      <c r="H282" s="54">
        <v>46023</v>
      </c>
      <c r="I282" s="52" t="s">
        <v>74</v>
      </c>
      <c r="J282" s="52" t="s">
        <v>210</v>
      </c>
      <c r="K282" s="52" t="s">
        <v>645</v>
      </c>
      <c r="L282" s="52" t="s">
        <v>645</v>
      </c>
      <c r="M282" s="52" t="s">
        <v>29</v>
      </c>
      <c r="N282" s="53">
        <v>-188.23</v>
      </c>
      <c r="O282" s="53">
        <v>-188.23</v>
      </c>
      <c r="P282" s="52" t="s">
        <v>646</v>
      </c>
      <c r="Q282" s="52" t="s">
        <v>647</v>
      </c>
      <c r="R282" s="55" t="s">
        <v>64</v>
      </c>
      <c r="S282" s="52" t="s">
        <v>210</v>
      </c>
    </row>
    <row r="283" spans="1:19" outlineLevel="2" x14ac:dyDescent="0.45">
      <c r="A283" t="s">
        <v>17</v>
      </c>
      <c r="B283" s="52" t="s">
        <v>57</v>
      </c>
      <c r="C283" s="52" t="s">
        <v>349</v>
      </c>
      <c r="D283" s="52" t="s">
        <v>350</v>
      </c>
      <c r="E283" s="52" t="s">
        <v>387</v>
      </c>
      <c r="F283" s="52" t="s">
        <v>930</v>
      </c>
      <c r="G283" s="52" t="s">
        <v>60</v>
      </c>
      <c r="H283" s="54">
        <v>46023</v>
      </c>
      <c r="I283" s="52" t="s">
        <v>74</v>
      </c>
      <c r="J283" s="52" t="s">
        <v>210</v>
      </c>
      <c r="K283" s="52" t="s">
        <v>931</v>
      </c>
      <c r="L283" s="52" t="s">
        <v>931</v>
      </c>
      <c r="M283" s="52" t="s">
        <v>29</v>
      </c>
      <c r="N283" s="53">
        <v>-152.69999999999999</v>
      </c>
      <c r="O283" s="53">
        <v>-152.69999999999999</v>
      </c>
      <c r="P283" s="52" t="s">
        <v>932</v>
      </c>
      <c r="Q283" s="52" t="s">
        <v>933</v>
      </c>
      <c r="R283" s="55" t="s">
        <v>64</v>
      </c>
      <c r="S283" s="52" t="s">
        <v>210</v>
      </c>
    </row>
    <row r="284" spans="1:19" outlineLevel="2" x14ac:dyDescent="0.45">
      <c r="A284" t="s">
        <v>17</v>
      </c>
      <c r="B284" s="52" t="s">
        <v>57</v>
      </c>
      <c r="C284" s="52" t="s">
        <v>934</v>
      </c>
      <c r="D284" s="52" t="s">
        <v>935</v>
      </c>
      <c r="E284" s="52" t="s">
        <v>387</v>
      </c>
      <c r="F284" s="52" t="s">
        <v>936</v>
      </c>
      <c r="G284" s="52" t="s">
        <v>60</v>
      </c>
      <c r="H284" s="54">
        <v>46023</v>
      </c>
      <c r="I284" s="52" t="s">
        <v>74</v>
      </c>
      <c r="J284" s="52" t="s">
        <v>107</v>
      </c>
      <c r="K284" s="52" t="s">
        <v>937</v>
      </c>
      <c r="L284" s="52" t="s">
        <v>937</v>
      </c>
      <c r="M284" s="52" t="s">
        <v>29</v>
      </c>
      <c r="N284" s="53">
        <v>-147</v>
      </c>
      <c r="O284" s="53">
        <v>-147</v>
      </c>
      <c r="P284" s="52" t="s">
        <v>938</v>
      </c>
      <c r="Q284" s="52" t="s">
        <v>939</v>
      </c>
      <c r="R284" s="55" t="s">
        <v>64</v>
      </c>
      <c r="S284" s="52" t="s">
        <v>107</v>
      </c>
    </row>
    <row r="285" spans="1:19" outlineLevel="2" x14ac:dyDescent="0.45">
      <c r="A285" t="s">
        <v>17</v>
      </c>
      <c r="B285" s="52" t="s">
        <v>57</v>
      </c>
      <c r="C285" s="52" t="s">
        <v>838</v>
      </c>
      <c r="D285" s="52" t="s">
        <v>839</v>
      </c>
      <c r="E285" s="52" t="s">
        <v>387</v>
      </c>
      <c r="F285" s="52" t="s">
        <v>940</v>
      </c>
      <c r="G285" s="52" t="s">
        <v>60</v>
      </c>
      <c r="H285" s="54">
        <v>46023</v>
      </c>
      <c r="I285" s="52" t="s">
        <v>74</v>
      </c>
      <c r="J285" s="52" t="s">
        <v>210</v>
      </c>
      <c r="K285" s="52" t="s">
        <v>941</v>
      </c>
      <c r="L285" s="52" t="s">
        <v>941</v>
      </c>
      <c r="M285" s="52" t="s">
        <v>29</v>
      </c>
      <c r="N285" s="53">
        <v>-119.98</v>
      </c>
      <c r="O285" s="53">
        <v>-119.98</v>
      </c>
      <c r="P285" s="52" t="s">
        <v>942</v>
      </c>
      <c r="Q285" s="52" t="s">
        <v>625</v>
      </c>
      <c r="R285" s="55" t="s">
        <v>64</v>
      </c>
      <c r="S285" s="52" t="s">
        <v>210</v>
      </c>
    </row>
    <row r="286" spans="1:19" outlineLevel="2" x14ac:dyDescent="0.45">
      <c r="A286" t="s">
        <v>17</v>
      </c>
      <c r="B286" s="52" t="s">
        <v>57</v>
      </c>
      <c r="C286" s="52" t="s">
        <v>911</v>
      </c>
      <c r="D286" s="52" t="s">
        <v>912</v>
      </c>
      <c r="E286" s="52" t="s">
        <v>387</v>
      </c>
      <c r="F286" s="52" t="s">
        <v>943</v>
      </c>
      <c r="G286" s="52" t="s">
        <v>60</v>
      </c>
      <c r="H286" s="54">
        <v>46023</v>
      </c>
      <c r="I286" s="52" t="s">
        <v>74</v>
      </c>
      <c r="J286" s="52" t="s">
        <v>107</v>
      </c>
      <c r="K286" s="52" t="s">
        <v>944</v>
      </c>
      <c r="L286" s="52" t="s">
        <v>944</v>
      </c>
      <c r="M286" s="52" t="s">
        <v>29</v>
      </c>
      <c r="N286" s="53">
        <v>-78</v>
      </c>
      <c r="O286" s="53">
        <v>-78</v>
      </c>
      <c r="P286" s="52" t="s">
        <v>945</v>
      </c>
      <c r="Q286" s="52" t="s">
        <v>946</v>
      </c>
      <c r="R286" s="55" t="s">
        <v>64</v>
      </c>
      <c r="S286" s="52" t="s">
        <v>107</v>
      </c>
    </row>
    <row r="287" spans="1:19" outlineLevel="2" x14ac:dyDescent="0.45">
      <c r="A287" t="s">
        <v>17</v>
      </c>
      <c r="B287" s="52" t="s">
        <v>57</v>
      </c>
      <c r="C287" s="52"/>
      <c r="D287" s="52" t="s">
        <v>947</v>
      </c>
      <c r="E287" s="52" t="s">
        <v>387</v>
      </c>
      <c r="F287" s="52" t="s">
        <v>948</v>
      </c>
      <c r="G287" s="52" t="s">
        <v>60</v>
      </c>
      <c r="H287" s="54">
        <v>46023</v>
      </c>
      <c r="I287" s="52" t="s">
        <v>74</v>
      </c>
      <c r="J287" s="52" t="s">
        <v>210</v>
      </c>
      <c r="K287" s="52"/>
      <c r="L287" s="52"/>
      <c r="M287" s="52" t="s">
        <v>29</v>
      </c>
      <c r="N287" s="53">
        <v>-68.2</v>
      </c>
      <c r="O287" s="53">
        <v>-68.2</v>
      </c>
      <c r="P287" s="52" t="s">
        <v>873</v>
      </c>
      <c r="Q287" s="52" t="s">
        <v>873</v>
      </c>
      <c r="R287" s="55" t="s">
        <v>64</v>
      </c>
      <c r="S287" s="52" t="s">
        <v>210</v>
      </c>
    </row>
    <row r="288" spans="1:19" outlineLevel="2" x14ac:dyDescent="0.45">
      <c r="A288" t="s">
        <v>17</v>
      </c>
      <c r="B288" s="52" t="s">
        <v>57</v>
      </c>
      <c r="C288" s="52"/>
      <c r="D288" s="52" t="s">
        <v>949</v>
      </c>
      <c r="E288" s="52" t="s">
        <v>387</v>
      </c>
      <c r="F288" s="52" t="s">
        <v>950</v>
      </c>
      <c r="G288" s="52" t="s">
        <v>60</v>
      </c>
      <c r="H288" s="54">
        <v>46023</v>
      </c>
      <c r="I288" s="52" t="s">
        <v>74</v>
      </c>
      <c r="J288" s="52" t="s">
        <v>210</v>
      </c>
      <c r="K288" s="52" t="s">
        <v>951</v>
      </c>
      <c r="L288" s="52" t="s">
        <v>951</v>
      </c>
      <c r="M288" s="52" t="s">
        <v>29</v>
      </c>
      <c r="N288" s="53">
        <v>-49</v>
      </c>
      <c r="O288" s="53">
        <v>-49</v>
      </c>
      <c r="P288" s="52" t="s">
        <v>952</v>
      </c>
      <c r="Q288" s="52" t="s">
        <v>873</v>
      </c>
      <c r="R288" s="55" t="s">
        <v>64</v>
      </c>
      <c r="S288" s="52" t="s">
        <v>210</v>
      </c>
    </row>
    <row r="289" spans="1:19" outlineLevel="2" x14ac:dyDescent="0.45">
      <c r="A289" t="s">
        <v>17</v>
      </c>
      <c r="B289" s="52" t="s">
        <v>57</v>
      </c>
      <c r="C289" s="52" t="s">
        <v>953</v>
      </c>
      <c r="D289" s="52" t="s">
        <v>954</v>
      </c>
      <c r="E289" s="52" t="s">
        <v>387</v>
      </c>
      <c r="F289" s="52" t="s">
        <v>955</v>
      </c>
      <c r="G289" s="52" t="s">
        <v>60</v>
      </c>
      <c r="H289" s="54">
        <v>46023</v>
      </c>
      <c r="I289" s="52" t="s">
        <v>74</v>
      </c>
      <c r="J289" s="52" t="s">
        <v>210</v>
      </c>
      <c r="K289" s="52" t="s">
        <v>956</v>
      </c>
      <c r="L289" s="52" t="s">
        <v>956</v>
      </c>
      <c r="M289" s="52" t="s">
        <v>29</v>
      </c>
      <c r="N289" s="53">
        <v>-45</v>
      </c>
      <c r="O289" s="53">
        <v>-45</v>
      </c>
      <c r="P289" s="52" t="s">
        <v>957</v>
      </c>
      <c r="Q289" s="52" t="s">
        <v>625</v>
      </c>
      <c r="R289" s="55" t="s">
        <v>64</v>
      </c>
      <c r="S289" s="52" t="s">
        <v>210</v>
      </c>
    </row>
    <row r="290" spans="1:19" outlineLevel="2" x14ac:dyDescent="0.45">
      <c r="A290" t="s">
        <v>17</v>
      </c>
      <c r="B290" s="52" t="s">
        <v>57</v>
      </c>
      <c r="C290" s="52" t="s">
        <v>953</v>
      </c>
      <c r="D290" s="52" t="s">
        <v>954</v>
      </c>
      <c r="E290" s="52" t="s">
        <v>387</v>
      </c>
      <c r="F290" s="52" t="s">
        <v>955</v>
      </c>
      <c r="G290" s="52" t="s">
        <v>60</v>
      </c>
      <c r="H290" s="54">
        <v>46023</v>
      </c>
      <c r="I290" s="52" t="s">
        <v>74</v>
      </c>
      <c r="J290" s="52" t="s">
        <v>210</v>
      </c>
      <c r="K290" s="52" t="s">
        <v>958</v>
      </c>
      <c r="L290" s="52" t="s">
        <v>958</v>
      </c>
      <c r="M290" s="52" t="s">
        <v>29</v>
      </c>
      <c r="N290" s="53">
        <v>-45</v>
      </c>
      <c r="O290" s="53">
        <v>-45</v>
      </c>
      <c r="P290" s="52" t="s">
        <v>959</v>
      </c>
      <c r="Q290" s="52" t="s">
        <v>625</v>
      </c>
      <c r="R290" s="55" t="s">
        <v>64</v>
      </c>
      <c r="S290" s="52" t="s">
        <v>210</v>
      </c>
    </row>
    <row r="291" spans="1:19" outlineLevel="2" x14ac:dyDescent="0.45">
      <c r="A291" t="s">
        <v>17</v>
      </c>
      <c r="B291" s="52" t="s">
        <v>57</v>
      </c>
      <c r="C291" s="52" t="s">
        <v>953</v>
      </c>
      <c r="D291" s="52" t="s">
        <v>954</v>
      </c>
      <c r="E291" s="52" t="s">
        <v>387</v>
      </c>
      <c r="F291" s="52" t="s">
        <v>955</v>
      </c>
      <c r="G291" s="52" t="s">
        <v>60</v>
      </c>
      <c r="H291" s="54">
        <v>46023</v>
      </c>
      <c r="I291" s="52" t="s">
        <v>74</v>
      </c>
      <c r="J291" s="52" t="s">
        <v>210</v>
      </c>
      <c r="K291" s="52" t="s">
        <v>960</v>
      </c>
      <c r="L291" s="52" t="s">
        <v>960</v>
      </c>
      <c r="M291" s="52" t="s">
        <v>29</v>
      </c>
      <c r="N291" s="53">
        <v>-45</v>
      </c>
      <c r="O291" s="53">
        <v>-45</v>
      </c>
      <c r="P291" s="52" t="s">
        <v>961</v>
      </c>
      <c r="Q291" s="52" t="s">
        <v>625</v>
      </c>
      <c r="R291" s="55" t="s">
        <v>64</v>
      </c>
      <c r="S291" s="52" t="s">
        <v>210</v>
      </c>
    </row>
    <row r="292" spans="1:19" outlineLevel="2" x14ac:dyDescent="0.45">
      <c r="A292" t="s">
        <v>17</v>
      </c>
      <c r="B292" s="52" t="s">
        <v>57</v>
      </c>
      <c r="C292" s="52" t="s">
        <v>953</v>
      </c>
      <c r="D292" s="52" t="s">
        <v>954</v>
      </c>
      <c r="E292" s="52" t="s">
        <v>387</v>
      </c>
      <c r="F292" s="52" t="s">
        <v>955</v>
      </c>
      <c r="G292" s="52" t="s">
        <v>60</v>
      </c>
      <c r="H292" s="54">
        <v>46023</v>
      </c>
      <c r="I292" s="52" t="s">
        <v>74</v>
      </c>
      <c r="J292" s="52" t="s">
        <v>210</v>
      </c>
      <c r="K292" s="52" t="s">
        <v>962</v>
      </c>
      <c r="L292" s="52" t="s">
        <v>962</v>
      </c>
      <c r="M292" s="52" t="s">
        <v>29</v>
      </c>
      <c r="N292" s="53">
        <v>-45</v>
      </c>
      <c r="O292" s="53">
        <v>-45</v>
      </c>
      <c r="P292" s="52" t="s">
        <v>963</v>
      </c>
      <c r="Q292" s="52" t="s">
        <v>625</v>
      </c>
      <c r="R292" s="55" t="s">
        <v>64</v>
      </c>
      <c r="S292" s="52" t="s">
        <v>210</v>
      </c>
    </row>
    <row r="293" spans="1:19" outlineLevel="2" x14ac:dyDescent="0.45">
      <c r="A293" t="s">
        <v>17</v>
      </c>
      <c r="B293" s="52" t="s">
        <v>57</v>
      </c>
      <c r="C293" s="52" t="s">
        <v>953</v>
      </c>
      <c r="D293" s="52" t="s">
        <v>954</v>
      </c>
      <c r="E293" s="52" t="s">
        <v>387</v>
      </c>
      <c r="F293" s="52" t="s">
        <v>955</v>
      </c>
      <c r="G293" s="52" t="s">
        <v>60</v>
      </c>
      <c r="H293" s="54">
        <v>46023</v>
      </c>
      <c r="I293" s="52" t="s">
        <v>74</v>
      </c>
      <c r="J293" s="52" t="s">
        <v>210</v>
      </c>
      <c r="K293" s="52" t="s">
        <v>964</v>
      </c>
      <c r="L293" s="52" t="s">
        <v>964</v>
      </c>
      <c r="M293" s="52" t="s">
        <v>29</v>
      </c>
      <c r="N293" s="53">
        <v>-45</v>
      </c>
      <c r="O293" s="53">
        <v>-45</v>
      </c>
      <c r="P293" s="52" t="s">
        <v>965</v>
      </c>
      <c r="Q293" s="52" t="s">
        <v>625</v>
      </c>
      <c r="R293" s="55" t="s">
        <v>64</v>
      </c>
      <c r="S293" s="52" t="s">
        <v>210</v>
      </c>
    </row>
    <row r="294" spans="1:19" outlineLevel="2" x14ac:dyDescent="0.45">
      <c r="A294" t="s">
        <v>17</v>
      </c>
      <c r="B294" s="52" t="s">
        <v>57</v>
      </c>
      <c r="C294" s="52" t="s">
        <v>953</v>
      </c>
      <c r="D294" s="52" t="s">
        <v>954</v>
      </c>
      <c r="E294" s="52" t="s">
        <v>387</v>
      </c>
      <c r="F294" s="52" t="s">
        <v>955</v>
      </c>
      <c r="G294" s="52" t="s">
        <v>60</v>
      </c>
      <c r="H294" s="54">
        <v>46023</v>
      </c>
      <c r="I294" s="52" t="s">
        <v>74</v>
      </c>
      <c r="J294" s="52" t="s">
        <v>210</v>
      </c>
      <c r="K294" s="52" t="s">
        <v>966</v>
      </c>
      <c r="L294" s="52" t="s">
        <v>966</v>
      </c>
      <c r="M294" s="52" t="s">
        <v>29</v>
      </c>
      <c r="N294" s="53">
        <v>-45</v>
      </c>
      <c r="O294" s="53">
        <v>-45</v>
      </c>
      <c r="P294" s="52" t="s">
        <v>967</v>
      </c>
      <c r="Q294" s="52" t="s">
        <v>625</v>
      </c>
      <c r="R294" s="55" t="s">
        <v>64</v>
      </c>
      <c r="S294" s="52" t="s">
        <v>210</v>
      </c>
    </row>
    <row r="295" spans="1:19" outlineLevel="2" x14ac:dyDescent="0.45">
      <c r="A295" t="s">
        <v>17</v>
      </c>
      <c r="B295" s="52" t="s">
        <v>57</v>
      </c>
      <c r="C295" s="52" t="s">
        <v>953</v>
      </c>
      <c r="D295" s="52" t="s">
        <v>954</v>
      </c>
      <c r="E295" s="52" t="s">
        <v>387</v>
      </c>
      <c r="F295" s="52" t="s">
        <v>955</v>
      </c>
      <c r="G295" s="52" t="s">
        <v>60</v>
      </c>
      <c r="H295" s="54">
        <v>46023</v>
      </c>
      <c r="I295" s="52" t="s">
        <v>74</v>
      </c>
      <c r="J295" s="52" t="s">
        <v>210</v>
      </c>
      <c r="K295" s="52" t="s">
        <v>968</v>
      </c>
      <c r="L295" s="52" t="s">
        <v>968</v>
      </c>
      <c r="M295" s="52" t="s">
        <v>29</v>
      </c>
      <c r="N295" s="53">
        <v>-45</v>
      </c>
      <c r="O295" s="53">
        <v>-45</v>
      </c>
      <c r="P295" s="52" t="s">
        <v>969</v>
      </c>
      <c r="Q295" s="52" t="s">
        <v>625</v>
      </c>
      <c r="R295" s="55" t="s">
        <v>64</v>
      </c>
      <c r="S295" s="52" t="s">
        <v>210</v>
      </c>
    </row>
    <row r="296" spans="1:19" outlineLevel="2" x14ac:dyDescent="0.45">
      <c r="A296" t="s">
        <v>17</v>
      </c>
      <c r="B296" s="52" t="s">
        <v>57</v>
      </c>
      <c r="C296" s="52" t="s">
        <v>953</v>
      </c>
      <c r="D296" s="52" t="s">
        <v>954</v>
      </c>
      <c r="E296" s="52" t="s">
        <v>387</v>
      </c>
      <c r="F296" s="52" t="s">
        <v>955</v>
      </c>
      <c r="G296" s="52" t="s">
        <v>60</v>
      </c>
      <c r="H296" s="54">
        <v>46023</v>
      </c>
      <c r="I296" s="52" t="s">
        <v>74</v>
      </c>
      <c r="J296" s="52" t="s">
        <v>210</v>
      </c>
      <c r="K296" s="52" t="s">
        <v>970</v>
      </c>
      <c r="L296" s="52" t="s">
        <v>970</v>
      </c>
      <c r="M296" s="52" t="s">
        <v>29</v>
      </c>
      <c r="N296" s="53">
        <v>-45</v>
      </c>
      <c r="O296" s="53">
        <v>-45</v>
      </c>
      <c r="P296" s="52" t="s">
        <v>971</v>
      </c>
      <c r="Q296" s="52" t="s">
        <v>625</v>
      </c>
      <c r="R296" s="55" t="s">
        <v>64</v>
      </c>
      <c r="S296" s="52" t="s">
        <v>210</v>
      </c>
    </row>
    <row r="297" spans="1:19" outlineLevel="2" x14ac:dyDescent="0.45">
      <c r="A297" t="s">
        <v>17</v>
      </c>
      <c r="B297" s="52" t="s">
        <v>57</v>
      </c>
      <c r="C297" s="52" t="s">
        <v>953</v>
      </c>
      <c r="D297" s="52" t="s">
        <v>954</v>
      </c>
      <c r="E297" s="52" t="s">
        <v>387</v>
      </c>
      <c r="F297" s="52" t="s">
        <v>955</v>
      </c>
      <c r="G297" s="52" t="s">
        <v>60</v>
      </c>
      <c r="H297" s="54">
        <v>46023</v>
      </c>
      <c r="I297" s="52" t="s">
        <v>74</v>
      </c>
      <c r="J297" s="52" t="s">
        <v>210</v>
      </c>
      <c r="K297" s="52" t="s">
        <v>972</v>
      </c>
      <c r="L297" s="52" t="s">
        <v>972</v>
      </c>
      <c r="M297" s="52" t="s">
        <v>29</v>
      </c>
      <c r="N297" s="53">
        <v>-45</v>
      </c>
      <c r="O297" s="53">
        <v>-45</v>
      </c>
      <c r="P297" s="52" t="s">
        <v>973</v>
      </c>
      <c r="Q297" s="52" t="s">
        <v>625</v>
      </c>
      <c r="R297" s="55" t="s">
        <v>64</v>
      </c>
      <c r="S297" s="52" t="s">
        <v>210</v>
      </c>
    </row>
    <row r="298" spans="1:19" outlineLevel="2" x14ac:dyDescent="0.45">
      <c r="A298" t="s">
        <v>17</v>
      </c>
      <c r="B298" s="52" t="s">
        <v>57</v>
      </c>
      <c r="C298" s="52" t="s">
        <v>953</v>
      </c>
      <c r="D298" s="52" t="s">
        <v>954</v>
      </c>
      <c r="E298" s="52" t="s">
        <v>387</v>
      </c>
      <c r="F298" s="52" t="s">
        <v>955</v>
      </c>
      <c r="G298" s="52" t="s">
        <v>60</v>
      </c>
      <c r="H298" s="54">
        <v>46023</v>
      </c>
      <c r="I298" s="52" t="s">
        <v>74</v>
      </c>
      <c r="J298" s="52" t="s">
        <v>210</v>
      </c>
      <c r="K298" s="52" t="s">
        <v>974</v>
      </c>
      <c r="L298" s="52" t="s">
        <v>974</v>
      </c>
      <c r="M298" s="52" t="s">
        <v>29</v>
      </c>
      <c r="N298" s="53">
        <v>-45</v>
      </c>
      <c r="O298" s="53">
        <v>-45</v>
      </c>
      <c r="P298" s="52" t="s">
        <v>975</v>
      </c>
      <c r="Q298" s="52" t="s">
        <v>625</v>
      </c>
      <c r="R298" s="55" t="s">
        <v>64</v>
      </c>
      <c r="S298" s="52" t="s">
        <v>210</v>
      </c>
    </row>
    <row r="299" spans="1:19" outlineLevel="2" x14ac:dyDescent="0.45">
      <c r="A299" t="s">
        <v>17</v>
      </c>
      <c r="B299" s="52" t="s">
        <v>57</v>
      </c>
      <c r="C299" s="52" t="s">
        <v>953</v>
      </c>
      <c r="D299" s="52" t="s">
        <v>954</v>
      </c>
      <c r="E299" s="52" t="s">
        <v>387</v>
      </c>
      <c r="F299" s="52" t="s">
        <v>955</v>
      </c>
      <c r="G299" s="52" t="s">
        <v>60</v>
      </c>
      <c r="H299" s="54">
        <v>46023</v>
      </c>
      <c r="I299" s="52" t="s">
        <v>74</v>
      </c>
      <c r="J299" s="52" t="s">
        <v>210</v>
      </c>
      <c r="K299" s="52" t="s">
        <v>976</v>
      </c>
      <c r="L299" s="52" t="s">
        <v>976</v>
      </c>
      <c r="M299" s="52" t="s">
        <v>29</v>
      </c>
      <c r="N299" s="53">
        <v>-45</v>
      </c>
      <c r="O299" s="53">
        <v>-45</v>
      </c>
      <c r="P299" s="52" t="s">
        <v>977</v>
      </c>
      <c r="Q299" s="52" t="s">
        <v>625</v>
      </c>
      <c r="R299" s="55" t="s">
        <v>64</v>
      </c>
      <c r="S299" s="52" t="s">
        <v>210</v>
      </c>
    </row>
    <row r="300" spans="1:19" outlineLevel="2" x14ac:dyDescent="0.45">
      <c r="A300" t="s">
        <v>17</v>
      </c>
      <c r="B300" s="52" t="s">
        <v>57</v>
      </c>
      <c r="C300" s="52" t="s">
        <v>953</v>
      </c>
      <c r="D300" s="52" t="s">
        <v>954</v>
      </c>
      <c r="E300" s="52" t="s">
        <v>387</v>
      </c>
      <c r="F300" s="52" t="s">
        <v>955</v>
      </c>
      <c r="G300" s="52" t="s">
        <v>60</v>
      </c>
      <c r="H300" s="54">
        <v>46023</v>
      </c>
      <c r="I300" s="52" t="s">
        <v>74</v>
      </c>
      <c r="J300" s="52" t="s">
        <v>210</v>
      </c>
      <c r="K300" s="52" t="s">
        <v>978</v>
      </c>
      <c r="L300" s="52" t="s">
        <v>978</v>
      </c>
      <c r="M300" s="52" t="s">
        <v>29</v>
      </c>
      <c r="N300" s="53">
        <v>-45</v>
      </c>
      <c r="O300" s="53">
        <v>-45</v>
      </c>
      <c r="P300" s="52" t="s">
        <v>979</v>
      </c>
      <c r="Q300" s="52" t="s">
        <v>625</v>
      </c>
      <c r="R300" s="55" t="s">
        <v>64</v>
      </c>
      <c r="S300" s="52" t="s">
        <v>210</v>
      </c>
    </row>
    <row r="301" spans="1:19" outlineLevel="2" x14ac:dyDescent="0.45">
      <c r="A301" t="s">
        <v>17</v>
      </c>
      <c r="B301" s="52" t="s">
        <v>57</v>
      </c>
      <c r="C301" s="52" t="s">
        <v>953</v>
      </c>
      <c r="D301" s="52" t="s">
        <v>954</v>
      </c>
      <c r="E301" s="52" t="s">
        <v>387</v>
      </c>
      <c r="F301" s="52" t="s">
        <v>955</v>
      </c>
      <c r="G301" s="52" t="s">
        <v>60</v>
      </c>
      <c r="H301" s="54">
        <v>46023</v>
      </c>
      <c r="I301" s="52" t="s">
        <v>74</v>
      </c>
      <c r="J301" s="52" t="s">
        <v>210</v>
      </c>
      <c r="K301" s="52" t="s">
        <v>980</v>
      </c>
      <c r="L301" s="52" t="s">
        <v>980</v>
      </c>
      <c r="M301" s="52" t="s">
        <v>29</v>
      </c>
      <c r="N301" s="53">
        <v>-45</v>
      </c>
      <c r="O301" s="53">
        <v>-45</v>
      </c>
      <c r="P301" s="52" t="s">
        <v>981</v>
      </c>
      <c r="Q301" s="52" t="s">
        <v>625</v>
      </c>
      <c r="R301" s="55" t="s">
        <v>64</v>
      </c>
      <c r="S301" s="52" t="s">
        <v>210</v>
      </c>
    </row>
    <row r="302" spans="1:19" outlineLevel="2" x14ac:dyDescent="0.45">
      <c r="A302" t="s">
        <v>17</v>
      </c>
      <c r="B302" s="52" t="s">
        <v>57</v>
      </c>
      <c r="C302" s="52"/>
      <c r="D302" s="52" t="s">
        <v>982</v>
      </c>
      <c r="E302" s="52" t="s">
        <v>387</v>
      </c>
      <c r="F302" s="52" t="s">
        <v>983</v>
      </c>
      <c r="G302" s="52" t="s">
        <v>60</v>
      </c>
      <c r="H302" s="54">
        <v>46023</v>
      </c>
      <c r="I302" s="52" t="s">
        <v>74</v>
      </c>
      <c r="J302" s="52" t="s">
        <v>210</v>
      </c>
      <c r="K302" s="52" t="s">
        <v>984</v>
      </c>
      <c r="L302" s="52" t="s">
        <v>984</v>
      </c>
      <c r="M302" s="52" t="s">
        <v>29</v>
      </c>
      <c r="N302" s="53">
        <v>-15</v>
      </c>
      <c r="O302" s="53">
        <v>-15</v>
      </c>
      <c r="P302" s="52" t="s">
        <v>985</v>
      </c>
      <c r="Q302" s="52" t="s">
        <v>873</v>
      </c>
      <c r="R302" s="55" t="s">
        <v>64</v>
      </c>
      <c r="S302" s="52" t="s">
        <v>210</v>
      </c>
    </row>
    <row r="303" spans="1:19" outlineLevel="2" x14ac:dyDescent="0.45">
      <c r="A303" t="s">
        <v>17</v>
      </c>
      <c r="B303" s="52" t="s">
        <v>57</v>
      </c>
      <c r="C303" s="52" t="s">
        <v>953</v>
      </c>
      <c r="D303" s="52" t="s">
        <v>954</v>
      </c>
      <c r="E303" s="52" t="s">
        <v>387</v>
      </c>
      <c r="F303" s="52" t="s">
        <v>955</v>
      </c>
      <c r="G303" s="52" t="s">
        <v>60</v>
      </c>
      <c r="H303" s="54">
        <v>46023</v>
      </c>
      <c r="I303" s="52" t="s">
        <v>74</v>
      </c>
      <c r="J303" s="52" t="s">
        <v>210</v>
      </c>
      <c r="K303" s="52" t="s">
        <v>986</v>
      </c>
      <c r="L303" s="52" t="s">
        <v>986</v>
      </c>
      <c r="M303" s="52" t="s">
        <v>29</v>
      </c>
      <c r="N303" s="53">
        <v>-15</v>
      </c>
      <c r="O303" s="53">
        <v>-15</v>
      </c>
      <c r="P303" s="52" t="s">
        <v>987</v>
      </c>
      <c r="Q303" s="52" t="s">
        <v>625</v>
      </c>
      <c r="R303" s="55" t="s">
        <v>64</v>
      </c>
      <c r="S303" s="52" t="s">
        <v>210</v>
      </c>
    </row>
    <row r="304" spans="1:19" outlineLevel="2" x14ac:dyDescent="0.45">
      <c r="A304" t="s">
        <v>17</v>
      </c>
      <c r="B304" s="52" t="s">
        <v>66</v>
      </c>
      <c r="C304" s="52"/>
      <c r="D304" s="52"/>
      <c r="E304" s="52" t="s">
        <v>367</v>
      </c>
      <c r="F304" s="52" t="s">
        <v>988</v>
      </c>
      <c r="G304" s="52" t="s">
        <v>369</v>
      </c>
      <c r="H304" s="54">
        <v>46023</v>
      </c>
      <c r="I304" s="52" t="s">
        <v>74</v>
      </c>
      <c r="J304" s="52" t="s">
        <v>989</v>
      </c>
      <c r="K304" s="52"/>
      <c r="L304" s="52"/>
      <c r="M304" s="52" t="s">
        <v>67</v>
      </c>
      <c r="N304" s="53">
        <v>0</v>
      </c>
      <c r="O304" s="53">
        <v>-2353.1999999999998</v>
      </c>
      <c r="P304" s="52" t="s">
        <v>370</v>
      </c>
      <c r="Q304" s="52" t="s">
        <v>370</v>
      </c>
      <c r="R304" s="55" t="s">
        <v>64</v>
      </c>
      <c r="S304" s="52" t="s">
        <v>989</v>
      </c>
    </row>
    <row r="305" spans="1:19" outlineLevel="2" x14ac:dyDescent="0.45">
      <c r="A305" t="s">
        <v>17</v>
      </c>
      <c r="B305" s="52" t="s">
        <v>57</v>
      </c>
      <c r="C305" s="52" t="s">
        <v>349</v>
      </c>
      <c r="D305" s="52" t="s">
        <v>350</v>
      </c>
      <c r="E305" s="52" t="s">
        <v>387</v>
      </c>
      <c r="F305" s="52" t="s">
        <v>990</v>
      </c>
      <c r="G305" s="52" t="s">
        <v>60</v>
      </c>
      <c r="H305" s="54">
        <v>46054</v>
      </c>
      <c r="I305" s="52" t="s">
        <v>231</v>
      </c>
      <c r="J305" s="52" t="s">
        <v>492</v>
      </c>
      <c r="K305" s="52" t="s">
        <v>991</v>
      </c>
      <c r="L305" s="52" t="s">
        <v>991</v>
      </c>
      <c r="M305" s="52" t="s">
        <v>29</v>
      </c>
      <c r="N305" s="53">
        <v>-3.5</v>
      </c>
      <c r="O305" s="53">
        <v>-3.5</v>
      </c>
      <c r="P305" s="52" t="s">
        <v>992</v>
      </c>
      <c r="Q305" s="52" t="s">
        <v>993</v>
      </c>
      <c r="R305" s="52" t="s">
        <v>64</v>
      </c>
      <c r="S305" s="52" t="s">
        <v>492</v>
      </c>
    </row>
    <row r="306" spans="1:19" outlineLevel="2" x14ac:dyDescent="0.45">
      <c r="A306" t="s">
        <v>17</v>
      </c>
      <c r="B306" s="52" t="s">
        <v>57</v>
      </c>
      <c r="C306" s="52" t="s">
        <v>349</v>
      </c>
      <c r="D306" s="52" t="s">
        <v>350</v>
      </c>
      <c r="E306" s="52" t="s">
        <v>387</v>
      </c>
      <c r="F306" s="52" t="s">
        <v>994</v>
      </c>
      <c r="G306" s="52" t="s">
        <v>60</v>
      </c>
      <c r="H306" s="54">
        <v>46054</v>
      </c>
      <c r="I306" s="52" t="s">
        <v>231</v>
      </c>
      <c r="J306" s="52" t="s">
        <v>492</v>
      </c>
      <c r="K306" s="52" t="s">
        <v>991</v>
      </c>
      <c r="L306" s="52" t="s">
        <v>991</v>
      </c>
      <c r="M306" s="52" t="s">
        <v>29</v>
      </c>
      <c r="N306" s="53">
        <v>-40</v>
      </c>
      <c r="O306" s="53">
        <v>-40</v>
      </c>
      <c r="P306" s="52" t="s">
        <v>992</v>
      </c>
      <c r="Q306" s="52" t="s">
        <v>993</v>
      </c>
      <c r="R306" s="52" t="s">
        <v>64</v>
      </c>
      <c r="S306" s="52" t="s">
        <v>492</v>
      </c>
    </row>
    <row r="307" spans="1:19" outlineLevel="2" x14ac:dyDescent="0.45">
      <c r="A307" t="s">
        <v>17</v>
      </c>
      <c r="B307" s="52" t="s">
        <v>57</v>
      </c>
      <c r="C307" s="52" t="s">
        <v>349</v>
      </c>
      <c r="D307" s="52" t="s">
        <v>350</v>
      </c>
      <c r="E307" s="52" t="s">
        <v>387</v>
      </c>
      <c r="F307" s="52" t="s">
        <v>995</v>
      </c>
      <c r="G307" s="52" t="s">
        <v>60</v>
      </c>
      <c r="H307" s="54">
        <v>46054</v>
      </c>
      <c r="I307" s="52" t="s">
        <v>231</v>
      </c>
      <c r="J307" s="52" t="s">
        <v>996</v>
      </c>
      <c r="K307" s="52" t="s">
        <v>997</v>
      </c>
      <c r="L307" s="52" t="s">
        <v>997</v>
      </c>
      <c r="M307" s="52" t="s">
        <v>29</v>
      </c>
      <c r="N307" s="53">
        <v>-50</v>
      </c>
      <c r="O307" s="53">
        <v>-50</v>
      </c>
      <c r="P307" s="52" t="s">
        <v>998</v>
      </c>
      <c r="Q307" s="52" t="s">
        <v>999</v>
      </c>
      <c r="R307" s="52" t="s">
        <v>64</v>
      </c>
      <c r="S307" s="52" t="s">
        <v>996</v>
      </c>
    </row>
    <row r="308" spans="1:19" outlineLevel="2" x14ac:dyDescent="0.45">
      <c r="A308" t="s">
        <v>17</v>
      </c>
      <c r="B308" s="52" t="s">
        <v>57</v>
      </c>
      <c r="C308" s="52" t="s">
        <v>349</v>
      </c>
      <c r="D308" s="52" t="s">
        <v>350</v>
      </c>
      <c r="E308" s="52" t="s">
        <v>387</v>
      </c>
      <c r="F308" s="52" t="s">
        <v>1000</v>
      </c>
      <c r="G308" s="52" t="s">
        <v>60</v>
      </c>
      <c r="H308" s="54">
        <v>46054</v>
      </c>
      <c r="I308" s="52" t="s">
        <v>231</v>
      </c>
      <c r="J308" s="52" t="s">
        <v>232</v>
      </c>
      <c r="K308" s="52" t="s">
        <v>1001</v>
      </c>
      <c r="L308" s="52" t="s">
        <v>1001</v>
      </c>
      <c r="M308" s="52" t="s">
        <v>29</v>
      </c>
      <c r="N308" s="53">
        <v>-40</v>
      </c>
      <c r="O308" s="53">
        <v>-40</v>
      </c>
      <c r="P308" s="52" t="s">
        <v>1002</v>
      </c>
      <c r="Q308" s="52" t="s">
        <v>1003</v>
      </c>
      <c r="R308" s="52" t="s">
        <v>64</v>
      </c>
      <c r="S308" s="52" t="s">
        <v>232</v>
      </c>
    </row>
    <row r="309" spans="1:19" outlineLevel="2" x14ac:dyDescent="0.45">
      <c r="A309" t="s">
        <v>17</v>
      </c>
      <c r="B309" s="52" t="s">
        <v>66</v>
      </c>
      <c r="C309" s="52" t="s">
        <v>349</v>
      </c>
      <c r="D309" s="52" t="s">
        <v>350</v>
      </c>
      <c r="E309" s="52" t="s">
        <v>387</v>
      </c>
      <c r="F309" s="52" t="s">
        <v>1004</v>
      </c>
      <c r="G309" s="52" t="s">
        <v>60</v>
      </c>
      <c r="H309" s="54">
        <v>46054</v>
      </c>
      <c r="I309" s="52" t="s">
        <v>231</v>
      </c>
      <c r="J309" s="52" t="s">
        <v>492</v>
      </c>
      <c r="K309" s="52" t="s">
        <v>1005</v>
      </c>
      <c r="L309" s="52" t="s">
        <v>1005</v>
      </c>
      <c r="M309" s="52" t="s">
        <v>67</v>
      </c>
      <c r="N309" s="53">
        <v>-1.3</v>
      </c>
      <c r="O309" s="53">
        <v>-4.37</v>
      </c>
      <c r="P309" s="52" t="s">
        <v>1006</v>
      </c>
      <c r="Q309" s="52" t="s">
        <v>1007</v>
      </c>
      <c r="R309" s="52" t="s">
        <v>64</v>
      </c>
      <c r="S309" s="52" t="s">
        <v>492</v>
      </c>
    </row>
    <row r="310" spans="1:19" outlineLevel="2" x14ac:dyDescent="0.45">
      <c r="A310" t="s">
        <v>17</v>
      </c>
      <c r="B310" s="52" t="s">
        <v>66</v>
      </c>
      <c r="C310" s="52" t="s">
        <v>349</v>
      </c>
      <c r="D310" s="52" t="s">
        <v>350</v>
      </c>
      <c r="E310" s="52" t="s">
        <v>387</v>
      </c>
      <c r="F310" s="52" t="s">
        <v>1008</v>
      </c>
      <c r="G310" s="52" t="s">
        <v>60</v>
      </c>
      <c r="H310" s="54">
        <v>46054</v>
      </c>
      <c r="I310" s="52" t="s">
        <v>231</v>
      </c>
      <c r="J310" s="52" t="s">
        <v>492</v>
      </c>
      <c r="K310" s="52" t="s">
        <v>1005</v>
      </c>
      <c r="L310" s="52" t="s">
        <v>1005</v>
      </c>
      <c r="M310" s="52" t="s">
        <v>67</v>
      </c>
      <c r="N310" s="53">
        <v>-14</v>
      </c>
      <c r="O310" s="53">
        <v>-47.04</v>
      </c>
      <c r="P310" s="52" t="s">
        <v>1006</v>
      </c>
      <c r="Q310" s="52" t="s">
        <v>1007</v>
      </c>
      <c r="R310" s="52" t="s">
        <v>64</v>
      </c>
      <c r="S310" s="52" t="s">
        <v>492</v>
      </c>
    </row>
    <row r="311" spans="1:19" outlineLevel="2" x14ac:dyDescent="0.45">
      <c r="A311" t="s">
        <v>17</v>
      </c>
      <c r="B311" s="52" t="s">
        <v>57</v>
      </c>
      <c r="C311" s="52" t="s">
        <v>349</v>
      </c>
      <c r="D311" s="52" t="s">
        <v>350</v>
      </c>
      <c r="E311" s="52" t="s">
        <v>387</v>
      </c>
      <c r="F311" s="52" t="s">
        <v>1009</v>
      </c>
      <c r="G311" s="52" t="s">
        <v>60</v>
      </c>
      <c r="H311" s="54">
        <v>46054</v>
      </c>
      <c r="I311" s="52" t="s">
        <v>231</v>
      </c>
      <c r="J311" s="52" t="s">
        <v>1010</v>
      </c>
      <c r="K311" s="52" t="s">
        <v>1011</v>
      </c>
      <c r="L311" s="52" t="s">
        <v>1011</v>
      </c>
      <c r="M311" s="52" t="s">
        <v>29</v>
      </c>
      <c r="N311" s="53">
        <v>-4.3</v>
      </c>
      <c r="O311" s="53">
        <v>-4.3</v>
      </c>
      <c r="P311" s="52" t="s">
        <v>1012</v>
      </c>
      <c r="Q311" s="52" t="s">
        <v>1013</v>
      </c>
      <c r="R311" s="52" t="s">
        <v>64</v>
      </c>
      <c r="S311" s="52" t="s">
        <v>1010</v>
      </c>
    </row>
    <row r="312" spans="1:19" outlineLevel="2" x14ac:dyDescent="0.45">
      <c r="A312" t="s">
        <v>17</v>
      </c>
      <c r="B312" s="52" t="s">
        <v>57</v>
      </c>
      <c r="C312" s="52" t="s">
        <v>349</v>
      </c>
      <c r="D312" s="52" t="s">
        <v>350</v>
      </c>
      <c r="E312" s="52" t="s">
        <v>387</v>
      </c>
      <c r="F312" s="52" t="s">
        <v>1014</v>
      </c>
      <c r="G312" s="52" t="s">
        <v>60</v>
      </c>
      <c r="H312" s="54">
        <v>46054</v>
      </c>
      <c r="I312" s="52" t="s">
        <v>231</v>
      </c>
      <c r="J312" s="52" t="s">
        <v>1010</v>
      </c>
      <c r="K312" s="52" t="s">
        <v>1011</v>
      </c>
      <c r="L312" s="52" t="s">
        <v>1011</v>
      </c>
      <c r="M312" s="52" t="s">
        <v>29</v>
      </c>
      <c r="N312" s="53">
        <v>-4.3</v>
      </c>
      <c r="O312" s="53">
        <v>-4.3</v>
      </c>
      <c r="P312" s="52" t="s">
        <v>1012</v>
      </c>
      <c r="Q312" s="52" t="s">
        <v>1015</v>
      </c>
      <c r="R312" s="52" t="s">
        <v>64</v>
      </c>
      <c r="S312" s="52" t="s">
        <v>1010</v>
      </c>
    </row>
    <row r="313" spans="1:19" outlineLevel="2" x14ac:dyDescent="0.45">
      <c r="A313" t="s">
        <v>17</v>
      </c>
      <c r="B313" s="52" t="s">
        <v>57</v>
      </c>
      <c r="C313" s="52" t="s">
        <v>349</v>
      </c>
      <c r="D313" s="52" t="s">
        <v>350</v>
      </c>
      <c r="E313" s="52" t="s">
        <v>387</v>
      </c>
      <c r="F313" s="52" t="s">
        <v>1016</v>
      </c>
      <c r="G313" s="52" t="s">
        <v>60</v>
      </c>
      <c r="H313" s="54">
        <v>46054</v>
      </c>
      <c r="I313" s="52" t="s">
        <v>231</v>
      </c>
      <c r="J313" s="52" t="s">
        <v>1010</v>
      </c>
      <c r="K313" s="52" t="s">
        <v>1011</v>
      </c>
      <c r="L313" s="52" t="s">
        <v>1011</v>
      </c>
      <c r="M313" s="52" t="s">
        <v>29</v>
      </c>
      <c r="N313" s="53">
        <v>-4.3</v>
      </c>
      <c r="O313" s="53">
        <v>-4.3</v>
      </c>
      <c r="P313" s="52" t="s">
        <v>1012</v>
      </c>
      <c r="Q313" s="52" t="s">
        <v>1015</v>
      </c>
      <c r="R313" s="52" t="s">
        <v>64</v>
      </c>
      <c r="S313" s="52" t="s">
        <v>1010</v>
      </c>
    </row>
    <row r="314" spans="1:19" outlineLevel="2" x14ac:dyDescent="0.45">
      <c r="A314" t="s">
        <v>17</v>
      </c>
      <c r="B314" s="52" t="s">
        <v>57</v>
      </c>
      <c r="C314" s="52" t="s">
        <v>349</v>
      </c>
      <c r="D314" s="52" t="s">
        <v>350</v>
      </c>
      <c r="E314" s="52" t="s">
        <v>387</v>
      </c>
      <c r="F314" s="52" t="s">
        <v>1017</v>
      </c>
      <c r="G314" s="52" t="s">
        <v>60</v>
      </c>
      <c r="H314" s="54">
        <v>46054</v>
      </c>
      <c r="I314" s="52" t="s">
        <v>231</v>
      </c>
      <c r="J314" s="52" t="s">
        <v>1018</v>
      </c>
      <c r="K314" s="52" t="s">
        <v>1019</v>
      </c>
      <c r="L314" s="52" t="s">
        <v>1019</v>
      </c>
      <c r="M314" s="52" t="s">
        <v>29</v>
      </c>
      <c r="N314" s="53">
        <v>-4.3</v>
      </c>
      <c r="O314" s="53">
        <v>-4.3</v>
      </c>
      <c r="P314" s="52" t="s">
        <v>1020</v>
      </c>
      <c r="Q314" s="52" t="s">
        <v>1021</v>
      </c>
      <c r="R314" s="52" t="s">
        <v>64</v>
      </c>
      <c r="S314" s="52" t="s">
        <v>1018</v>
      </c>
    </row>
    <row r="315" spans="1:19" outlineLevel="2" x14ac:dyDescent="0.45">
      <c r="A315" t="s">
        <v>17</v>
      </c>
      <c r="B315" s="52" t="s">
        <v>57</v>
      </c>
      <c r="C315" s="52" t="s">
        <v>349</v>
      </c>
      <c r="D315" s="52" t="s">
        <v>350</v>
      </c>
      <c r="E315" s="52" t="s">
        <v>387</v>
      </c>
      <c r="F315" s="52" t="s">
        <v>1022</v>
      </c>
      <c r="G315" s="52" t="s">
        <v>60</v>
      </c>
      <c r="H315" s="54">
        <v>46054</v>
      </c>
      <c r="I315" s="52" t="s">
        <v>231</v>
      </c>
      <c r="J315" s="52" t="s">
        <v>451</v>
      </c>
      <c r="K315" s="52" t="s">
        <v>1023</v>
      </c>
      <c r="L315" s="52" t="s">
        <v>1023</v>
      </c>
      <c r="M315" s="52" t="s">
        <v>29</v>
      </c>
      <c r="N315" s="53">
        <v>-4.3</v>
      </c>
      <c r="O315" s="53">
        <v>-4.3</v>
      </c>
      <c r="P315" s="52" t="s">
        <v>1024</v>
      </c>
      <c r="Q315" s="52" t="s">
        <v>1025</v>
      </c>
      <c r="R315" s="52" t="s">
        <v>64</v>
      </c>
      <c r="S315" s="52" t="s">
        <v>451</v>
      </c>
    </row>
    <row r="316" spans="1:19" outlineLevel="2" x14ac:dyDescent="0.45">
      <c r="A316" t="s">
        <v>17</v>
      </c>
      <c r="B316" s="52" t="s">
        <v>57</v>
      </c>
      <c r="C316" s="52" t="s">
        <v>349</v>
      </c>
      <c r="D316" s="52" t="s">
        <v>350</v>
      </c>
      <c r="E316" s="52" t="s">
        <v>387</v>
      </c>
      <c r="F316" s="52" t="s">
        <v>1026</v>
      </c>
      <c r="G316" s="52" t="s">
        <v>60</v>
      </c>
      <c r="H316" s="54">
        <v>46054</v>
      </c>
      <c r="I316" s="52" t="s">
        <v>231</v>
      </c>
      <c r="J316" s="52" t="s">
        <v>451</v>
      </c>
      <c r="K316" s="52" t="s">
        <v>1023</v>
      </c>
      <c r="L316" s="52" t="s">
        <v>1023</v>
      </c>
      <c r="M316" s="52" t="s">
        <v>29</v>
      </c>
      <c r="N316" s="53">
        <v>-4.3</v>
      </c>
      <c r="O316" s="53">
        <v>-4.3</v>
      </c>
      <c r="P316" s="52" t="s">
        <v>1024</v>
      </c>
      <c r="Q316" s="52" t="s">
        <v>1025</v>
      </c>
      <c r="R316" s="52" t="s">
        <v>64</v>
      </c>
      <c r="S316" s="52" t="s">
        <v>451</v>
      </c>
    </row>
    <row r="317" spans="1:19" outlineLevel="2" x14ac:dyDescent="0.45">
      <c r="A317" t="s">
        <v>17</v>
      </c>
      <c r="B317" s="52" t="s">
        <v>57</v>
      </c>
      <c r="C317" s="52" t="s">
        <v>349</v>
      </c>
      <c r="D317" s="52" t="s">
        <v>350</v>
      </c>
      <c r="E317" s="52" t="s">
        <v>387</v>
      </c>
      <c r="F317" s="52" t="s">
        <v>1027</v>
      </c>
      <c r="G317" s="52" t="s">
        <v>60</v>
      </c>
      <c r="H317" s="54">
        <v>46054</v>
      </c>
      <c r="I317" s="52" t="s">
        <v>231</v>
      </c>
      <c r="J317" s="52" t="s">
        <v>1028</v>
      </c>
      <c r="K317" s="52" t="s">
        <v>1023</v>
      </c>
      <c r="L317" s="52" t="s">
        <v>1023</v>
      </c>
      <c r="M317" s="52" t="s">
        <v>29</v>
      </c>
      <c r="N317" s="53">
        <v>-22</v>
      </c>
      <c r="O317" s="53">
        <v>-22</v>
      </c>
      <c r="P317" s="52" t="s">
        <v>1024</v>
      </c>
      <c r="Q317" s="52" t="s">
        <v>1029</v>
      </c>
      <c r="R317" s="52" t="s">
        <v>64</v>
      </c>
      <c r="S317" s="52" t="s">
        <v>1028</v>
      </c>
    </row>
    <row r="318" spans="1:19" outlineLevel="2" x14ac:dyDescent="0.45">
      <c r="A318" t="s">
        <v>17</v>
      </c>
      <c r="B318" s="52" t="s">
        <v>57</v>
      </c>
      <c r="C318" s="52" t="s">
        <v>349</v>
      </c>
      <c r="D318" s="52" t="s">
        <v>350</v>
      </c>
      <c r="E318" s="52" t="s">
        <v>387</v>
      </c>
      <c r="F318" s="52" t="s">
        <v>1030</v>
      </c>
      <c r="G318" s="52" t="s">
        <v>60</v>
      </c>
      <c r="H318" s="54">
        <v>46054</v>
      </c>
      <c r="I318" s="52" t="s">
        <v>231</v>
      </c>
      <c r="J318" s="52" t="s">
        <v>996</v>
      </c>
      <c r="K318" s="52" t="s">
        <v>1031</v>
      </c>
      <c r="L318" s="52" t="s">
        <v>1031</v>
      </c>
      <c r="M318" s="52" t="s">
        <v>29</v>
      </c>
      <c r="N318" s="53">
        <v>-4.3</v>
      </c>
      <c r="O318" s="53">
        <v>-4.3</v>
      </c>
      <c r="P318" s="52" t="s">
        <v>1032</v>
      </c>
      <c r="Q318" s="52" t="s">
        <v>999</v>
      </c>
      <c r="R318" s="52" t="s">
        <v>64</v>
      </c>
      <c r="S318" s="52" t="s">
        <v>996</v>
      </c>
    </row>
    <row r="319" spans="1:19" outlineLevel="2" x14ac:dyDescent="0.45">
      <c r="A319" t="s">
        <v>17</v>
      </c>
      <c r="B319" s="52" t="s">
        <v>66</v>
      </c>
      <c r="C319" s="52" t="s">
        <v>349</v>
      </c>
      <c r="D319" s="52" t="s">
        <v>350</v>
      </c>
      <c r="E319" s="52" t="s">
        <v>387</v>
      </c>
      <c r="F319" s="52" t="s">
        <v>1033</v>
      </c>
      <c r="G319" s="52" t="s">
        <v>60</v>
      </c>
      <c r="H319" s="54">
        <v>46054</v>
      </c>
      <c r="I319" s="52" t="s">
        <v>231</v>
      </c>
      <c r="J319" s="52" t="s">
        <v>357</v>
      </c>
      <c r="K319" s="52" t="s">
        <v>1034</v>
      </c>
      <c r="L319" s="52" t="s">
        <v>1034</v>
      </c>
      <c r="M319" s="52" t="s">
        <v>67</v>
      </c>
      <c r="N319" s="53">
        <v>-1.53</v>
      </c>
      <c r="O319" s="53">
        <v>-5.15</v>
      </c>
      <c r="P319" s="52" t="s">
        <v>1035</v>
      </c>
      <c r="Q319" s="52" t="s">
        <v>1007</v>
      </c>
      <c r="R319" s="52" t="s">
        <v>64</v>
      </c>
      <c r="S319" s="52" t="s">
        <v>357</v>
      </c>
    </row>
    <row r="320" spans="1:19" outlineLevel="2" x14ac:dyDescent="0.45">
      <c r="A320" t="s">
        <v>17</v>
      </c>
      <c r="B320" s="52" t="s">
        <v>66</v>
      </c>
      <c r="C320" s="52" t="s">
        <v>349</v>
      </c>
      <c r="D320" s="52" t="s">
        <v>350</v>
      </c>
      <c r="E320" s="52" t="s">
        <v>387</v>
      </c>
      <c r="F320" s="52" t="s">
        <v>1036</v>
      </c>
      <c r="G320" s="52" t="s">
        <v>60</v>
      </c>
      <c r="H320" s="54">
        <v>46054</v>
      </c>
      <c r="I320" s="52" t="s">
        <v>231</v>
      </c>
      <c r="J320" s="52" t="s">
        <v>451</v>
      </c>
      <c r="K320" s="52" t="s">
        <v>1037</v>
      </c>
      <c r="L320" s="52" t="s">
        <v>1037</v>
      </c>
      <c r="M320" s="52" t="s">
        <v>67</v>
      </c>
      <c r="N320" s="53">
        <v>-1.53</v>
      </c>
      <c r="O320" s="53">
        <v>-5.15</v>
      </c>
      <c r="P320" s="52" t="s">
        <v>1038</v>
      </c>
      <c r="Q320" s="52" t="s">
        <v>1007</v>
      </c>
      <c r="R320" s="52" t="s">
        <v>64</v>
      </c>
      <c r="S320" s="52" t="s">
        <v>451</v>
      </c>
    </row>
    <row r="321" spans="1:52" outlineLevel="2" x14ac:dyDescent="0.45">
      <c r="A321" t="s">
        <v>17</v>
      </c>
      <c r="B321" s="52" t="s">
        <v>57</v>
      </c>
      <c r="C321" s="52" t="s">
        <v>349</v>
      </c>
      <c r="D321" s="52" t="s">
        <v>350</v>
      </c>
      <c r="E321" s="52" t="s">
        <v>387</v>
      </c>
      <c r="F321" s="52" t="s">
        <v>1039</v>
      </c>
      <c r="G321" s="52" t="s">
        <v>60</v>
      </c>
      <c r="H321" s="54">
        <v>46054</v>
      </c>
      <c r="I321" s="52" t="s">
        <v>231</v>
      </c>
      <c r="J321" s="52" t="s">
        <v>312</v>
      </c>
      <c r="K321" s="52" t="s">
        <v>1040</v>
      </c>
      <c r="L321" s="52" t="s">
        <v>1040</v>
      </c>
      <c r="M321" s="52" t="s">
        <v>29</v>
      </c>
      <c r="N321" s="53">
        <v>-4.3</v>
      </c>
      <c r="O321" s="53">
        <v>-4.3</v>
      </c>
      <c r="P321" s="52" t="s">
        <v>1041</v>
      </c>
      <c r="Q321" s="52" t="s">
        <v>1042</v>
      </c>
      <c r="R321" s="52" t="s">
        <v>64</v>
      </c>
      <c r="S321" s="52" t="s">
        <v>312</v>
      </c>
    </row>
    <row r="322" spans="1:52" s="59" customFormat="1" outlineLevel="2" x14ac:dyDescent="0.45">
      <c r="A322" t="s">
        <v>17</v>
      </c>
      <c r="B322" s="52" t="s">
        <v>57</v>
      </c>
      <c r="C322" s="52" t="s">
        <v>349</v>
      </c>
      <c r="D322" s="52" t="s">
        <v>350</v>
      </c>
      <c r="E322" s="52" t="s">
        <v>387</v>
      </c>
      <c r="F322" s="52" t="s">
        <v>1043</v>
      </c>
      <c r="G322" s="52" t="s">
        <v>60</v>
      </c>
      <c r="H322" s="54">
        <v>46054</v>
      </c>
      <c r="I322" s="52" t="s">
        <v>231</v>
      </c>
      <c r="J322" s="52" t="s">
        <v>312</v>
      </c>
      <c r="K322" s="52" t="s">
        <v>1040</v>
      </c>
      <c r="L322" s="52" t="s">
        <v>1040</v>
      </c>
      <c r="M322" s="52" t="s">
        <v>29</v>
      </c>
      <c r="N322" s="53">
        <v>-4.3</v>
      </c>
      <c r="O322" s="53">
        <v>-4.3</v>
      </c>
      <c r="P322" s="52" t="s">
        <v>1041</v>
      </c>
      <c r="Q322" s="52" t="s">
        <v>1042</v>
      </c>
      <c r="R322" s="52" t="s">
        <v>64</v>
      </c>
      <c r="S322" s="52" t="s">
        <v>312</v>
      </c>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row>
    <row r="323" spans="1:52" s="59" customFormat="1" outlineLevel="2" x14ac:dyDescent="0.45">
      <c r="A323" t="s">
        <v>17</v>
      </c>
      <c r="B323" s="52" t="s">
        <v>57</v>
      </c>
      <c r="C323" s="52" t="s">
        <v>349</v>
      </c>
      <c r="D323" s="52" t="s">
        <v>350</v>
      </c>
      <c r="E323" s="52" t="s">
        <v>387</v>
      </c>
      <c r="F323" s="52" t="s">
        <v>1044</v>
      </c>
      <c r="G323" s="52" t="s">
        <v>60</v>
      </c>
      <c r="H323" s="54">
        <v>46054</v>
      </c>
      <c r="I323" s="52" t="s">
        <v>231</v>
      </c>
      <c r="J323" s="52" t="s">
        <v>246</v>
      </c>
      <c r="K323" s="52" t="s">
        <v>1045</v>
      </c>
      <c r="L323" s="52" t="s">
        <v>1045</v>
      </c>
      <c r="M323" s="52" t="s">
        <v>29</v>
      </c>
      <c r="N323" s="53">
        <v>-4.3</v>
      </c>
      <c r="O323" s="53">
        <v>-4.3</v>
      </c>
      <c r="P323" s="52" t="s">
        <v>1046</v>
      </c>
      <c r="Q323" s="52" t="s">
        <v>1047</v>
      </c>
      <c r="R323" s="52" t="s">
        <v>64</v>
      </c>
      <c r="S323" s="52" t="s">
        <v>246</v>
      </c>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row>
    <row r="324" spans="1:52" outlineLevel="2" x14ac:dyDescent="0.45">
      <c r="A324" t="s">
        <v>17</v>
      </c>
      <c r="B324" s="52" t="s">
        <v>57</v>
      </c>
      <c r="C324" s="52" t="s">
        <v>349</v>
      </c>
      <c r="D324" s="52" t="s">
        <v>350</v>
      </c>
      <c r="E324" s="52" t="s">
        <v>387</v>
      </c>
      <c r="F324" s="52" t="s">
        <v>1048</v>
      </c>
      <c r="G324" s="52" t="s">
        <v>60</v>
      </c>
      <c r="H324" s="54">
        <v>46054</v>
      </c>
      <c r="I324" s="52" t="s">
        <v>231</v>
      </c>
      <c r="J324" s="52" t="s">
        <v>246</v>
      </c>
      <c r="K324" s="52" t="s">
        <v>1045</v>
      </c>
      <c r="L324" s="52" t="s">
        <v>1045</v>
      </c>
      <c r="M324" s="52" t="s">
        <v>29</v>
      </c>
      <c r="N324" s="53">
        <v>-5.8</v>
      </c>
      <c r="O324" s="53">
        <v>-5.8</v>
      </c>
      <c r="P324" s="52" t="s">
        <v>1046</v>
      </c>
      <c r="Q324" s="52" t="s">
        <v>1047</v>
      </c>
      <c r="R324" s="52" t="s">
        <v>64</v>
      </c>
      <c r="S324" s="52" t="s">
        <v>246</v>
      </c>
    </row>
    <row r="325" spans="1:52" outlineLevel="2" x14ac:dyDescent="0.45">
      <c r="A325" t="s">
        <v>17</v>
      </c>
      <c r="B325" s="52" t="s">
        <v>57</v>
      </c>
      <c r="C325" s="52" t="s">
        <v>349</v>
      </c>
      <c r="D325" s="52" t="s">
        <v>350</v>
      </c>
      <c r="E325" s="52" t="s">
        <v>387</v>
      </c>
      <c r="F325" s="52" t="s">
        <v>1049</v>
      </c>
      <c r="G325" s="52" t="s">
        <v>60</v>
      </c>
      <c r="H325" s="54">
        <v>46054</v>
      </c>
      <c r="I325" s="52" t="s">
        <v>231</v>
      </c>
      <c r="J325" s="52" t="s">
        <v>241</v>
      </c>
      <c r="K325" s="52" t="s">
        <v>1050</v>
      </c>
      <c r="L325" s="52" t="s">
        <v>1050</v>
      </c>
      <c r="M325" s="52" t="s">
        <v>29</v>
      </c>
      <c r="N325" s="53">
        <v>-1</v>
      </c>
      <c r="O325" s="53">
        <v>-1</v>
      </c>
      <c r="P325" s="52" t="s">
        <v>1051</v>
      </c>
      <c r="Q325" s="52" t="s">
        <v>1052</v>
      </c>
      <c r="R325" s="52" t="s">
        <v>64</v>
      </c>
      <c r="S325" s="52" t="s">
        <v>241</v>
      </c>
    </row>
    <row r="326" spans="1:52" outlineLevel="2" x14ac:dyDescent="0.45">
      <c r="A326" t="s">
        <v>17</v>
      </c>
      <c r="B326" s="52" t="s">
        <v>57</v>
      </c>
      <c r="C326" s="52" t="s">
        <v>349</v>
      </c>
      <c r="D326" s="52" t="s">
        <v>350</v>
      </c>
      <c r="E326" s="52" t="s">
        <v>387</v>
      </c>
      <c r="F326" s="52" t="s">
        <v>1053</v>
      </c>
      <c r="G326" s="52" t="s">
        <v>60</v>
      </c>
      <c r="H326" s="54">
        <v>46054</v>
      </c>
      <c r="I326" s="52" t="s">
        <v>231</v>
      </c>
      <c r="J326" s="52" t="s">
        <v>241</v>
      </c>
      <c r="K326" s="52" t="s">
        <v>1050</v>
      </c>
      <c r="L326" s="52" t="s">
        <v>1050</v>
      </c>
      <c r="M326" s="52" t="s">
        <v>29</v>
      </c>
      <c r="N326" s="53">
        <v>-1</v>
      </c>
      <c r="O326" s="53">
        <v>-1</v>
      </c>
      <c r="P326" s="52" t="s">
        <v>1051</v>
      </c>
      <c r="Q326" s="52" t="s">
        <v>1052</v>
      </c>
      <c r="R326" s="52" t="s">
        <v>64</v>
      </c>
      <c r="S326" s="52" t="s">
        <v>241</v>
      </c>
    </row>
    <row r="327" spans="1:52" outlineLevel="2" x14ac:dyDescent="0.45">
      <c r="A327" t="s">
        <v>17</v>
      </c>
      <c r="B327" s="52" t="s">
        <v>57</v>
      </c>
      <c r="C327" s="52" t="s">
        <v>349</v>
      </c>
      <c r="D327" s="52" t="s">
        <v>350</v>
      </c>
      <c r="E327" s="52" t="s">
        <v>387</v>
      </c>
      <c r="F327" s="52" t="s">
        <v>1054</v>
      </c>
      <c r="G327" s="52" t="s">
        <v>60</v>
      </c>
      <c r="H327" s="54">
        <v>46054</v>
      </c>
      <c r="I327" s="52" t="s">
        <v>231</v>
      </c>
      <c r="J327" s="52" t="s">
        <v>241</v>
      </c>
      <c r="K327" s="52" t="s">
        <v>1050</v>
      </c>
      <c r="L327" s="52" t="s">
        <v>1050</v>
      </c>
      <c r="M327" s="52" t="s">
        <v>29</v>
      </c>
      <c r="N327" s="53">
        <v>-4.3</v>
      </c>
      <c r="O327" s="53">
        <v>-4.3</v>
      </c>
      <c r="P327" s="52" t="s">
        <v>1051</v>
      </c>
      <c r="Q327" s="52" t="s">
        <v>1052</v>
      </c>
      <c r="R327" s="52" t="s">
        <v>64</v>
      </c>
      <c r="S327" s="52" t="s">
        <v>241</v>
      </c>
    </row>
    <row r="328" spans="1:52" outlineLevel="2" x14ac:dyDescent="0.45">
      <c r="A328" t="s">
        <v>17</v>
      </c>
      <c r="B328" s="52" t="s">
        <v>57</v>
      </c>
      <c r="C328" s="52" t="s">
        <v>349</v>
      </c>
      <c r="D328" s="52" t="s">
        <v>350</v>
      </c>
      <c r="E328" s="52" t="s">
        <v>387</v>
      </c>
      <c r="F328" s="52" t="s">
        <v>1055</v>
      </c>
      <c r="G328" s="52" t="s">
        <v>60</v>
      </c>
      <c r="H328" s="54">
        <v>46054</v>
      </c>
      <c r="I328" s="52" t="s">
        <v>231</v>
      </c>
      <c r="J328" s="52" t="s">
        <v>241</v>
      </c>
      <c r="K328" s="52" t="s">
        <v>1050</v>
      </c>
      <c r="L328" s="52" t="s">
        <v>1050</v>
      </c>
      <c r="M328" s="52" t="s">
        <v>29</v>
      </c>
      <c r="N328" s="53">
        <v>-8</v>
      </c>
      <c r="O328" s="53">
        <v>-8</v>
      </c>
      <c r="P328" s="52" t="s">
        <v>1051</v>
      </c>
      <c r="Q328" s="52" t="s">
        <v>1052</v>
      </c>
      <c r="R328" s="52" t="s">
        <v>64</v>
      </c>
      <c r="S328" s="52" t="s">
        <v>241</v>
      </c>
    </row>
    <row r="329" spans="1:52" outlineLevel="2" x14ac:dyDescent="0.45">
      <c r="A329" t="s">
        <v>17</v>
      </c>
      <c r="B329" s="52" t="s">
        <v>57</v>
      </c>
      <c r="C329" s="52" t="s">
        <v>349</v>
      </c>
      <c r="D329" s="52" t="s">
        <v>350</v>
      </c>
      <c r="E329" s="52" t="s">
        <v>387</v>
      </c>
      <c r="F329" s="52" t="s">
        <v>1056</v>
      </c>
      <c r="G329" s="52" t="s">
        <v>60</v>
      </c>
      <c r="H329" s="54">
        <v>46054</v>
      </c>
      <c r="I329" s="52" t="s">
        <v>231</v>
      </c>
      <c r="J329" s="52" t="s">
        <v>1057</v>
      </c>
      <c r="K329" s="52" t="s">
        <v>1058</v>
      </c>
      <c r="L329" s="52" t="s">
        <v>1058</v>
      </c>
      <c r="M329" s="52" t="s">
        <v>29</v>
      </c>
      <c r="N329" s="53">
        <v>-3.5</v>
      </c>
      <c r="O329" s="53">
        <v>-3.5</v>
      </c>
      <c r="P329" s="52" t="s">
        <v>1059</v>
      </c>
      <c r="Q329" s="52" t="s">
        <v>1060</v>
      </c>
      <c r="R329" s="52" t="s">
        <v>64</v>
      </c>
      <c r="S329" s="52" t="s">
        <v>1057</v>
      </c>
    </row>
    <row r="330" spans="1:52" outlineLevel="2" x14ac:dyDescent="0.45">
      <c r="A330" t="s">
        <v>17</v>
      </c>
      <c r="B330" s="52" t="s">
        <v>57</v>
      </c>
      <c r="C330" s="52" t="s">
        <v>349</v>
      </c>
      <c r="D330" s="52" t="s">
        <v>350</v>
      </c>
      <c r="E330" s="52" t="s">
        <v>387</v>
      </c>
      <c r="F330" s="52" t="s">
        <v>1061</v>
      </c>
      <c r="G330" s="52" t="s">
        <v>60</v>
      </c>
      <c r="H330" s="54">
        <v>46054</v>
      </c>
      <c r="I330" s="52" t="s">
        <v>231</v>
      </c>
      <c r="J330" s="52" t="s">
        <v>1057</v>
      </c>
      <c r="K330" s="52" t="s">
        <v>1058</v>
      </c>
      <c r="L330" s="52" t="s">
        <v>1058</v>
      </c>
      <c r="M330" s="52" t="s">
        <v>29</v>
      </c>
      <c r="N330" s="53">
        <v>-3.5</v>
      </c>
      <c r="O330" s="53">
        <v>-3.5</v>
      </c>
      <c r="P330" s="52" t="s">
        <v>1059</v>
      </c>
      <c r="Q330" s="52" t="s">
        <v>1060</v>
      </c>
      <c r="R330" s="52" t="s">
        <v>64</v>
      </c>
      <c r="S330" s="52" t="s">
        <v>1057</v>
      </c>
    </row>
    <row r="331" spans="1:52" outlineLevel="2" x14ac:dyDescent="0.45">
      <c r="A331" t="s">
        <v>17</v>
      </c>
      <c r="B331" s="52" t="s">
        <v>57</v>
      </c>
      <c r="C331" s="52" t="s">
        <v>349</v>
      </c>
      <c r="D331" s="52" t="s">
        <v>350</v>
      </c>
      <c r="E331" s="52" t="s">
        <v>387</v>
      </c>
      <c r="F331" s="52" t="s">
        <v>1062</v>
      </c>
      <c r="G331" s="52" t="s">
        <v>60</v>
      </c>
      <c r="H331" s="54">
        <v>46054</v>
      </c>
      <c r="I331" s="52" t="s">
        <v>231</v>
      </c>
      <c r="J331" s="52" t="s">
        <v>1057</v>
      </c>
      <c r="K331" s="52" t="s">
        <v>1058</v>
      </c>
      <c r="L331" s="52" t="s">
        <v>1058</v>
      </c>
      <c r="M331" s="52" t="s">
        <v>29</v>
      </c>
      <c r="N331" s="53">
        <v>-3.5</v>
      </c>
      <c r="O331" s="53">
        <v>-3.5</v>
      </c>
      <c r="P331" s="52" t="s">
        <v>1059</v>
      </c>
      <c r="Q331" s="52" t="s">
        <v>1060</v>
      </c>
      <c r="R331" s="52" t="s">
        <v>64</v>
      </c>
      <c r="S331" s="52" t="s">
        <v>1057</v>
      </c>
    </row>
    <row r="332" spans="1:52" outlineLevel="2" x14ac:dyDescent="0.45">
      <c r="A332" t="s">
        <v>17</v>
      </c>
      <c r="B332" s="52" t="s">
        <v>57</v>
      </c>
      <c r="C332" s="52" t="s">
        <v>349</v>
      </c>
      <c r="D332" s="52" t="s">
        <v>350</v>
      </c>
      <c r="E332" s="52" t="s">
        <v>387</v>
      </c>
      <c r="F332" s="52" t="s">
        <v>1063</v>
      </c>
      <c r="G332" s="52" t="s">
        <v>60</v>
      </c>
      <c r="H332" s="54">
        <v>46054</v>
      </c>
      <c r="I332" s="52" t="s">
        <v>231</v>
      </c>
      <c r="J332" s="52" t="s">
        <v>1057</v>
      </c>
      <c r="K332" s="52" t="s">
        <v>1058</v>
      </c>
      <c r="L332" s="52" t="s">
        <v>1058</v>
      </c>
      <c r="M332" s="52" t="s">
        <v>29</v>
      </c>
      <c r="N332" s="53">
        <v>-3.5</v>
      </c>
      <c r="O332" s="53">
        <v>-3.5</v>
      </c>
      <c r="P332" s="52" t="s">
        <v>1059</v>
      </c>
      <c r="Q332" s="52" t="s">
        <v>1060</v>
      </c>
      <c r="R332" s="52" t="s">
        <v>64</v>
      </c>
      <c r="S332" s="52" t="s">
        <v>1057</v>
      </c>
    </row>
    <row r="333" spans="1:52" outlineLevel="2" x14ac:dyDescent="0.45">
      <c r="A333" t="s">
        <v>17</v>
      </c>
      <c r="B333" s="52" t="s">
        <v>57</v>
      </c>
      <c r="C333" s="52" t="s">
        <v>349</v>
      </c>
      <c r="D333" s="52" t="s">
        <v>350</v>
      </c>
      <c r="E333" s="52" t="s">
        <v>387</v>
      </c>
      <c r="F333" s="52" t="s">
        <v>1064</v>
      </c>
      <c r="G333" s="52" t="s">
        <v>60</v>
      </c>
      <c r="H333" s="54">
        <v>46054</v>
      </c>
      <c r="I333" s="52" t="s">
        <v>231</v>
      </c>
      <c r="J333" s="52" t="s">
        <v>1057</v>
      </c>
      <c r="K333" s="52" t="s">
        <v>1058</v>
      </c>
      <c r="L333" s="52" t="s">
        <v>1058</v>
      </c>
      <c r="M333" s="52" t="s">
        <v>29</v>
      </c>
      <c r="N333" s="53">
        <v>-3.5</v>
      </c>
      <c r="O333" s="53">
        <v>-3.5</v>
      </c>
      <c r="P333" s="52" t="s">
        <v>1059</v>
      </c>
      <c r="Q333" s="52" t="s">
        <v>1060</v>
      </c>
      <c r="R333" s="52" t="s">
        <v>64</v>
      </c>
      <c r="S333" s="52" t="s">
        <v>1057</v>
      </c>
    </row>
    <row r="334" spans="1:52" outlineLevel="2" x14ac:dyDescent="0.45">
      <c r="A334" t="s">
        <v>17</v>
      </c>
      <c r="B334" s="52" t="s">
        <v>57</v>
      </c>
      <c r="C334" s="52" t="s">
        <v>349</v>
      </c>
      <c r="D334" s="52" t="s">
        <v>350</v>
      </c>
      <c r="E334" s="52" t="s">
        <v>387</v>
      </c>
      <c r="F334" s="52" t="s">
        <v>1065</v>
      </c>
      <c r="G334" s="52" t="s">
        <v>60</v>
      </c>
      <c r="H334" s="54">
        <v>46054</v>
      </c>
      <c r="I334" s="52" t="s">
        <v>231</v>
      </c>
      <c r="J334" s="52" t="s">
        <v>1057</v>
      </c>
      <c r="K334" s="52" t="s">
        <v>1058</v>
      </c>
      <c r="L334" s="52" t="s">
        <v>1058</v>
      </c>
      <c r="M334" s="52" t="s">
        <v>29</v>
      </c>
      <c r="N334" s="53">
        <v>-3.5</v>
      </c>
      <c r="O334" s="53">
        <v>-3.5</v>
      </c>
      <c r="P334" s="52" t="s">
        <v>1059</v>
      </c>
      <c r="Q334" s="52" t="s">
        <v>1060</v>
      </c>
      <c r="R334" s="52" t="s">
        <v>64</v>
      </c>
      <c r="S334" s="52" t="s">
        <v>1057</v>
      </c>
    </row>
    <row r="335" spans="1:52" outlineLevel="2" x14ac:dyDescent="0.45">
      <c r="A335" t="s">
        <v>17</v>
      </c>
      <c r="B335" s="52" t="s">
        <v>57</v>
      </c>
      <c r="C335" s="52" t="s">
        <v>349</v>
      </c>
      <c r="D335" s="52" t="s">
        <v>350</v>
      </c>
      <c r="E335" s="52" t="s">
        <v>387</v>
      </c>
      <c r="F335" s="52" t="s">
        <v>1066</v>
      </c>
      <c r="G335" s="52" t="s">
        <v>60</v>
      </c>
      <c r="H335" s="54">
        <v>46054</v>
      </c>
      <c r="I335" s="52" t="s">
        <v>231</v>
      </c>
      <c r="J335" s="52" t="s">
        <v>1057</v>
      </c>
      <c r="K335" s="52" t="s">
        <v>1058</v>
      </c>
      <c r="L335" s="52" t="s">
        <v>1058</v>
      </c>
      <c r="M335" s="52" t="s">
        <v>29</v>
      </c>
      <c r="N335" s="53">
        <v>-3.5</v>
      </c>
      <c r="O335" s="53">
        <v>-3.5</v>
      </c>
      <c r="P335" s="52" t="s">
        <v>1059</v>
      </c>
      <c r="Q335" s="52" t="s">
        <v>1015</v>
      </c>
      <c r="R335" s="52" t="s">
        <v>64</v>
      </c>
      <c r="S335" s="52" t="s">
        <v>1057</v>
      </c>
    </row>
    <row r="336" spans="1:52" outlineLevel="2" x14ac:dyDescent="0.45">
      <c r="A336" t="s">
        <v>17</v>
      </c>
      <c r="B336" s="52" t="s">
        <v>57</v>
      </c>
      <c r="C336" s="52" t="s">
        <v>349</v>
      </c>
      <c r="D336" s="52" t="s">
        <v>350</v>
      </c>
      <c r="E336" s="52" t="s">
        <v>387</v>
      </c>
      <c r="F336" s="52" t="s">
        <v>1067</v>
      </c>
      <c r="G336" s="52" t="s">
        <v>60</v>
      </c>
      <c r="H336" s="54">
        <v>46054</v>
      </c>
      <c r="I336" s="52" t="s">
        <v>231</v>
      </c>
      <c r="J336" s="52" t="s">
        <v>1057</v>
      </c>
      <c r="K336" s="52" t="s">
        <v>1058</v>
      </c>
      <c r="L336" s="52" t="s">
        <v>1058</v>
      </c>
      <c r="M336" s="52" t="s">
        <v>29</v>
      </c>
      <c r="N336" s="53">
        <v>-3.5</v>
      </c>
      <c r="O336" s="53">
        <v>-3.5</v>
      </c>
      <c r="P336" s="52" t="s">
        <v>1059</v>
      </c>
      <c r="Q336" s="52" t="s">
        <v>1060</v>
      </c>
      <c r="R336" s="52" t="s">
        <v>64</v>
      </c>
      <c r="S336" s="52" t="s">
        <v>1057</v>
      </c>
    </row>
    <row r="337" spans="1:19" outlineLevel="2" x14ac:dyDescent="0.45">
      <c r="A337" t="s">
        <v>17</v>
      </c>
      <c r="B337" s="52" t="s">
        <v>66</v>
      </c>
      <c r="C337" s="52" t="s">
        <v>349</v>
      </c>
      <c r="D337" s="52" t="s">
        <v>350</v>
      </c>
      <c r="E337" s="52" t="s">
        <v>387</v>
      </c>
      <c r="F337" s="52" t="s">
        <v>1068</v>
      </c>
      <c r="G337" s="52" t="s">
        <v>60</v>
      </c>
      <c r="H337" s="54">
        <v>46054</v>
      </c>
      <c r="I337" s="52" t="s">
        <v>231</v>
      </c>
      <c r="J337" s="52" t="s">
        <v>492</v>
      </c>
      <c r="K337" s="52" t="s">
        <v>1069</v>
      </c>
      <c r="L337" s="52" t="s">
        <v>1069</v>
      </c>
      <c r="M337" s="52" t="s">
        <v>67</v>
      </c>
      <c r="N337" s="53">
        <v>-3.05</v>
      </c>
      <c r="O337" s="53">
        <v>-10.25</v>
      </c>
      <c r="P337" s="52" t="s">
        <v>1070</v>
      </c>
      <c r="Q337" s="52" t="s">
        <v>1071</v>
      </c>
      <c r="R337" s="52" t="s">
        <v>64</v>
      </c>
      <c r="S337" s="52" t="s">
        <v>492</v>
      </c>
    </row>
    <row r="338" spans="1:19" outlineLevel="2" x14ac:dyDescent="0.45">
      <c r="A338" t="s">
        <v>17</v>
      </c>
      <c r="B338" s="52" t="s">
        <v>66</v>
      </c>
      <c r="C338" s="52" t="s">
        <v>1072</v>
      </c>
      <c r="D338" s="52" t="s">
        <v>1073</v>
      </c>
      <c r="E338" s="52" t="s">
        <v>387</v>
      </c>
      <c r="F338" s="52" t="s">
        <v>1074</v>
      </c>
      <c r="G338" s="52" t="s">
        <v>60</v>
      </c>
      <c r="H338" s="54">
        <v>46054</v>
      </c>
      <c r="I338" s="52" t="s">
        <v>231</v>
      </c>
      <c r="J338" s="52" t="s">
        <v>451</v>
      </c>
      <c r="K338" s="52" t="s">
        <v>1075</v>
      </c>
      <c r="L338" s="52" t="s">
        <v>1075</v>
      </c>
      <c r="M338" s="52" t="s">
        <v>67</v>
      </c>
      <c r="N338" s="53">
        <v>-37253</v>
      </c>
      <c r="O338" s="53">
        <v>-125468.1</v>
      </c>
      <c r="P338" s="52" t="s">
        <v>1076</v>
      </c>
      <c r="Q338" s="52" t="s">
        <v>1077</v>
      </c>
      <c r="R338" s="55" t="s">
        <v>64</v>
      </c>
      <c r="S338" s="52" t="s">
        <v>451</v>
      </c>
    </row>
    <row r="339" spans="1:19" outlineLevel="2" x14ac:dyDescent="0.45">
      <c r="A339" t="s">
        <v>17</v>
      </c>
      <c r="B339" s="52" t="s">
        <v>66</v>
      </c>
      <c r="C339" s="52" t="s">
        <v>376</v>
      </c>
      <c r="D339" s="52" t="s">
        <v>377</v>
      </c>
      <c r="E339" s="52" t="s">
        <v>387</v>
      </c>
      <c r="F339" s="52" t="s">
        <v>1078</v>
      </c>
      <c r="G339" s="52" t="s">
        <v>60</v>
      </c>
      <c r="H339" s="54">
        <v>46054</v>
      </c>
      <c r="I339" s="52" t="s">
        <v>231</v>
      </c>
      <c r="J339" s="52" t="s">
        <v>357</v>
      </c>
      <c r="K339" s="52" t="s">
        <v>1079</v>
      </c>
      <c r="L339" s="52" t="s">
        <v>1079</v>
      </c>
      <c r="M339" s="52" t="s">
        <v>67</v>
      </c>
      <c r="N339" s="53">
        <v>-11800</v>
      </c>
      <c r="O339" s="53">
        <v>-39683.4</v>
      </c>
      <c r="P339" s="52" t="s">
        <v>1080</v>
      </c>
      <c r="Q339" s="52" t="s">
        <v>1081</v>
      </c>
      <c r="R339" s="55" t="s">
        <v>64</v>
      </c>
      <c r="S339" s="52" t="s">
        <v>357</v>
      </c>
    </row>
    <row r="340" spans="1:19" outlineLevel="2" x14ac:dyDescent="0.45">
      <c r="A340" t="s">
        <v>17</v>
      </c>
      <c r="B340" s="52" t="s">
        <v>57</v>
      </c>
      <c r="C340" s="52" t="s">
        <v>376</v>
      </c>
      <c r="D340" s="52" t="s">
        <v>377</v>
      </c>
      <c r="E340" s="52" t="s">
        <v>387</v>
      </c>
      <c r="F340" s="52" t="s">
        <v>1082</v>
      </c>
      <c r="G340" s="52" t="s">
        <v>60</v>
      </c>
      <c r="H340" s="54">
        <v>46054</v>
      </c>
      <c r="I340" s="52" t="s">
        <v>231</v>
      </c>
      <c r="J340" s="52" t="s">
        <v>241</v>
      </c>
      <c r="K340" s="52" t="s">
        <v>1083</v>
      </c>
      <c r="L340" s="52" t="s">
        <v>1083</v>
      </c>
      <c r="M340" s="52" t="s">
        <v>29</v>
      </c>
      <c r="N340" s="53">
        <v>-27652.11</v>
      </c>
      <c r="O340" s="53">
        <v>-27652.11</v>
      </c>
      <c r="P340" s="52" t="s">
        <v>1084</v>
      </c>
      <c r="Q340" s="52" t="s">
        <v>1085</v>
      </c>
      <c r="R340" s="55" t="s">
        <v>64</v>
      </c>
      <c r="S340" s="52" t="s">
        <v>241</v>
      </c>
    </row>
    <row r="341" spans="1:19" outlineLevel="2" x14ac:dyDescent="0.45">
      <c r="A341" t="s">
        <v>17</v>
      </c>
      <c r="B341" s="52" t="s">
        <v>57</v>
      </c>
      <c r="C341" s="52" t="s">
        <v>376</v>
      </c>
      <c r="D341" s="52" t="s">
        <v>377</v>
      </c>
      <c r="E341" s="52" t="s">
        <v>387</v>
      </c>
      <c r="F341" s="52" t="s">
        <v>1086</v>
      </c>
      <c r="G341" s="52" t="s">
        <v>60</v>
      </c>
      <c r="H341" s="54">
        <v>46054</v>
      </c>
      <c r="I341" s="52" t="s">
        <v>231</v>
      </c>
      <c r="J341" s="52" t="s">
        <v>1010</v>
      </c>
      <c r="K341" s="52" t="s">
        <v>1087</v>
      </c>
      <c r="L341" s="52" t="s">
        <v>1087</v>
      </c>
      <c r="M341" s="52" t="s">
        <v>29</v>
      </c>
      <c r="N341" s="53">
        <v>-22420</v>
      </c>
      <c r="O341" s="53">
        <v>-22420</v>
      </c>
      <c r="P341" s="52" t="s">
        <v>1088</v>
      </c>
      <c r="Q341" s="52" t="s">
        <v>1089</v>
      </c>
      <c r="R341" s="55" t="s">
        <v>64</v>
      </c>
      <c r="S341" s="52" t="s">
        <v>1010</v>
      </c>
    </row>
    <row r="342" spans="1:19" outlineLevel="2" x14ac:dyDescent="0.45">
      <c r="A342" t="s">
        <v>17</v>
      </c>
      <c r="B342" s="52" t="s">
        <v>57</v>
      </c>
      <c r="C342" s="52" t="s">
        <v>376</v>
      </c>
      <c r="D342" s="52" t="s">
        <v>377</v>
      </c>
      <c r="E342" s="52" t="s">
        <v>387</v>
      </c>
      <c r="F342" s="52" t="s">
        <v>1090</v>
      </c>
      <c r="G342" s="52" t="s">
        <v>60</v>
      </c>
      <c r="H342" s="54">
        <v>46054</v>
      </c>
      <c r="I342" s="52" t="s">
        <v>231</v>
      </c>
      <c r="J342" s="52" t="s">
        <v>241</v>
      </c>
      <c r="K342" s="52" t="s">
        <v>1091</v>
      </c>
      <c r="L342" s="52" t="s">
        <v>1091</v>
      </c>
      <c r="M342" s="52" t="s">
        <v>29</v>
      </c>
      <c r="N342" s="53">
        <v>-20000</v>
      </c>
      <c r="O342" s="53">
        <v>-20000</v>
      </c>
      <c r="P342" s="52" t="s">
        <v>1092</v>
      </c>
      <c r="Q342" s="52" t="s">
        <v>1093</v>
      </c>
      <c r="R342" s="55" t="s">
        <v>64</v>
      </c>
      <c r="S342" s="52" t="s">
        <v>241</v>
      </c>
    </row>
    <row r="343" spans="1:19" outlineLevel="2" x14ac:dyDescent="0.45">
      <c r="A343" t="s">
        <v>17</v>
      </c>
      <c r="B343" s="52" t="s">
        <v>57</v>
      </c>
      <c r="C343" s="52" t="s">
        <v>656</v>
      </c>
      <c r="D343" s="52" t="s">
        <v>657</v>
      </c>
      <c r="E343" s="52" t="s">
        <v>387</v>
      </c>
      <c r="F343" s="52" t="s">
        <v>1094</v>
      </c>
      <c r="G343" s="52" t="s">
        <v>60</v>
      </c>
      <c r="H343" s="54">
        <v>46054</v>
      </c>
      <c r="I343" s="52" t="s">
        <v>231</v>
      </c>
      <c r="J343" s="52" t="s">
        <v>1095</v>
      </c>
      <c r="K343" s="52" t="s">
        <v>1096</v>
      </c>
      <c r="L343" s="52" t="s">
        <v>1096</v>
      </c>
      <c r="M343" s="52" t="s">
        <v>29</v>
      </c>
      <c r="N343" s="53">
        <v>-18711.400000000001</v>
      </c>
      <c r="O343" s="53">
        <v>-18711.400000000001</v>
      </c>
      <c r="P343" s="52" t="s">
        <v>1097</v>
      </c>
      <c r="Q343" s="52" t="s">
        <v>1098</v>
      </c>
      <c r="R343" s="55" t="s">
        <v>64</v>
      </c>
      <c r="S343" s="52" t="s">
        <v>1095</v>
      </c>
    </row>
    <row r="344" spans="1:19" outlineLevel="2" x14ac:dyDescent="0.45">
      <c r="A344" t="s">
        <v>17</v>
      </c>
      <c r="B344" s="52" t="s">
        <v>57</v>
      </c>
      <c r="C344" s="52" t="s">
        <v>1099</v>
      </c>
      <c r="D344" s="52" t="s">
        <v>1100</v>
      </c>
      <c r="E344" s="52" t="s">
        <v>387</v>
      </c>
      <c r="F344" s="52" t="s">
        <v>1101</v>
      </c>
      <c r="G344" s="52" t="s">
        <v>60</v>
      </c>
      <c r="H344" s="54">
        <v>46054</v>
      </c>
      <c r="I344" s="52" t="s">
        <v>231</v>
      </c>
      <c r="J344" s="52" t="s">
        <v>1010</v>
      </c>
      <c r="K344" s="52" t="s">
        <v>1102</v>
      </c>
      <c r="L344" s="52" t="s">
        <v>1102</v>
      </c>
      <c r="M344" s="52" t="s">
        <v>29</v>
      </c>
      <c r="N344" s="53">
        <v>-18703</v>
      </c>
      <c r="O344" s="53">
        <v>-18703</v>
      </c>
      <c r="P344" s="52" t="s">
        <v>1103</v>
      </c>
      <c r="Q344" s="52" t="s">
        <v>1104</v>
      </c>
      <c r="R344" s="55" t="s">
        <v>64</v>
      </c>
      <c r="S344" s="52" t="s">
        <v>1010</v>
      </c>
    </row>
    <row r="345" spans="1:19" outlineLevel="2" x14ac:dyDescent="0.45">
      <c r="A345" t="s">
        <v>17</v>
      </c>
      <c r="B345" s="52" t="s">
        <v>57</v>
      </c>
      <c r="C345" s="52" t="s">
        <v>1099</v>
      </c>
      <c r="D345" s="52" t="s">
        <v>1100</v>
      </c>
      <c r="E345" s="52" t="s">
        <v>387</v>
      </c>
      <c r="F345" s="52" t="s">
        <v>1105</v>
      </c>
      <c r="G345" s="52" t="s">
        <v>60</v>
      </c>
      <c r="H345" s="54">
        <v>46054</v>
      </c>
      <c r="I345" s="52" t="s">
        <v>231</v>
      </c>
      <c r="J345" s="52" t="s">
        <v>451</v>
      </c>
      <c r="K345" s="52" t="s">
        <v>1106</v>
      </c>
      <c r="L345" s="52" t="s">
        <v>1106</v>
      </c>
      <c r="M345" s="52" t="s">
        <v>29</v>
      </c>
      <c r="N345" s="53">
        <v>-18703</v>
      </c>
      <c r="O345" s="53">
        <v>-18703</v>
      </c>
      <c r="P345" s="52" t="s">
        <v>1107</v>
      </c>
      <c r="Q345" s="52" t="s">
        <v>1108</v>
      </c>
      <c r="R345" s="55" t="s">
        <v>64</v>
      </c>
      <c r="S345" s="52" t="s">
        <v>451</v>
      </c>
    </row>
    <row r="346" spans="1:19" outlineLevel="2" x14ac:dyDescent="0.45">
      <c r="A346" t="s">
        <v>17</v>
      </c>
      <c r="B346" s="52" t="s">
        <v>57</v>
      </c>
      <c r="C346" s="52" t="s">
        <v>376</v>
      </c>
      <c r="D346" s="52" t="s">
        <v>377</v>
      </c>
      <c r="E346" s="52" t="s">
        <v>387</v>
      </c>
      <c r="F346" s="52" t="s">
        <v>1109</v>
      </c>
      <c r="G346" s="52" t="s">
        <v>60</v>
      </c>
      <c r="H346" s="54">
        <v>46054</v>
      </c>
      <c r="I346" s="52" t="s">
        <v>231</v>
      </c>
      <c r="J346" s="52" t="s">
        <v>312</v>
      </c>
      <c r="K346" s="52" t="s">
        <v>1110</v>
      </c>
      <c r="L346" s="52" t="s">
        <v>1110</v>
      </c>
      <c r="M346" s="52" t="s">
        <v>29</v>
      </c>
      <c r="N346" s="53">
        <v>-14747</v>
      </c>
      <c r="O346" s="53">
        <v>-14747</v>
      </c>
      <c r="P346" s="52" t="s">
        <v>1111</v>
      </c>
      <c r="Q346" s="52" t="s">
        <v>1112</v>
      </c>
      <c r="R346" s="55" t="s">
        <v>64</v>
      </c>
      <c r="S346" s="52" t="s">
        <v>312</v>
      </c>
    </row>
    <row r="347" spans="1:19" outlineLevel="2" x14ac:dyDescent="0.45">
      <c r="A347" t="s">
        <v>17</v>
      </c>
      <c r="B347" s="52" t="s">
        <v>57</v>
      </c>
      <c r="C347" s="52" t="s">
        <v>630</v>
      </c>
      <c r="D347" s="52" t="s">
        <v>631</v>
      </c>
      <c r="E347" s="52" t="s">
        <v>387</v>
      </c>
      <c r="F347" s="52" t="s">
        <v>1113</v>
      </c>
      <c r="G347" s="52" t="s">
        <v>60</v>
      </c>
      <c r="H347" s="54">
        <v>46054</v>
      </c>
      <c r="I347" s="52" t="s">
        <v>231</v>
      </c>
      <c r="J347" s="52" t="s">
        <v>241</v>
      </c>
      <c r="K347" s="52" t="s">
        <v>1114</v>
      </c>
      <c r="L347" s="52" t="s">
        <v>1114</v>
      </c>
      <c r="M347" s="52" t="s">
        <v>29</v>
      </c>
      <c r="N347" s="53">
        <v>-13431</v>
      </c>
      <c r="O347" s="53">
        <v>-13431</v>
      </c>
      <c r="P347" s="52" t="s">
        <v>1115</v>
      </c>
      <c r="Q347" s="52" t="s">
        <v>1116</v>
      </c>
      <c r="R347" s="55" t="s">
        <v>64</v>
      </c>
      <c r="S347" s="52" t="s">
        <v>241</v>
      </c>
    </row>
    <row r="348" spans="1:19" outlineLevel="2" x14ac:dyDescent="0.45">
      <c r="A348" t="s">
        <v>17</v>
      </c>
      <c r="B348" s="52" t="s">
        <v>57</v>
      </c>
      <c r="C348" s="52" t="s">
        <v>376</v>
      </c>
      <c r="D348" s="52" t="s">
        <v>377</v>
      </c>
      <c r="E348" s="52" t="s">
        <v>387</v>
      </c>
      <c r="F348" s="52" t="s">
        <v>1117</v>
      </c>
      <c r="G348" s="52" t="s">
        <v>60</v>
      </c>
      <c r="H348" s="54">
        <v>46054</v>
      </c>
      <c r="I348" s="52" t="s">
        <v>231</v>
      </c>
      <c r="J348" s="52" t="s">
        <v>312</v>
      </c>
      <c r="K348" s="52" t="s">
        <v>1110</v>
      </c>
      <c r="L348" s="52" t="s">
        <v>1110</v>
      </c>
      <c r="M348" s="52" t="s">
        <v>29</v>
      </c>
      <c r="N348" s="53">
        <v>-11540</v>
      </c>
      <c r="O348" s="53">
        <v>-11540</v>
      </c>
      <c r="P348" s="52" t="s">
        <v>1111</v>
      </c>
      <c r="Q348" s="52" t="s">
        <v>1112</v>
      </c>
      <c r="R348" s="55" t="s">
        <v>64</v>
      </c>
      <c r="S348" s="52" t="s">
        <v>312</v>
      </c>
    </row>
    <row r="349" spans="1:19" outlineLevel="2" x14ac:dyDescent="0.45">
      <c r="A349" t="s">
        <v>17</v>
      </c>
      <c r="B349" s="52" t="s">
        <v>57</v>
      </c>
      <c r="C349" s="52" t="s">
        <v>376</v>
      </c>
      <c r="D349" s="52" t="s">
        <v>377</v>
      </c>
      <c r="E349" s="52" t="s">
        <v>387</v>
      </c>
      <c r="F349" s="52" t="s">
        <v>1118</v>
      </c>
      <c r="G349" s="52" t="s">
        <v>60</v>
      </c>
      <c r="H349" s="54">
        <v>46054</v>
      </c>
      <c r="I349" s="52" t="s">
        <v>231</v>
      </c>
      <c r="J349" s="52" t="s">
        <v>241</v>
      </c>
      <c r="K349" s="52" t="s">
        <v>1083</v>
      </c>
      <c r="L349" s="52" t="s">
        <v>1083</v>
      </c>
      <c r="M349" s="52" t="s">
        <v>29</v>
      </c>
      <c r="N349" s="53">
        <v>-11110.63</v>
      </c>
      <c r="O349" s="53">
        <v>-11110.63</v>
      </c>
      <c r="P349" s="52" t="s">
        <v>1084</v>
      </c>
      <c r="Q349" s="52" t="s">
        <v>1085</v>
      </c>
      <c r="R349" s="55" t="s">
        <v>64</v>
      </c>
      <c r="S349" s="52" t="s">
        <v>241</v>
      </c>
    </row>
    <row r="350" spans="1:19" outlineLevel="2" x14ac:dyDescent="0.45">
      <c r="A350" t="s">
        <v>17</v>
      </c>
      <c r="B350" s="52" t="s">
        <v>57</v>
      </c>
      <c r="C350" s="52" t="s">
        <v>697</v>
      </c>
      <c r="D350" s="52" t="s">
        <v>698</v>
      </c>
      <c r="E350" s="52" t="s">
        <v>387</v>
      </c>
      <c r="F350" s="52" t="s">
        <v>1119</v>
      </c>
      <c r="G350" s="52" t="s">
        <v>60</v>
      </c>
      <c r="H350" s="54">
        <v>46054</v>
      </c>
      <c r="I350" s="52" t="s">
        <v>231</v>
      </c>
      <c r="J350" s="52" t="s">
        <v>1120</v>
      </c>
      <c r="K350" s="52" t="s">
        <v>1121</v>
      </c>
      <c r="L350" s="52" t="s">
        <v>1122</v>
      </c>
      <c r="M350" s="52" t="s">
        <v>29</v>
      </c>
      <c r="N350" s="53">
        <v>-10261.06</v>
      </c>
      <c r="O350" s="53">
        <v>-10261.06</v>
      </c>
      <c r="P350" s="52" t="s">
        <v>702</v>
      </c>
      <c r="Q350" s="52" t="s">
        <v>1123</v>
      </c>
      <c r="R350" s="55" t="s">
        <v>64</v>
      </c>
      <c r="S350" s="52" t="s">
        <v>1120</v>
      </c>
    </row>
    <row r="351" spans="1:19" outlineLevel="2" x14ac:dyDescent="0.45">
      <c r="A351" s="59" t="s">
        <v>17</v>
      </c>
      <c r="B351" s="60" t="s">
        <v>57</v>
      </c>
      <c r="C351" s="52" t="s">
        <v>376</v>
      </c>
      <c r="D351" s="60" t="s">
        <v>377</v>
      </c>
      <c r="E351" s="52" t="s">
        <v>387</v>
      </c>
      <c r="F351" s="52" t="s">
        <v>1124</v>
      </c>
      <c r="G351" s="52" t="s">
        <v>60</v>
      </c>
      <c r="H351" s="54">
        <v>46054</v>
      </c>
      <c r="I351" s="52" t="s">
        <v>231</v>
      </c>
      <c r="J351" s="60" t="s">
        <v>996</v>
      </c>
      <c r="K351" s="52" t="s">
        <v>1125</v>
      </c>
      <c r="L351" s="52" t="s">
        <v>1125</v>
      </c>
      <c r="M351" s="60" t="s">
        <v>29</v>
      </c>
      <c r="N351" s="61">
        <v>-10000</v>
      </c>
      <c r="O351" s="61">
        <v>-10000</v>
      </c>
      <c r="P351" s="60" t="s">
        <v>1126</v>
      </c>
      <c r="Q351" s="60" t="s">
        <v>1127</v>
      </c>
      <c r="R351" s="62" t="s">
        <v>64</v>
      </c>
      <c r="S351" s="60" t="s">
        <v>996</v>
      </c>
    </row>
    <row r="352" spans="1:19" outlineLevel="2" x14ac:dyDescent="0.45">
      <c r="A352" t="s">
        <v>17</v>
      </c>
      <c r="B352" s="52" t="s">
        <v>57</v>
      </c>
      <c r="C352" s="52" t="s">
        <v>630</v>
      </c>
      <c r="D352" s="52" t="s">
        <v>631</v>
      </c>
      <c r="E352" s="52" t="s">
        <v>387</v>
      </c>
      <c r="F352" s="52" t="s">
        <v>1128</v>
      </c>
      <c r="G352" s="52" t="s">
        <v>60</v>
      </c>
      <c r="H352" s="54">
        <v>46054</v>
      </c>
      <c r="I352" s="52" t="s">
        <v>231</v>
      </c>
      <c r="J352" s="52" t="s">
        <v>246</v>
      </c>
      <c r="K352" s="52" t="s">
        <v>1129</v>
      </c>
      <c r="L352" s="52" t="s">
        <v>1129</v>
      </c>
      <c r="M352" s="52" t="s">
        <v>29</v>
      </c>
      <c r="N352" s="53">
        <v>-10000</v>
      </c>
      <c r="O352" s="53">
        <v>-10000</v>
      </c>
      <c r="P352" s="52" t="s">
        <v>1130</v>
      </c>
      <c r="Q352" s="52" t="s">
        <v>1131</v>
      </c>
      <c r="R352" s="55" t="s">
        <v>64</v>
      </c>
      <c r="S352" s="52" t="s">
        <v>246</v>
      </c>
    </row>
    <row r="353" spans="1:52" outlineLevel="2" x14ac:dyDescent="0.45">
      <c r="A353" t="s">
        <v>17</v>
      </c>
      <c r="B353" s="52" t="s">
        <v>57</v>
      </c>
      <c r="C353" s="52" t="s">
        <v>707</v>
      </c>
      <c r="D353" s="52" t="s">
        <v>708</v>
      </c>
      <c r="E353" s="52" t="s">
        <v>387</v>
      </c>
      <c r="F353" s="52" t="s">
        <v>1132</v>
      </c>
      <c r="G353" s="52" t="s">
        <v>60</v>
      </c>
      <c r="H353" s="54">
        <v>46054</v>
      </c>
      <c r="I353" s="52" t="s">
        <v>231</v>
      </c>
      <c r="J353" s="52" t="s">
        <v>1120</v>
      </c>
      <c r="K353" s="52" t="s">
        <v>1133</v>
      </c>
      <c r="L353" s="52" t="s">
        <v>1134</v>
      </c>
      <c r="M353" s="52" t="s">
        <v>29</v>
      </c>
      <c r="N353" s="53">
        <v>-7653.54</v>
      </c>
      <c r="O353" s="53">
        <v>-7653.54</v>
      </c>
      <c r="P353" s="52" t="s">
        <v>712</v>
      </c>
      <c r="Q353" s="52" t="s">
        <v>1135</v>
      </c>
      <c r="R353" s="55" t="s">
        <v>64</v>
      </c>
      <c r="S353" s="52" t="s">
        <v>1120</v>
      </c>
    </row>
    <row r="354" spans="1:52" outlineLevel="2" x14ac:dyDescent="0.45">
      <c r="A354" t="s">
        <v>17</v>
      </c>
      <c r="B354" s="52" t="s">
        <v>66</v>
      </c>
      <c r="C354" s="52" t="s">
        <v>718</v>
      </c>
      <c r="D354" s="52" t="s">
        <v>719</v>
      </c>
      <c r="E354" s="52" t="s">
        <v>387</v>
      </c>
      <c r="F354" s="52" t="s">
        <v>1136</v>
      </c>
      <c r="G354" s="52" t="s">
        <v>60</v>
      </c>
      <c r="H354" s="54">
        <v>46054</v>
      </c>
      <c r="I354" s="52" t="s">
        <v>231</v>
      </c>
      <c r="J354" s="52" t="s">
        <v>451</v>
      </c>
      <c r="K354" s="52" t="s">
        <v>1137</v>
      </c>
      <c r="L354" s="52" t="s">
        <v>1137</v>
      </c>
      <c r="M354" s="52" t="s">
        <v>67</v>
      </c>
      <c r="N354" s="53">
        <v>-1817.2</v>
      </c>
      <c r="O354" s="53">
        <v>-6120.33</v>
      </c>
      <c r="P354" s="52" t="s">
        <v>1138</v>
      </c>
      <c r="Q354" s="52" t="s">
        <v>1139</v>
      </c>
      <c r="R354" s="55" t="s">
        <v>64</v>
      </c>
      <c r="S354" s="52" t="s">
        <v>451</v>
      </c>
      <c r="T354" s="59"/>
      <c r="U354" s="59"/>
      <c r="V354" s="59"/>
      <c r="W354" s="59"/>
      <c r="X354" s="59"/>
      <c r="Y354" s="59"/>
      <c r="Z354" s="59"/>
      <c r="AA354" s="59"/>
      <c r="AB354" s="59"/>
      <c r="AC354" s="59"/>
      <c r="AD354" s="59"/>
      <c r="AE354" s="59"/>
      <c r="AF354" s="59"/>
      <c r="AG354" s="59"/>
      <c r="AH354" s="59"/>
      <c r="AI354" s="59"/>
      <c r="AJ354" s="59"/>
      <c r="AK354" s="59"/>
      <c r="AL354" s="59"/>
      <c r="AM354" s="59"/>
      <c r="AN354" s="59"/>
      <c r="AO354" s="59"/>
      <c r="AP354" s="59"/>
      <c r="AQ354" s="59"/>
      <c r="AR354" s="59"/>
      <c r="AS354" s="59"/>
      <c r="AT354" s="59"/>
      <c r="AU354" s="59"/>
      <c r="AV354" s="59"/>
      <c r="AW354" s="59"/>
      <c r="AX354" s="59"/>
      <c r="AY354" s="59"/>
      <c r="AZ354" s="59"/>
    </row>
    <row r="355" spans="1:52" outlineLevel="2" x14ac:dyDescent="0.45">
      <c r="A355" t="s">
        <v>17</v>
      </c>
      <c r="B355" s="52" t="s">
        <v>57</v>
      </c>
      <c r="C355" s="52" t="s">
        <v>376</v>
      </c>
      <c r="D355" s="52" t="s">
        <v>377</v>
      </c>
      <c r="E355" s="52" t="s">
        <v>387</v>
      </c>
      <c r="F355" s="52" t="s">
        <v>1140</v>
      </c>
      <c r="G355" s="52" t="s">
        <v>60</v>
      </c>
      <c r="H355" s="54">
        <v>46054</v>
      </c>
      <c r="I355" s="52" t="s">
        <v>231</v>
      </c>
      <c r="J355" s="52" t="s">
        <v>996</v>
      </c>
      <c r="K355" s="52" t="s">
        <v>1141</v>
      </c>
      <c r="L355" s="52" t="s">
        <v>1141</v>
      </c>
      <c r="M355" s="52" t="s">
        <v>29</v>
      </c>
      <c r="N355" s="53">
        <v>-5399.28</v>
      </c>
      <c r="O355" s="53">
        <v>-5399.28</v>
      </c>
      <c r="P355" s="52" t="s">
        <v>1142</v>
      </c>
      <c r="Q355" s="52" t="s">
        <v>1127</v>
      </c>
      <c r="R355" s="55" t="s">
        <v>64</v>
      </c>
      <c r="S355" s="52" t="s">
        <v>996</v>
      </c>
      <c r="T355" s="59"/>
      <c r="U355" s="59"/>
      <c r="V355" s="59"/>
      <c r="W355" s="59"/>
      <c r="X355" s="59"/>
      <c r="Y355" s="59"/>
      <c r="Z355" s="59"/>
      <c r="AA355" s="59"/>
      <c r="AB355" s="59"/>
      <c r="AC355" s="59"/>
      <c r="AD355" s="59"/>
      <c r="AE355" s="59"/>
      <c r="AF355" s="59"/>
      <c r="AG355" s="59"/>
      <c r="AH355" s="59"/>
      <c r="AI355" s="59"/>
      <c r="AJ355" s="59"/>
      <c r="AK355" s="59"/>
      <c r="AL355" s="59"/>
      <c r="AM355" s="59"/>
      <c r="AN355" s="59"/>
      <c r="AO355" s="59"/>
      <c r="AP355" s="59"/>
      <c r="AQ355" s="59"/>
      <c r="AR355" s="59"/>
      <c r="AS355" s="59"/>
      <c r="AT355" s="59"/>
      <c r="AU355" s="59"/>
      <c r="AV355" s="59"/>
      <c r="AW355" s="59"/>
      <c r="AX355" s="59"/>
      <c r="AY355" s="59"/>
      <c r="AZ355" s="59"/>
    </row>
    <row r="356" spans="1:52" outlineLevel="2" x14ac:dyDescent="0.45">
      <c r="A356" t="s">
        <v>17</v>
      </c>
      <c r="B356" s="52" t="s">
        <v>57</v>
      </c>
      <c r="C356" s="52" t="s">
        <v>376</v>
      </c>
      <c r="D356" s="52" t="s">
        <v>377</v>
      </c>
      <c r="E356" s="52" t="s">
        <v>387</v>
      </c>
      <c r="F356" s="52" t="s">
        <v>1143</v>
      </c>
      <c r="G356" s="52" t="s">
        <v>60</v>
      </c>
      <c r="H356" s="54">
        <v>46054</v>
      </c>
      <c r="I356" s="52" t="s">
        <v>231</v>
      </c>
      <c r="J356" s="52" t="s">
        <v>312</v>
      </c>
      <c r="K356" s="52" t="s">
        <v>1110</v>
      </c>
      <c r="L356" s="52" t="s">
        <v>1110</v>
      </c>
      <c r="M356" s="52" t="s">
        <v>29</v>
      </c>
      <c r="N356" s="53">
        <v>-4999</v>
      </c>
      <c r="O356" s="53">
        <v>-4999</v>
      </c>
      <c r="P356" s="52" t="s">
        <v>1111</v>
      </c>
      <c r="Q356" s="52" t="s">
        <v>1112</v>
      </c>
      <c r="R356" s="55" t="s">
        <v>64</v>
      </c>
      <c r="S356" s="52" t="s">
        <v>312</v>
      </c>
    </row>
    <row r="357" spans="1:52" outlineLevel="2" x14ac:dyDescent="0.45">
      <c r="A357" t="s">
        <v>17</v>
      </c>
      <c r="B357" s="52" t="s">
        <v>57</v>
      </c>
      <c r="C357" s="52" t="s">
        <v>376</v>
      </c>
      <c r="D357" s="52" t="s">
        <v>377</v>
      </c>
      <c r="E357" s="52" t="s">
        <v>387</v>
      </c>
      <c r="F357" s="52" t="s">
        <v>1144</v>
      </c>
      <c r="G357" s="52" t="s">
        <v>60</v>
      </c>
      <c r="H357" s="54">
        <v>46054</v>
      </c>
      <c r="I357" s="52" t="s">
        <v>231</v>
      </c>
      <c r="J357" s="52" t="s">
        <v>1095</v>
      </c>
      <c r="K357" s="52" t="s">
        <v>1145</v>
      </c>
      <c r="L357" s="52" t="s">
        <v>1145</v>
      </c>
      <c r="M357" s="52" t="s">
        <v>29</v>
      </c>
      <c r="N357" s="53">
        <v>-4935.22</v>
      </c>
      <c r="O357" s="53">
        <v>-4935.22</v>
      </c>
      <c r="P357" s="52" t="s">
        <v>1084</v>
      </c>
      <c r="Q357" s="52" t="s">
        <v>1146</v>
      </c>
      <c r="R357" s="55" t="s">
        <v>64</v>
      </c>
      <c r="S357" s="52" t="s">
        <v>1095</v>
      </c>
    </row>
    <row r="358" spans="1:52" outlineLevel="2" x14ac:dyDescent="0.45">
      <c r="A358" t="s">
        <v>17</v>
      </c>
      <c r="B358" s="52" t="s">
        <v>57</v>
      </c>
      <c r="C358" s="52" t="s">
        <v>734</v>
      </c>
      <c r="D358" s="52" t="s">
        <v>735</v>
      </c>
      <c r="E358" s="52" t="s">
        <v>387</v>
      </c>
      <c r="F358" s="52" t="s">
        <v>1147</v>
      </c>
      <c r="G358" s="52" t="s">
        <v>60</v>
      </c>
      <c r="H358" s="54">
        <v>46054</v>
      </c>
      <c r="I358" s="52" t="s">
        <v>231</v>
      </c>
      <c r="J358" s="52" t="s">
        <v>1120</v>
      </c>
      <c r="K358" s="52" t="s">
        <v>1148</v>
      </c>
      <c r="L358" s="52" t="s">
        <v>1149</v>
      </c>
      <c r="M358" s="52" t="s">
        <v>29</v>
      </c>
      <c r="N358" s="53">
        <v>-4670.9399999999996</v>
      </c>
      <c r="O358" s="53">
        <v>-4670.9399999999996</v>
      </c>
      <c r="P358" s="52" t="s">
        <v>739</v>
      </c>
      <c r="Q358" s="52" t="s">
        <v>1150</v>
      </c>
      <c r="R358" s="55" t="s">
        <v>64</v>
      </c>
      <c r="S358" s="52" t="s">
        <v>1120</v>
      </c>
    </row>
    <row r="359" spans="1:52" outlineLevel="2" x14ac:dyDescent="0.45">
      <c r="A359" t="s">
        <v>17</v>
      </c>
      <c r="B359" s="52" t="s">
        <v>57</v>
      </c>
      <c r="C359" s="52" t="s">
        <v>376</v>
      </c>
      <c r="D359" s="52" t="s">
        <v>377</v>
      </c>
      <c r="E359" s="52" t="s">
        <v>387</v>
      </c>
      <c r="F359" s="52" t="s">
        <v>1151</v>
      </c>
      <c r="G359" s="52" t="s">
        <v>60</v>
      </c>
      <c r="H359" s="54">
        <v>46054</v>
      </c>
      <c r="I359" s="52" t="s">
        <v>231</v>
      </c>
      <c r="J359" s="52" t="s">
        <v>241</v>
      </c>
      <c r="K359" s="52" t="s">
        <v>1083</v>
      </c>
      <c r="L359" s="52" t="s">
        <v>1083</v>
      </c>
      <c r="M359" s="52" t="s">
        <v>29</v>
      </c>
      <c r="N359" s="53">
        <v>-4466.32</v>
      </c>
      <c r="O359" s="53">
        <v>-4466.32</v>
      </c>
      <c r="P359" s="52" t="s">
        <v>1084</v>
      </c>
      <c r="Q359" s="52" t="s">
        <v>1085</v>
      </c>
      <c r="R359" s="55" t="s">
        <v>64</v>
      </c>
      <c r="S359" s="52" t="s">
        <v>241</v>
      </c>
    </row>
    <row r="360" spans="1:52" outlineLevel="2" x14ac:dyDescent="0.45">
      <c r="A360" t="s">
        <v>17</v>
      </c>
      <c r="B360" s="52" t="s">
        <v>57</v>
      </c>
      <c r="C360" s="52" t="s">
        <v>376</v>
      </c>
      <c r="D360" s="52" t="s">
        <v>377</v>
      </c>
      <c r="E360" s="52" t="s">
        <v>387</v>
      </c>
      <c r="F360" s="52" t="s">
        <v>1152</v>
      </c>
      <c r="G360" s="52" t="s">
        <v>60</v>
      </c>
      <c r="H360" s="54">
        <v>46054</v>
      </c>
      <c r="I360" s="52" t="s">
        <v>231</v>
      </c>
      <c r="J360" s="52" t="s">
        <v>1095</v>
      </c>
      <c r="K360" s="52" t="s">
        <v>1153</v>
      </c>
      <c r="L360" s="52" t="s">
        <v>1153</v>
      </c>
      <c r="M360" s="52" t="s">
        <v>29</v>
      </c>
      <c r="N360" s="53">
        <v>-4012</v>
      </c>
      <c r="O360" s="53">
        <v>-4012</v>
      </c>
      <c r="P360" s="52" t="s">
        <v>1154</v>
      </c>
      <c r="Q360" s="52" t="s">
        <v>1155</v>
      </c>
      <c r="R360" s="55" t="s">
        <v>64</v>
      </c>
      <c r="S360" s="52" t="s">
        <v>1095</v>
      </c>
    </row>
    <row r="361" spans="1:52" outlineLevel="2" x14ac:dyDescent="0.45">
      <c r="A361" t="s">
        <v>17</v>
      </c>
      <c r="B361" s="52" t="s">
        <v>57</v>
      </c>
      <c r="C361" s="52" t="s">
        <v>785</v>
      </c>
      <c r="D361" s="52" t="s">
        <v>786</v>
      </c>
      <c r="E361" s="52" t="s">
        <v>387</v>
      </c>
      <c r="F361" s="52" t="s">
        <v>1156</v>
      </c>
      <c r="G361" s="52" t="s">
        <v>60</v>
      </c>
      <c r="H361" s="54">
        <v>46054</v>
      </c>
      <c r="I361" s="52" t="s">
        <v>231</v>
      </c>
      <c r="J361" s="52" t="s">
        <v>451</v>
      </c>
      <c r="K361" s="52" t="s">
        <v>1157</v>
      </c>
      <c r="L361" s="52" t="s">
        <v>1157</v>
      </c>
      <c r="M361" s="52" t="s">
        <v>29</v>
      </c>
      <c r="N361" s="53">
        <v>-3658</v>
      </c>
      <c r="O361" s="53">
        <v>-3658</v>
      </c>
      <c r="P361" s="52" t="s">
        <v>1158</v>
      </c>
      <c r="Q361" s="52" t="s">
        <v>1159</v>
      </c>
      <c r="R361" s="55" t="s">
        <v>64</v>
      </c>
      <c r="S361" s="52" t="s">
        <v>451</v>
      </c>
    </row>
    <row r="362" spans="1:52" outlineLevel="2" x14ac:dyDescent="0.45">
      <c r="A362" t="s">
        <v>17</v>
      </c>
      <c r="B362" s="52" t="s">
        <v>57</v>
      </c>
      <c r="C362" s="52" t="s">
        <v>1160</v>
      </c>
      <c r="D362" s="52" t="s">
        <v>1161</v>
      </c>
      <c r="E362" s="52" t="s">
        <v>387</v>
      </c>
      <c r="F362" s="52" t="s">
        <v>1162</v>
      </c>
      <c r="G362" s="52" t="s">
        <v>60</v>
      </c>
      <c r="H362" s="54">
        <v>46054</v>
      </c>
      <c r="I362" s="52" t="s">
        <v>231</v>
      </c>
      <c r="J362" s="52" t="s">
        <v>241</v>
      </c>
      <c r="K362" s="52" t="s">
        <v>1163</v>
      </c>
      <c r="L362" s="52" t="s">
        <v>1163</v>
      </c>
      <c r="M362" s="52" t="s">
        <v>29</v>
      </c>
      <c r="N362" s="53">
        <v>-3339</v>
      </c>
      <c r="O362" s="53">
        <v>-3339</v>
      </c>
      <c r="P362" s="52" t="s">
        <v>1164</v>
      </c>
      <c r="Q362" s="52" t="s">
        <v>1165</v>
      </c>
      <c r="R362" s="55" t="s">
        <v>64</v>
      </c>
      <c r="S362" s="52" t="s">
        <v>241</v>
      </c>
    </row>
    <row r="363" spans="1:52" outlineLevel="2" x14ac:dyDescent="0.45">
      <c r="A363" t="s">
        <v>17</v>
      </c>
      <c r="B363" s="52" t="s">
        <v>57</v>
      </c>
      <c r="C363" s="52" t="s">
        <v>376</v>
      </c>
      <c r="D363" s="52" t="s">
        <v>377</v>
      </c>
      <c r="E363" s="52" t="s">
        <v>387</v>
      </c>
      <c r="F363" s="52" t="s">
        <v>1166</v>
      </c>
      <c r="G363" s="52" t="s">
        <v>60</v>
      </c>
      <c r="H363" s="54">
        <v>46054</v>
      </c>
      <c r="I363" s="52" t="s">
        <v>231</v>
      </c>
      <c r="J363" s="52" t="s">
        <v>241</v>
      </c>
      <c r="K363" s="52" t="s">
        <v>1083</v>
      </c>
      <c r="L363" s="52" t="s">
        <v>1083</v>
      </c>
      <c r="M363" s="52" t="s">
        <v>29</v>
      </c>
      <c r="N363" s="53">
        <v>-3297.06</v>
      </c>
      <c r="O363" s="53">
        <v>-3297.06</v>
      </c>
      <c r="P363" s="52" t="s">
        <v>1084</v>
      </c>
      <c r="Q363" s="52" t="s">
        <v>1085</v>
      </c>
      <c r="R363" s="55" t="s">
        <v>64</v>
      </c>
      <c r="S363" s="52" t="s">
        <v>241</v>
      </c>
    </row>
    <row r="364" spans="1:52" outlineLevel="2" x14ac:dyDescent="0.45">
      <c r="A364" t="s">
        <v>17</v>
      </c>
      <c r="B364" s="52" t="s">
        <v>57</v>
      </c>
      <c r="C364" s="52" t="s">
        <v>1167</v>
      </c>
      <c r="D364" s="52" t="s">
        <v>1168</v>
      </c>
      <c r="E364" s="52" t="s">
        <v>387</v>
      </c>
      <c r="F364" s="52" t="s">
        <v>1169</v>
      </c>
      <c r="G364" s="52" t="s">
        <v>60</v>
      </c>
      <c r="H364" s="54">
        <v>46054</v>
      </c>
      <c r="I364" s="52" t="s">
        <v>231</v>
      </c>
      <c r="J364" s="52" t="s">
        <v>1057</v>
      </c>
      <c r="K364" s="52" t="s">
        <v>1170</v>
      </c>
      <c r="L364" s="52" t="s">
        <v>1170</v>
      </c>
      <c r="M364" s="52" t="s">
        <v>29</v>
      </c>
      <c r="N364" s="53">
        <v>-3069</v>
      </c>
      <c r="O364" s="53">
        <v>-3069</v>
      </c>
      <c r="P364" s="52" t="s">
        <v>1171</v>
      </c>
      <c r="Q364" s="52" t="s">
        <v>946</v>
      </c>
      <c r="R364" s="55" t="s">
        <v>64</v>
      </c>
      <c r="S364" s="52" t="s">
        <v>1057</v>
      </c>
    </row>
    <row r="365" spans="1:52" outlineLevel="2" x14ac:dyDescent="0.45">
      <c r="A365" t="s">
        <v>17</v>
      </c>
      <c r="B365" s="52" t="s">
        <v>57</v>
      </c>
      <c r="C365" s="52" t="s">
        <v>758</v>
      </c>
      <c r="D365" s="52" t="s">
        <v>759</v>
      </c>
      <c r="E365" s="52" t="s">
        <v>387</v>
      </c>
      <c r="F365" s="52" t="s">
        <v>1172</v>
      </c>
      <c r="G365" s="52" t="s">
        <v>60</v>
      </c>
      <c r="H365" s="54">
        <v>46054</v>
      </c>
      <c r="I365" s="52" t="s">
        <v>231</v>
      </c>
      <c r="J365" s="52" t="s">
        <v>1018</v>
      </c>
      <c r="K365" s="52" t="s">
        <v>1173</v>
      </c>
      <c r="L365" s="52" t="s">
        <v>1173</v>
      </c>
      <c r="M365" s="52" t="s">
        <v>29</v>
      </c>
      <c r="N365" s="53">
        <v>-3051.3</v>
      </c>
      <c r="O365" s="53">
        <v>-3051.3</v>
      </c>
      <c r="P365" s="52" t="s">
        <v>1174</v>
      </c>
      <c r="Q365" s="52" t="s">
        <v>1175</v>
      </c>
      <c r="R365" s="55" t="s">
        <v>64</v>
      </c>
      <c r="S365" s="52" t="s">
        <v>1018</v>
      </c>
    </row>
    <row r="366" spans="1:52" outlineLevel="2" x14ac:dyDescent="0.45">
      <c r="A366" t="s">
        <v>17</v>
      </c>
      <c r="B366" s="52" t="s">
        <v>57</v>
      </c>
      <c r="C366" s="52" t="s">
        <v>376</v>
      </c>
      <c r="D366" s="52" t="s">
        <v>377</v>
      </c>
      <c r="E366" s="52" t="s">
        <v>387</v>
      </c>
      <c r="F366" s="52" t="s">
        <v>1176</v>
      </c>
      <c r="G366" s="52" t="s">
        <v>60</v>
      </c>
      <c r="H366" s="54">
        <v>46054</v>
      </c>
      <c r="I366" s="52" t="s">
        <v>231</v>
      </c>
      <c r="J366" s="52" t="s">
        <v>312</v>
      </c>
      <c r="K366" s="52" t="s">
        <v>1110</v>
      </c>
      <c r="L366" s="52" t="s">
        <v>1110</v>
      </c>
      <c r="M366" s="52" t="s">
        <v>29</v>
      </c>
      <c r="N366" s="53">
        <v>-3004</v>
      </c>
      <c r="O366" s="53">
        <v>-3004</v>
      </c>
      <c r="P366" s="52" t="s">
        <v>1111</v>
      </c>
      <c r="Q366" s="52" t="s">
        <v>1112</v>
      </c>
      <c r="R366" s="55" t="s">
        <v>64</v>
      </c>
      <c r="S366" s="52" t="s">
        <v>312</v>
      </c>
    </row>
    <row r="367" spans="1:52" outlineLevel="2" x14ac:dyDescent="0.45">
      <c r="A367" t="s">
        <v>17</v>
      </c>
      <c r="B367" s="52" t="s">
        <v>57</v>
      </c>
      <c r="C367" s="52" t="s">
        <v>376</v>
      </c>
      <c r="D367" s="52" t="s">
        <v>377</v>
      </c>
      <c r="E367" s="52" t="s">
        <v>387</v>
      </c>
      <c r="F367" s="52" t="s">
        <v>1177</v>
      </c>
      <c r="G367" s="52" t="s">
        <v>60</v>
      </c>
      <c r="H367" s="54">
        <v>46054</v>
      </c>
      <c r="I367" s="52" t="s">
        <v>231</v>
      </c>
      <c r="J367" s="52" t="s">
        <v>1010</v>
      </c>
      <c r="K367" s="52" t="s">
        <v>1178</v>
      </c>
      <c r="L367" s="52" t="s">
        <v>1178</v>
      </c>
      <c r="M367" s="52" t="s">
        <v>29</v>
      </c>
      <c r="N367" s="53">
        <v>-3000</v>
      </c>
      <c r="O367" s="53">
        <v>-3000</v>
      </c>
      <c r="P367" s="52" t="s">
        <v>1179</v>
      </c>
      <c r="Q367" s="52" t="s">
        <v>1180</v>
      </c>
      <c r="R367" s="55" t="s">
        <v>64</v>
      </c>
      <c r="S367" s="52" t="s">
        <v>1010</v>
      </c>
    </row>
    <row r="368" spans="1:52" outlineLevel="2" x14ac:dyDescent="0.45">
      <c r="A368" t="s">
        <v>17</v>
      </c>
      <c r="B368" s="52" t="s">
        <v>57</v>
      </c>
      <c r="C368" s="52" t="s">
        <v>376</v>
      </c>
      <c r="D368" s="52" t="s">
        <v>377</v>
      </c>
      <c r="E368" s="52" t="s">
        <v>387</v>
      </c>
      <c r="F368" s="52" t="s">
        <v>1181</v>
      </c>
      <c r="G368" s="52" t="s">
        <v>60</v>
      </c>
      <c r="H368" s="54">
        <v>46054</v>
      </c>
      <c r="I368" s="52" t="s">
        <v>231</v>
      </c>
      <c r="J368" s="52" t="s">
        <v>241</v>
      </c>
      <c r="K368" s="52" t="s">
        <v>1182</v>
      </c>
      <c r="L368" s="52" t="s">
        <v>1182</v>
      </c>
      <c r="M368" s="52" t="s">
        <v>29</v>
      </c>
      <c r="N368" s="53">
        <v>-3000</v>
      </c>
      <c r="O368" s="53">
        <v>-3000</v>
      </c>
      <c r="P368" s="52" t="s">
        <v>1183</v>
      </c>
      <c r="Q368" s="52" t="s">
        <v>1184</v>
      </c>
      <c r="R368" s="55" t="s">
        <v>64</v>
      </c>
      <c r="S368" s="52" t="s">
        <v>241</v>
      </c>
    </row>
    <row r="369" spans="1:19" outlineLevel="2" x14ac:dyDescent="0.45">
      <c r="A369" t="s">
        <v>17</v>
      </c>
      <c r="B369" s="52" t="s">
        <v>57</v>
      </c>
      <c r="C369" s="52" t="s">
        <v>376</v>
      </c>
      <c r="D369" s="52" t="s">
        <v>377</v>
      </c>
      <c r="E369" s="52" t="s">
        <v>387</v>
      </c>
      <c r="F369" s="52" t="s">
        <v>1185</v>
      </c>
      <c r="G369" s="52" t="s">
        <v>60</v>
      </c>
      <c r="H369" s="54">
        <v>46054</v>
      </c>
      <c r="I369" s="52" t="s">
        <v>231</v>
      </c>
      <c r="J369" s="52" t="s">
        <v>246</v>
      </c>
      <c r="K369" s="52" t="s">
        <v>1186</v>
      </c>
      <c r="L369" s="52" t="s">
        <v>1186</v>
      </c>
      <c r="M369" s="52" t="s">
        <v>29</v>
      </c>
      <c r="N369" s="53">
        <v>-2935.78</v>
      </c>
      <c r="O369" s="53">
        <v>-2935.78</v>
      </c>
      <c r="P369" s="52" t="s">
        <v>1187</v>
      </c>
      <c r="Q369" s="52" t="s">
        <v>1188</v>
      </c>
      <c r="R369" s="55" t="s">
        <v>64</v>
      </c>
      <c r="S369" s="52" t="s">
        <v>246</v>
      </c>
    </row>
    <row r="370" spans="1:19" outlineLevel="2" x14ac:dyDescent="0.45">
      <c r="A370" t="s">
        <v>17</v>
      </c>
      <c r="B370" s="52" t="s">
        <v>57</v>
      </c>
      <c r="C370" s="52" t="s">
        <v>630</v>
      </c>
      <c r="D370" s="52" t="s">
        <v>631</v>
      </c>
      <c r="E370" s="52" t="s">
        <v>387</v>
      </c>
      <c r="F370" s="52" t="s">
        <v>1189</v>
      </c>
      <c r="G370" s="52" t="s">
        <v>60</v>
      </c>
      <c r="H370" s="54">
        <v>46054</v>
      </c>
      <c r="I370" s="52" t="s">
        <v>231</v>
      </c>
      <c r="J370" s="52" t="s">
        <v>1010</v>
      </c>
      <c r="K370" s="52" t="s">
        <v>1190</v>
      </c>
      <c r="L370" s="52" t="s">
        <v>1190</v>
      </c>
      <c r="M370" s="52" t="s">
        <v>29</v>
      </c>
      <c r="N370" s="53">
        <v>-2892.4</v>
      </c>
      <c r="O370" s="53">
        <v>-2892.4</v>
      </c>
      <c r="P370" s="52" t="s">
        <v>1191</v>
      </c>
      <c r="Q370" s="52" t="s">
        <v>1192</v>
      </c>
      <c r="R370" s="55" t="s">
        <v>64</v>
      </c>
      <c r="S370" s="52" t="s">
        <v>1010</v>
      </c>
    </row>
    <row r="371" spans="1:19" outlineLevel="2" x14ac:dyDescent="0.45">
      <c r="A371" t="s">
        <v>17</v>
      </c>
      <c r="B371" s="52" t="s">
        <v>57</v>
      </c>
      <c r="C371" s="52" t="s">
        <v>774</v>
      </c>
      <c r="D371" s="52" t="s">
        <v>775</v>
      </c>
      <c r="E371" s="52" t="s">
        <v>387</v>
      </c>
      <c r="F371" s="52" t="s">
        <v>1193</v>
      </c>
      <c r="G371" s="52" t="s">
        <v>60</v>
      </c>
      <c r="H371" s="54">
        <v>46054</v>
      </c>
      <c r="I371" s="52" t="s">
        <v>231</v>
      </c>
      <c r="J371" s="52" t="s">
        <v>1010</v>
      </c>
      <c r="K371" s="52" t="s">
        <v>777</v>
      </c>
      <c r="L371" s="52" t="s">
        <v>777</v>
      </c>
      <c r="M371" s="52" t="s">
        <v>29</v>
      </c>
      <c r="N371" s="53">
        <v>-2768.38</v>
      </c>
      <c r="O371" s="53">
        <v>-2768.38</v>
      </c>
      <c r="P371" s="52" t="s">
        <v>778</v>
      </c>
      <c r="Q371" s="52" t="s">
        <v>1194</v>
      </c>
      <c r="R371" s="55" t="s">
        <v>64</v>
      </c>
      <c r="S371" s="52" t="s">
        <v>1010</v>
      </c>
    </row>
    <row r="372" spans="1:19" outlineLevel="2" x14ac:dyDescent="0.45">
      <c r="A372" t="s">
        <v>17</v>
      </c>
      <c r="B372" s="52" t="s">
        <v>57</v>
      </c>
      <c r="C372" s="52" t="s">
        <v>747</v>
      </c>
      <c r="D372" s="52" t="s">
        <v>748</v>
      </c>
      <c r="E372" s="52" t="s">
        <v>387</v>
      </c>
      <c r="F372" s="52" t="s">
        <v>1195</v>
      </c>
      <c r="G372" s="52" t="s">
        <v>60</v>
      </c>
      <c r="H372" s="54">
        <v>46054</v>
      </c>
      <c r="I372" s="52" t="s">
        <v>231</v>
      </c>
      <c r="J372" s="52" t="s">
        <v>246</v>
      </c>
      <c r="K372" s="52" t="s">
        <v>1196</v>
      </c>
      <c r="L372" s="52" t="s">
        <v>1196</v>
      </c>
      <c r="M372" s="52" t="s">
        <v>29</v>
      </c>
      <c r="N372" s="53">
        <v>-2736.94</v>
      </c>
      <c r="O372" s="53">
        <v>-2736.94</v>
      </c>
      <c r="P372" s="52" t="s">
        <v>1197</v>
      </c>
      <c r="Q372" s="52" t="s">
        <v>1198</v>
      </c>
      <c r="R372" s="55" t="s">
        <v>64</v>
      </c>
      <c r="S372" s="52" t="s">
        <v>246</v>
      </c>
    </row>
    <row r="373" spans="1:19" outlineLevel="2" x14ac:dyDescent="0.45">
      <c r="A373" t="s">
        <v>17</v>
      </c>
      <c r="B373" s="52" t="s">
        <v>57</v>
      </c>
      <c r="C373" s="52" t="s">
        <v>747</v>
      </c>
      <c r="D373" s="52" t="s">
        <v>748</v>
      </c>
      <c r="E373" s="52" t="s">
        <v>387</v>
      </c>
      <c r="F373" s="52" t="s">
        <v>1195</v>
      </c>
      <c r="G373" s="52" t="s">
        <v>60</v>
      </c>
      <c r="H373" s="54">
        <v>46054</v>
      </c>
      <c r="I373" s="52" t="s">
        <v>231</v>
      </c>
      <c r="J373" s="52" t="s">
        <v>246</v>
      </c>
      <c r="K373" s="52" t="s">
        <v>1199</v>
      </c>
      <c r="L373" s="52" t="s">
        <v>1199</v>
      </c>
      <c r="M373" s="52" t="s">
        <v>29</v>
      </c>
      <c r="N373" s="53">
        <v>-2534.2800000000002</v>
      </c>
      <c r="O373" s="53">
        <v>-2534.2800000000002</v>
      </c>
      <c r="P373" s="52" t="s">
        <v>1200</v>
      </c>
      <c r="Q373" s="52" t="s">
        <v>1198</v>
      </c>
      <c r="R373" s="55" t="s">
        <v>64</v>
      </c>
      <c r="S373" s="52" t="s">
        <v>246</v>
      </c>
    </row>
    <row r="374" spans="1:19" outlineLevel="2" x14ac:dyDescent="0.45">
      <c r="A374" t="s">
        <v>17</v>
      </c>
      <c r="B374" s="52" t="s">
        <v>57</v>
      </c>
      <c r="C374" s="52" t="s">
        <v>371</v>
      </c>
      <c r="D374" s="52" t="s">
        <v>372</v>
      </c>
      <c r="E374" s="52" t="s">
        <v>387</v>
      </c>
      <c r="F374" s="52" t="s">
        <v>1201</v>
      </c>
      <c r="G374" s="52" t="s">
        <v>60</v>
      </c>
      <c r="H374" s="54">
        <v>46054</v>
      </c>
      <c r="I374" s="52" t="s">
        <v>231</v>
      </c>
      <c r="J374" s="52" t="s">
        <v>1202</v>
      </c>
      <c r="K374" s="52" t="s">
        <v>1203</v>
      </c>
      <c r="L374" s="52" t="s">
        <v>1203</v>
      </c>
      <c r="M374" s="52" t="s">
        <v>29</v>
      </c>
      <c r="N374" s="53">
        <v>-2500</v>
      </c>
      <c r="O374" s="53">
        <v>-2500</v>
      </c>
      <c r="P374" s="52" t="s">
        <v>1204</v>
      </c>
      <c r="Q374" s="52" t="s">
        <v>1205</v>
      </c>
      <c r="R374" s="55" t="s">
        <v>64</v>
      </c>
      <c r="S374" s="52" t="s">
        <v>1202</v>
      </c>
    </row>
    <row r="375" spans="1:19" outlineLevel="2" x14ac:dyDescent="0.45">
      <c r="A375" t="s">
        <v>17</v>
      </c>
      <c r="B375" s="52" t="s">
        <v>57</v>
      </c>
      <c r="C375" s="52" t="s">
        <v>785</v>
      </c>
      <c r="D375" s="52" t="s">
        <v>786</v>
      </c>
      <c r="E375" s="52" t="s">
        <v>387</v>
      </c>
      <c r="F375" s="52" t="s">
        <v>1206</v>
      </c>
      <c r="G375" s="52" t="s">
        <v>60</v>
      </c>
      <c r="H375" s="54">
        <v>46054</v>
      </c>
      <c r="I375" s="52" t="s">
        <v>231</v>
      </c>
      <c r="J375" s="52" t="s">
        <v>241</v>
      </c>
      <c r="K375" s="52" t="s">
        <v>1207</v>
      </c>
      <c r="L375" s="52" t="s">
        <v>1207</v>
      </c>
      <c r="M375" s="52" t="s">
        <v>29</v>
      </c>
      <c r="N375" s="53">
        <v>-2232.56</v>
      </c>
      <c r="O375" s="53">
        <v>-2232.56</v>
      </c>
      <c r="P375" s="52" t="s">
        <v>1208</v>
      </c>
      <c r="Q375" s="52" t="s">
        <v>1209</v>
      </c>
      <c r="R375" s="55" t="s">
        <v>64</v>
      </c>
      <c r="S375" s="52" t="s">
        <v>241</v>
      </c>
    </row>
    <row r="376" spans="1:19" outlineLevel="2" x14ac:dyDescent="0.45">
      <c r="A376" t="s">
        <v>17</v>
      </c>
      <c r="B376" s="52" t="s">
        <v>57</v>
      </c>
      <c r="C376" s="52" t="s">
        <v>376</v>
      </c>
      <c r="D376" s="52" t="s">
        <v>377</v>
      </c>
      <c r="E376" s="52" t="s">
        <v>387</v>
      </c>
      <c r="F376" s="52" t="s">
        <v>1210</v>
      </c>
      <c r="G376" s="52" t="s">
        <v>60</v>
      </c>
      <c r="H376" s="54">
        <v>46054</v>
      </c>
      <c r="I376" s="52" t="s">
        <v>231</v>
      </c>
      <c r="J376" s="52" t="s">
        <v>241</v>
      </c>
      <c r="K376" s="52" t="s">
        <v>1083</v>
      </c>
      <c r="L376" s="52" t="s">
        <v>1083</v>
      </c>
      <c r="M376" s="52" t="s">
        <v>29</v>
      </c>
      <c r="N376" s="53">
        <v>-2215.75</v>
      </c>
      <c r="O376" s="53">
        <v>-2215.75</v>
      </c>
      <c r="P376" s="52" t="s">
        <v>1084</v>
      </c>
      <c r="Q376" s="52" t="s">
        <v>1085</v>
      </c>
      <c r="R376" s="55" t="s">
        <v>64</v>
      </c>
      <c r="S376" s="52" t="s">
        <v>241</v>
      </c>
    </row>
    <row r="377" spans="1:19" outlineLevel="2" x14ac:dyDescent="0.45">
      <c r="A377" t="s">
        <v>17</v>
      </c>
      <c r="B377" s="52" t="s">
        <v>57</v>
      </c>
      <c r="C377" s="52" t="s">
        <v>663</v>
      </c>
      <c r="D377" s="52" t="s">
        <v>664</v>
      </c>
      <c r="E377" s="52" t="s">
        <v>387</v>
      </c>
      <c r="F377" s="52" t="s">
        <v>1211</v>
      </c>
      <c r="G377" s="52" t="s">
        <v>60</v>
      </c>
      <c r="H377" s="54">
        <v>46054</v>
      </c>
      <c r="I377" s="52" t="s">
        <v>231</v>
      </c>
      <c r="J377" s="52" t="s">
        <v>1057</v>
      </c>
      <c r="K377" s="52" t="s">
        <v>666</v>
      </c>
      <c r="L377" s="52" t="s">
        <v>666</v>
      </c>
      <c r="M377" s="52" t="s">
        <v>29</v>
      </c>
      <c r="N377" s="53">
        <v>-2146</v>
      </c>
      <c r="O377" s="53">
        <v>-2146</v>
      </c>
      <c r="P377" s="52" t="s">
        <v>667</v>
      </c>
      <c r="Q377" s="52" t="s">
        <v>946</v>
      </c>
      <c r="R377" s="55" t="s">
        <v>64</v>
      </c>
      <c r="S377" s="52" t="s">
        <v>1057</v>
      </c>
    </row>
    <row r="378" spans="1:19" outlineLevel="2" x14ac:dyDescent="0.45">
      <c r="A378" t="s">
        <v>17</v>
      </c>
      <c r="B378" s="52" t="s">
        <v>57</v>
      </c>
      <c r="C378" s="52" t="s">
        <v>758</v>
      </c>
      <c r="D378" s="52" t="s">
        <v>759</v>
      </c>
      <c r="E378" s="52" t="s">
        <v>387</v>
      </c>
      <c r="F378" s="52" t="s">
        <v>1212</v>
      </c>
      <c r="G378" s="52" t="s">
        <v>60</v>
      </c>
      <c r="H378" s="54">
        <v>46054</v>
      </c>
      <c r="I378" s="52" t="s">
        <v>231</v>
      </c>
      <c r="J378" s="52" t="s">
        <v>1018</v>
      </c>
      <c r="K378" s="52" t="s">
        <v>1213</v>
      </c>
      <c r="L378" s="52" t="s">
        <v>1213</v>
      </c>
      <c r="M378" s="52" t="s">
        <v>29</v>
      </c>
      <c r="N378" s="53">
        <v>-2100.9</v>
      </c>
      <c r="O378" s="53">
        <v>-2100.9</v>
      </c>
      <c r="P378" s="52" t="s">
        <v>1214</v>
      </c>
      <c r="Q378" s="52" t="s">
        <v>1175</v>
      </c>
      <c r="R378" s="55" t="s">
        <v>64</v>
      </c>
      <c r="S378" s="52" t="s">
        <v>1018</v>
      </c>
    </row>
    <row r="379" spans="1:19" outlineLevel="2" x14ac:dyDescent="0.45">
      <c r="A379" t="s">
        <v>17</v>
      </c>
      <c r="B379" s="52" t="s">
        <v>57</v>
      </c>
      <c r="C379" s="52" t="s">
        <v>630</v>
      </c>
      <c r="D379" s="52" t="s">
        <v>631</v>
      </c>
      <c r="E379" s="52" t="s">
        <v>387</v>
      </c>
      <c r="F379" s="52" t="s">
        <v>1215</v>
      </c>
      <c r="G379" s="52" t="s">
        <v>60</v>
      </c>
      <c r="H379" s="54">
        <v>46054</v>
      </c>
      <c r="I379" s="52" t="s">
        <v>231</v>
      </c>
      <c r="J379" s="52" t="s">
        <v>250</v>
      </c>
      <c r="K379" s="52" t="s">
        <v>1216</v>
      </c>
      <c r="L379" s="52" t="s">
        <v>1216</v>
      </c>
      <c r="M379" s="52" t="s">
        <v>29</v>
      </c>
      <c r="N379" s="53">
        <v>-2065</v>
      </c>
      <c r="O379" s="53">
        <v>-2065</v>
      </c>
      <c r="P379" s="52" t="s">
        <v>1217</v>
      </c>
      <c r="Q379" s="52" t="s">
        <v>1218</v>
      </c>
      <c r="R379" s="55" t="s">
        <v>64</v>
      </c>
      <c r="S379" s="52" t="s">
        <v>250</v>
      </c>
    </row>
    <row r="380" spans="1:19" outlineLevel="2" x14ac:dyDescent="0.45">
      <c r="A380" t="s">
        <v>17</v>
      </c>
      <c r="B380" s="52" t="s">
        <v>57</v>
      </c>
      <c r="C380" s="52" t="s">
        <v>630</v>
      </c>
      <c r="D380" s="52" t="s">
        <v>631</v>
      </c>
      <c r="E380" s="52" t="s">
        <v>387</v>
      </c>
      <c r="F380" s="52" t="s">
        <v>1219</v>
      </c>
      <c r="G380" s="52" t="s">
        <v>60</v>
      </c>
      <c r="H380" s="54">
        <v>46054</v>
      </c>
      <c r="I380" s="52" t="s">
        <v>231</v>
      </c>
      <c r="J380" s="52" t="s">
        <v>241</v>
      </c>
      <c r="K380" s="52" t="s">
        <v>1220</v>
      </c>
      <c r="L380" s="52" t="s">
        <v>1220</v>
      </c>
      <c r="M380" s="52" t="s">
        <v>29</v>
      </c>
      <c r="N380" s="53">
        <v>-2000</v>
      </c>
      <c r="O380" s="53">
        <v>-2000</v>
      </c>
      <c r="P380" s="52" t="s">
        <v>1221</v>
      </c>
      <c r="Q380" s="52" t="s">
        <v>1116</v>
      </c>
      <c r="R380" s="55" t="s">
        <v>64</v>
      </c>
      <c r="S380" s="52" t="s">
        <v>241</v>
      </c>
    </row>
    <row r="381" spans="1:19" outlineLevel="2" x14ac:dyDescent="0.45">
      <c r="A381" t="s">
        <v>17</v>
      </c>
      <c r="B381" s="52" t="s">
        <v>57</v>
      </c>
      <c r="C381" s="52" t="s">
        <v>811</v>
      </c>
      <c r="D381" s="52" t="s">
        <v>812</v>
      </c>
      <c r="E381" s="52" t="s">
        <v>387</v>
      </c>
      <c r="F381" s="52" t="s">
        <v>1222</v>
      </c>
      <c r="G381" s="52" t="s">
        <v>60</v>
      </c>
      <c r="H381" s="54">
        <v>46054</v>
      </c>
      <c r="I381" s="52" t="s">
        <v>231</v>
      </c>
      <c r="J381" s="52" t="s">
        <v>246</v>
      </c>
      <c r="K381" s="52" t="s">
        <v>1223</v>
      </c>
      <c r="L381" s="52" t="s">
        <v>1223</v>
      </c>
      <c r="M381" s="52" t="s">
        <v>29</v>
      </c>
      <c r="N381" s="53">
        <v>-1987.2</v>
      </c>
      <c r="O381" s="53">
        <v>-1987.2</v>
      </c>
      <c r="P381" s="52" t="s">
        <v>1224</v>
      </c>
      <c r="Q381" s="52" t="s">
        <v>1225</v>
      </c>
      <c r="R381" s="55" t="s">
        <v>64</v>
      </c>
      <c r="S381" s="52" t="s">
        <v>246</v>
      </c>
    </row>
    <row r="382" spans="1:19" outlineLevel="2" x14ac:dyDescent="0.45">
      <c r="A382" t="s">
        <v>17</v>
      </c>
      <c r="B382" s="52" t="s">
        <v>57</v>
      </c>
      <c r="C382" s="52" t="s">
        <v>774</v>
      </c>
      <c r="D382" s="52" t="s">
        <v>775</v>
      </c>
      <c r="E382" s="52" t="s">
        <v>387</v>
      </c>
      <c r="F382" s="52" t="s">
        <v>1226</v>
      </c>
      <c r="G382" s="52" t="s">
        <v>60</v>
      </c>
      <c r="H382" s="54">
        <v>46054</v>
      </c>
      <c r="I382" s="52" t="s">
        <v>231</v>
      </c>
      <c r="J382" s="52" t="s">
        <v>1018</v>
      </c>
      <c r="K382" s="52" t="s">
        <v>777</v>
      </c>
      <c r="L382" s="52" t="s">
        <v>777</v>
      </c>
      <c r="M382" s="52" t="s">
        <v>29</v>
      </c>
      <c r="N382" s="53">
        <v>-1938.71</v>
      </c>
      <c r="O382" s="53">
        <v>-1938.71</v>
      </c>
      <c r="P382" s="52" t="s">
        <v>778</v>
      </c>
      <c r="Q382" s="52" t="s">
        <v>1227</v>
      </c>
      <c r="R382" s="55" t="s">
        <v>64</v>
      </c>
      <c r="S382" s="52" t="s">
        <v>1018</v>
      </c>
    </row>
    <row r="383" spans="1:19" outlineLevel="2" x14ac:dyDescent="0.45">
      <c r="A383" t="s">
        <v>17</v>
      </c>
      <c r="B383" s="52" t="s">
        <v>57</v>
      </c>
      <c r="C383" s="52" t="s">
        <v>1228</v>
      </c>
      <c r="D383" s="52" t="s">
        <v>1229</v>
      </c>
      <c r="E383" s="52" t="s">
        <v>387</v>
      </c>
      <c r="F383" s="52" t="s">
        <v>1230</v>
      </c>
      <c r="G383" s="52" t="s">
        <v>60</v>
      </c>
      <c r="H383" s="54">
        <v>46054</v>
      </c>
      <c r="I383" s="52" t="s">
        <v>231</v>
      </c>
      <c r="J383" s="52" t="s">
        <v>451</v>
      </c>
      <c r="K383" s="52" t="s">
        <v>1231</v>
      </c>
      <c r="L383" s="52" t="s">
        <v>1231</v>
      </c>
      <c r="M383" s="52" t="s">
        <v>29</v>
      </c>
      <c r="N383" s="53">
        <v>-1826.8</v>
      </c>
      <c r="O383" s="53">
        <v>-1826.8</v>
      </c>
      <c r="P383" s="52" t="s">
        <v>1232</v>
      </c>
      <c r="Q383" s="52" t="s">
        <v>1233</v>
      </c>
      <c r="R383" s="55" t="s">
        <v>64</v>
      </c>
      <c r="S383" s="52" t="s">
        <v>451</v>
      </c>
    </row>
    <row r="384" spans="1:19" outlineLevel="2" x14ac:dyDescent="0.45">
      <c r="A384" t="s">
        <v>17</v>
      </c>
      <c r="B384" s="52" t="s">
        <v>57</v>
      </c>
      <c r="C384" s="52" t="s">
        <v>829</v>
      </c>
      <c r="D384" s="52" t="s">
        <v>830</v>
      </c>
      <c r="E384" s="52" t="s">
        <v>387</v>
      </c>
      <c r="F384" s="52" t="s">
        <v>1234</v>
      </c>
      <c r="G384" s="52" t="s">
        <v>60</v>
      </c>
      <c r="H384" s="54">
        <v>46054</v>
      </c>
      <c r="I384" s="52" t="s">
        <v>231</v>
      </c>
      <c r="J384" s="52" t="s">
        <v>1120</v>
      </c>
      <c r="K384" s="52" t="s">
        <v>1235</v>
      </c>
      <c r="L384" s="52" t="s">
        <v>1236</v>
      </c>
      <c r="M384" s="52" t="s">
        <v>29</v>
      </c>
      <c r="N384" s="53">
        <v>-1808.4</v>
      </c>
      <c r="O384" s="53">
        <v>-1808.4</v>
      </c>
      <c r="P384" s="52" t="s">
        <v>834</v>
      </c>
      <c r="Q384" s="52" t="s">
        <v>1237</v>
      </c>
      <c r="R384" s="55" t="s">
        <v>64</v>
      </c>
      <c r="S384" s="52" t="s">
        <v>1120</v>
      </c>
    </row>
    <row r="385" spans="1:19" outlineLevel="2" x14ac:dyDescent="0.45">
      <c r="A385" t="s">
        <v>17</v>
      </c>
      <c r="B385" s="52" t="s">
        <v>57</v>
      </c>
      <c r="C385" s="52" t="s">
        <v>656</v>
      </c>
      <c r="D385" s="52" t="s">
        <v>657</v>
      </c>
      <c r="E385" s="52" t="s">
        <v>387</v>
      </c>
      <c r="F385" s="52" t="s">
        <v>1238</v>
      </c>
      <c r="G385" s="52" t="s">
        <v>60</v>
      </c>
      <c r="H385" s="54">
        <v>46054</v>
      </c>
      <c r="I385" s="52" t="s">
        <v>231</v>
      </c>
      <c r="J385" s="52" t="s">
        <v>1095</v>
      </c>
      <c r="K385" s="52" t="s">
        <v>1239</v>
      </c>
      <c r="L385" s="52" t="s">
        <v>1239</v>
      </c>
      <c r="M385" s="52" t="s">
        <v>29</v>
      </c>
      <c r="N385" s="53">
        <v>-1680.37</v>
      </c>
      <c r="O385" s="53">
        <v>-1680.37</v>
      </c>
      <c r="P385" s="52" t="s">
        <v>1240</v>
      </c>
      <c r="Q385" s="52" t="s">
        <v>1098</v>
      </c>
      <c r="R385" s="55" t="s">
        <v>64</v>
      </c>
      <c r="S385" s="52" t="s">
        <v>1095</v>
      </c>
    </row>
    <row r="386" spans="1:19" outlineLevel="2" x14ac:dyDescent="0.45">
      <c r="A386" t="s">
        <v>17</v>
      </c>
      <c r="B386" s="52" t="s">
        <v>57</v>
      </c>
      <c r="C386" s="52" t="s">
        <v>805</v>
      </c>
      <c r="D386" s="52" t="s">
        <v>806</v>
      </c>
      <c r="E386" s="52" t="s">
        <v>387</v>
      </c>
      <c r="F386" s="52" t="s">
        <v>1241</v>
      </c>
      <c r="G386" s="52" t="s">
        <v>60</v>
      </c>
      <c r="H386" s="54">
        <v>46054</v>
      </c>
      <c r="I386" s="52" t="s">
        <v>231</v>
      </c>
      <c r="J386" s="52" t="s">
        <v>1018</v>
      </c>
      <c r="K386" s="52" t="s">
        <v>1242</v>
      </c>
      <c r="L386" s="52" t="s">
        <v>1242</v>
      </c>
      <c r="M386" s="52" t="s">
        <v>29</v>
      </c>
      <c r="N386" s="53">
        <v>-1652</v>
      </c>
      <c r="O386" s="53">
        <v>-1652</v>
      </c>
      <c r="P386" s="52" t="s">
        <v>1243</v>
      </c>
      <c r="Q386" s="52" t="s">
        <v>1244</v>
      </c>
      <c r="R386" s="55" t="s">
        <v>64</v>
      </c>
      <c r="S386" s="52" t="s">
        <v>1018</v>
      </c>
    </row>
    <row r="387" spans="1:19" outlineLevel="2" x14ac:dyDescent="0.45">
      <c r="A387" t="s">
        <v>17</v>
      </c>
      <c r="B387" s="52" t="s">
        <v>57</v>
      </c>
      <c r="C387" s="52" t="s">
        <v>1245</v>
      </c>
      <c r="D387" s="52" t="s">
        <v>1246</v>
      </c>
      <c r="E387" s="52" t="s">
        <v>387</v>
      </c>
      <c r="F387" s="52" t="s">
        <v>1247</v>
      </c>
      <c r="G387" s="52" t="s">
        <v>60</v>
      </c>
      <c r="H387" s="54">
        <v>46054</v>
      </c>
      <c r="I387" s="52" t="s">
        <v>231</v>
      </c>
      <c r="J387" s="52" t="s">
        <v>1010</v>
      </c>
      <c r="K387" s="52" t="s">
        <v>1248</v>
      </c>
      <c r="L387" s="52" t="s">
        <v>1248</v>
      </c>
      <c r="M387" s="52" t="s">
        <v>29</v>
      </c>
      <c r="N387" s="53">
        <v>-1500</v>
      </c>
      <c r="O387" s="53">
        <v>-1500</v>
      </c>
      <c r="P387" s="52" t="s">
        <v>1249</v>
      </c>
      <c r="Q387" s="52" t="s">
        <v>1250</v>
      </c>
      <c r="R387" s="55" t="s">
        <v>64</v>
      </c>
      <c r="S387" s="52" t="s">
        <v>1010</v>
      </c>
    </row>
    <row r="388" spans="1:19" outlineLevel="2" x14ac:dyDescent="0.45">
      <c r="A388" t="s">
        <v>17</v>
      </c>
      <c r="B388" s="52" t="s">
        <v>57</v>
      </c>
      <c r="C388" s="52" t="s">
        <v>630</v>
      </c>
      <c r="D388" s="52" t="s">
        <v>631</v>
      </c>
      <c r="E388" s="52" t="s">
        <v>387</v>
      </c>
      <c r="F388" s="52" t="s">
        <v>1251</v>
      </c>
      <c r="G388" s="52" t="s">
        <v>60</v>
      </c>
      <c r="H388" s="54">
        <v>46054</v>
      </c>
      <c r="I388" s="52" t="s">
        <v>231</v>
      </c>
      <c r="J388" s="52" t="s">
        <v>312</v>
      </c>
      <c r="K388" s="52" t="s">
        <v>1252</v>
      </c>
      <c r="L388" s="52" t="s">
        <v>1252</v>
      </c>
      <c r="M388" s="52" t="s">
        <v>29</v>
      </c>
      <c r="N388" s="53">
        <v>-1499</v>
      </c>
      <c r="O388" s="53">
        <v>-1499</v>
      </c>
      <c r="P388" s="52" t="s">
        <v>1253</v>
      </c>
      <c r="Q388" s="52" t="s">
        <v>1254</v>
      </c>
      <c r="R388" s="55" t="s">
        <v>64</v>
      </c>
      <c r="S388" s="52" t="s">
        <v>312</v>
      </c>
    </row>
    <row r="389" spans="1:19" outlineLevel="2" x14ac:dyDescent="0.45">
      <c r="A389" t="s">
        <v>17</v>
      </c>
      <c r="B389" s="52" t="s">
        <v>57</v>
      </c>
      <c r="C389" s="52" t="s">
        <v>682</v>
      </c>
      <c r="D389" s="52" t="s">
        <v>683</v>
      </c>
      <c r="E389" s="52" t="s">
        <v>387</v>
      </c>
      <c r="F389" s="52" t="s">
        <v>1255</v>
      </c>
      <c r="G389" s="52" t="s">
        <v>60</v>
      </c>
      <c r="H389" s="54">
        <v>46054</v>
      </c>
      <c r="I389" s="52" t="s">
        <v>231</v>
      </c>
      <c r="J389" s="52" t="s">
        <v>1057</v>
      </c>
      <c r="K389" s="52" t="s">
        <v>1256</v>
      </c>
      <c r="L389" s="52" t="s">
        <v>1256</v>
      </c>
      <c r="M389" s="52" t="s">
        <v>29</v>
      </c>
      <c r="N389" s="53">
        <v>-1439</v>
      </c>
      <c r="O389" s="53">
        <v>-1439</v>
      </c>
      <c r="P389" s="52" t="s">
        <v>1257</v>
      </c>
      <c r="Q389" s="52" t="s">
        <v>946</v>
      </c>
      <c r="R389" s="55" t="s">
        <v>64</v>
      </c>
      <c r="S389" s="52" t="s">
        <v>1057</v>
      </c>
    </row>
    <row r="390" spans="1:19" outlineLevel="2" x14ac:dyDescent="0.45">
      <c r="A390" t="s">
        <v>17</v>
      </c>
      <c r="B390" s="52" t="s">
        <v>57</v>
      </c>
      <c r="C390" s="52" t="s">
        <v>870</v>
      </c>
      <c r="D390" s="52" t="s">
        <v>871</v>
      </c>
      <c r="E390" s="52" t="s">
        <v>387</v>
      </c>
      <c r="F390" s="52" t="s">
        <v>1258</v>
      </c>
      <c r="G390" s="52" t="s">
        <v>60</v>
      </c>
      <c r="H390" s="54">
        <v>46054</v>
      </c>
      <c r="I390" s="52" t="s">
        <v>231</v>
      </c>
      <c r="J390" s="52" t="s">
        <v>241</v>
      </c>
      <c r="K390" s="52"/>
      <c r="L390" s="52"/>
      <c r="M390" s="52" t="s">
        <v>29</v>
      </c>
      <c r="N390" s="53">
        <v>-1314.5</v>
      </c>
      <c r="O390" s="53">
        <v>-1314.5</v>
      </c>
      <c r="P390" s="52" t="s">
        <v>1259</v>
      </c>
      <c r="Q390" s="52" t="s">
        <v>1259</v>
      </c>
      <c r="R390" s="55" t="s">
        <v>64</v>
      </c>
      <c r="S390" s="52" t="s">
        <v>241</v>
      </c>
    </row>
    <row r="391" spans="1:19" outlineLevel="2" x14ac:dyDescent="0.45">
      <c r="A391" t="s">
        <v>17</v>
      </c>
      <c r="B391" s="52" t="s">
        <v>57</v>
      </c>
      <c r="C391" s="52" t="s">
        <v>838</v>
      </c>
      <c r="D391" s="52" t="s">
        <v>839</v>
      </c>
      <c r="E391" s="52" t="s">
        <v>387</v>
      </c>
      <c r="F391" s="52" t="s">
        <v>1260</v>
      </c>
      <c r="G391" s="52" t="s">
        <v>60</v>
      </c>
      <c r="H391" s="54">
        <v>46054</v>
      </c>
      <c r="I391" s="52" t="s">
        <v>231</v>
      </c>
      <c r="J391" s="52" t="s">
        <v>1018</v>
      </c>
      <c r="K391" s="52" t="s">
        <v>1261</v>
      </c>
      <c r="L391" s="52" t="s">
        <v>1261</v>
      </c>
      <c r="M391" s="52" t="s">
        <v>29</v>
      </c>
      <c r="N391" s="53">
        <v>-1185.0899999999999</v>
      </c>
      <c r="O391" s="53">
        <v>-1185.0899999999999</v>
      </c>
      <c r="P391" s="52" t="s">
        <v>1262</v>
      </c>
      <c r="Q391" s="52" t="s">
        <v>1175</v>
      </c>
      <c r="R391" s="55" t="s">
        <v>64</v>
      </c>
      <c r="S391" s="52" t="s">
        <v>1018</v>
      </c>
    </row>
    <row r="392" spans="1:19" outlineLevel="2" x14ac:dyDescent="0.45">
      <c r="A392" t="s">
        <v>17</v>
      </c>
      <c r="B392" s="52" t="s">
        <v>57</v>
      </c>
      <c r="C392" s="52" t="s">
        <v>630</v>
      </c>
      <c r="D392" s="52" t="s">
        <v>631</v>
      </c>
      <c r="E392" s="52" t="s">
        <v>387</v>
      </c>
      <c r="F392" s="52" t="s">
        <v>1263</v>
      </c>
      <c r="G392" s="52" t="s">
        <v>60</v>
      </c>
      <c r="H392" s="54">
        <v>46054</v>
      </c>
      <c r="I392" s="52" t="s">
        <v>231</v>
      </c>
      <c r="J392" s="52" t="s">
        <v>1010</v>
      </c>
      <c r="K392" s="52" t="s">
        <v>1264</v>
      </c>
      <c r="L392" s="52" t="s">
        <v>1264</v>
      </c>
      <c r="M392" s="52" t="s">
        <v>29</v>
      </c>
      <c r="N392" s="53">
        <v>-939.5</v>
      </c>
      <c r="O392" s="53">
        <v>-939.5</v>
      </c>
      <c r="P392" s="52" t="s">
        <v>1265</v>
      </c>
      <c r="Q392" s="52" t="s">
        <v>1192</v>
      </c>
      <c r="R392" s="55" t="s">
        <v>64</v>
      </c>
      <c r="S392" s="52" t="s">
        <v>1010</v>
      </c>
    </row>
    <row r="393" spans="1:19" outlineLevel="2" x14ac:dyDescent="0.45">
      <c r="A393" t="s">
        <v>17</v>
      </c>
      <c r="B393" s="52" t="s">
        <v>57</v>
      </c>
      <c r="C393" s="52" t="s">
        <v>1266</v>
      </c>
      <c r="D393" s="52" t="s">
        <v>1267</v>
      </c>
      <c r="E393" s="52" t="s">
        <v>387</v>
      </c>
      <c r="F393" s="52" t="s">
        <v>1268</v>
      </c>
      <c r="G393" s="52" t="s">
        <v>60</v>
      </c>
      <c r="H393" s="54">
        <v>46054</v>
      </c>
      <c r="I393" s="52" t="s">
        <v>231</v>
      </c>
      <c r="J393" s="52" t="s">
        <v>1018</v>
      </c>
      <c r="K393" s="52" t="s">
        <v>1269</v>
      </c>
      <c r="L393" s="52" t="s">
        <v>1269</v>
      </c>
      <c r="M393" s="52" t="s">
        <v>29</v>
      </c>
      <c r="N393" s="53">
        <v>-853.62</v>
      </c>
      <c r="O393" s="53">
        <v>-853.62</v>
      </c>
      <c r="P393" s="52" t="s">
        <v>1270</v>
      </c>
      <c r="Q393" s="52" t="s">
        <v>1175</v>
      </c>
      <c r="R393" s="55" t="s">
        <v>64</v>
      </c>
      <c r="S393" s="52" t="s">
        <v>1018</v>
      </c>
    </row>
    <row r="394" spans="1:19" outlineLevel="2" x14ac:dyDescent="0.45">
      <c r="A394" t="s">
        <v>17</v>
      </c>
      <c r="B394" s="52" t="s">
        <v>57</v>
      </c>
      <c r="C394" s="52" t="s">
        <v>1266</v>
      </c>
      <c r="D394" s="52" t="s">
        <v>1267</v>
      </c>
      <c r="E394" s="52" t="s">
        <v>387</v>
      </c>
      <c r="F394" s="52" t="s">
        <v>1271</v>
      </c>
      <c r="G394" s="52" t="s">
        <v>60</v>
      </c>
      <c r="H394" s="54">
        <v>46054</v>
      </c>
      <c r="I394" s="52" t="s">
        <v>231</v>
      </c>
      <c r="J394" s="52" t="s">
        <v>241</v>
      </c>
      <c r="K394" s="52" t="s">
        <v>1272</v>
      </c>
      <c r="L394" s="52" t="s">
        <v>1272</v>
      </c>
      <c r="M394" s="52" t="s">
        <v>29</v>
      </c>
      <c r="N394" s="53">
        <v>-853.62</v>
      </c>
      <c r="O394" s="53">
        <v>-853.62</v>
      </c>
      <c r="P394" s="52" t="s">
        <v>1273</v>
      </c>
      <c r="Q394" s="52" t="s">
        <v>1274</v>
      </c>
      <c r="R394" s="55" t="s">
        <v>64</v>
      </c>
      <c r="S394" s="52" t="s">
        <v>241</v>
      </c>
    </row>
    <row r="395" spans="1:19" outlineLevel="2" x14ac:dyDescent="0.45">
      <c r="A395" t="s">
        <v>17</v>
      </c>
      <c r="B395" s="52" t="s">
        <v>57</v>
      </c>
      <c r="C395" s="52" t="s">
        <v>718</v>
      </c>
      <c r="D395" s="52" t="s">
        <v>719</v>
      </c>
      <c r="E395" s="52" t="s">
        <v>387</v>
      </c>
      <c r="F395" s="52" t="s">
        <v>1275</v>
      </c>
      <c r="G395" s="52" t="s">
        <v>60</v>
      </c>
      <c r="H395" s="54">
        <v>46054</v>
      </c>
      <c r="I395" s="52" t="s">
        <v>231</v>
      </c>
      <c r="J395" s="52" t="s">
        <v>1057</v>
      </c>
      <c r="K395" s="52" t="s">
        <v>1137</v>
      </c>
      <c r="L395" s="52" t="s">
        <v>1137</v>
      </c>
      <c r="M395" s="52" t="s">
        <v>29</v>
      </c>
      <c r="N395" s="53">
        <v>-833</v>
      </c>
      <c r="O395" s="53">
        <v>-833</v>
      </c>
      <c r="P395" s="52" t="s">
        <v>1138</v>
      </c>
      <c r="Q395" s="52" t="s">
        <v>946</v>
      </c>
      <c r="R395" s="55" t="s">
        <v>64</v>
      </c>
      <c r="S395" s="52" t="s">
        <v>1057</v>
      </c>
    </row>
    <row r="396" spans="1:19" outlineLevel="2" x14ac:dyDescent="0.45">
      <c r="A396" t="s">
        <v>17</v>
      </c>
      <c r="B396" s="52" t="s">
        <v>57</v>
      </c>
      <c r="C396" s="52"/>
      <c r="D396" s="52" t="s">
        <v>1276</v>
      </c>
      <c r="E396" s="52" t="s">
        <v>387</v>
      </c>
      <c r="F396" s="52" t="s">
        <v>1226</v>
      </c>
      <c r="G396" s="52" t="s">
        <v>60</v>
      </c>
      <c r="H396" s="54">
        <v>46054</v>
      </c>
      <c r="I396" s="52" t="s">
        <v>231</v>
      </c>
      <c r="J396" s="52" t="s">
        <v>1018</v>
      </c>
      <c r="K396" s="52"/>
      <c r="L396" s="52"/>
      <c r="M396" s="52" t="s">
        <v>29</v>
      </c>
      <c r="N396" s="53">
        <v>-793.76</v>
      </c>
      <c r="O396" s="53">
        <v>-793.76</v>
      </c>
      <c r="P396" s="52" t="s">
        <v>1227</v>
      </c>
      <c r="Q396" s="52" t="s">
        <v>1227</v>
      </c>
      <c r="R396" s="55" t="s">
        <v>64</v>
      </c>
      <c r="S396" s="52" t="s">
        <v>1018</v>
      </c>
    </row>
    <row r="397" spans="1:19" outlineLevel="2" x14ac:dyDescent="0.45">
      <c r="A397" t="s">
        <v>17</v>
      </c>
      <c r="B397" s="52" t="s">
        <v>57</v>
      </c>
      <c r="C397" s="52" t="s">
        <v>876</v>
      </c>
      <c r="D397" s="52" t="s">
        <v>877</v>
      </c>
      <c r="E397" s="52" t="s">
        <v>387</v>
      </c>
      <c r="F397" s="52" t="s">
        <v>1277</v>
      </c>
      <c r="G397" s="52" t="s">
        <v>60</v>
      </c>
      <c r="H397" s="54">
        <v>46054</v>
      </c>
      <c r="I397" s="52" t="s">
        <v>231</v>
      </c>
      <c r="J397" s="52" t="s">
        <v>1018</v>
      </c>
      <c r="K397" s="52" t="s">
        <v>1278</v>
      </c>
      <c r="L397" s="52" t="s">
        <v>1278</v>
      </c>
      <c r="M397" s="52" t="s">
        <v>29</v>
      </c>
      <c r="N397" s="53">
        <v>-629.85</v>
      </c>
      <c r="O397" s="53">
        <v>-629.85</v>
      </c>
      <c r="P397" s="52" t="s">
        <v>1279</v>
      </c>
      <c r="Q397" s="52" t="s">
        <v>1175</v>
      </c>
      <c r="R397" s="55" t="s">
        <v>64</v>
      </c>
      <c r="S397" s="52" t="s">
        <v>1018</v>
      </c>
    </row>
    <row r="398" spans="1:19" outlineLevel="2" x14ac:dyDescent="0.45">
      <c r="A398" t="s">
        <v>17</v>
      </c>
      <c r="B398" s="52" t="s">
        <v>57</v>
      </c>
      <c r="C398" s="52" t="s">
        <v>876</v>
      </c>
      <c r="D398" s="52" t="s">
        <v>877</v>
      </c>
      <c r="E398" s="52" t="s">
        <v>387</v>
      </c>
      <c r="F398" s="52" t="s">
        <v>1280</v>
      </c>
      <c r="G398" s="52" t="s">
        <v>60</v>
      </c>
      <c r="H398" s="54">
        <v>46054</v>
      </c>
      <c r="I398" s="52" t="s">
        <v>231</v>
      </c>
      <c r="J398" s="52" t="s">
        <v>241</v>
      </c>
      <c r="K398" s="52" t="s">
        <v>1281</v>
      </c>
      <c r="L398" s="52" t="s">
        <v>1281</v>
      </c>
      <c r="M398" s="52" t="s">
        <v>29</v>
      </c>
      <c r="N398" s="53">
        <v>-629.85</v>
      </c>
      <c r="O398" s="53">
        <v>-629.85</v>
      </c>
      <c r="P398" s="52" t="s">
        <v>1282</v>
      </c>
      <c r="Q398" s="52" t="s">
        <v>1283</v>
      </c>
      <c r="R398" s="55" t="s">
        <v>64</v>
      </c>
      <c r="S398" s="52" t="s">
        <v>241</v>
      </c>
    </row>
    <row r="399" spans="1:19" outlineLevel="2" x14ac:dyDescent="0.45">
      <c r="A399" t="s">
        <v>17</v>
      </c>
      <c r="B399" s="52" t="s">
        <v>57</v>
      </c>
      <c r="C399" s="52" t="s">
        <v>850</v>
      </c>
      <c r="D399" s="52" t="s">
        <v>851</v>
      </c>
      <c r="E399" s="52" t="s">
        <v>387</v>
      </c>
      <c r="F399" s="52" t="s">
        <v>1284</v>
      </c>
      <c r="G399" s="52" t="s">
        <v>60</v>
      </c>
      <c r="H399" s="54">
        <v>46054</v>
      </c>
      <c r="I399" s="52" t="s">
        <v>231</v>
      </c>
      <c r="J399" s="52" t="s">
        <v>246</v>
      </c>
      <c r="K399" s="52" t="s">
        <v>1285</v>
      </c>
      <c r="L399" s="52" t="s">
        <v>1285</v>
      </c>
      <c r="M399" s="52" t="s">
        <v>29</v>
      </c>
      <c r="N399" s="53">
        <v>-600</v>
      </c>
      <c r="O399" s="53">
        <v>-600</v>
      </c>
      <c r="P399" s="52" t="s">
        <v>1286</v>
      </c>
      <c r="Q399" s="52" t="s">
        <v>1287</v>
      </c>
      <c r="R399" s="55" t="s">
        <v>64</v>
      </c>
      <c r="S399" s="52" t="s">
        <v>246</v>
      </c>
    </row>
    <row r="400" spans="1:19" outlineLevel="2" x14ac:dyDescent="0.45">
      <c r="A400" t="s">
        <v>17</v>
      </c>
      <c r="B400" s="52" t="s">
        <v>57</v>
      </c>
      <c r="C400" s="52" t="s">
        <v>870</v>
      </c>
      <c r="D400" s="52" t="s">
        <v>871</v>
      </c>
      <c r="E400" s="52" t="s">
        <v>387</v>
      </c>
      <c r="F400" s="52" t="s">
        <v>1258</v>
      </c>
      <c r="G400" s="52" t="s">
        <v>60</v>
      </c>
      <c r="H400" s="54">
        <v>46054</v>
      </c>
      <c r="I400" s="52" t="s">
        <v>231</v>
      </c>
      <c r="J400" s="52" t="s">
        <v>241</v>
      </c>
      <c r="K400" s="52"/>
      <c r="L400" s="52"/>
      <c r="M400" s="52" t="s">
        <v>29</v>
      </c>
      <c r="N400" s="53">
        <v>-600</v>
      </c>
      <c r="O400" s="53">
        <v>-600</v>
      </c>
      <c r="P400" s="52" t="s">
        <v>1259</v>
      </c>
      <c r="Q400" s="52" t="s">
        <v>1259</v>
      </c>
      <c r="R400" s="55" t="s">
        <v>64</v>
      </c>
      <c r="S400" s="52" t="s">
        <v>241</v>
      </c>
    </row>
    <row r="401" spans="1:19" outlineLevel="2" x14ac:dyDescent="0.45">
      <c r="A401" t="s">
        <v>17</v>
      </c>
      <c r="B401" s="52" t="s">
        <v>57</v>
      </c>
      <c r="C401" s="52" t="s">
        <v>1288</v>
      </c>
      <c r="D401" s="52" t="s">
        <v>1289</v>
      </c>
      <c r="E401" s="52" t="s">
        <v>387</v>
      </c>
      <c r="F401" s="52" t="s">
        <v>1290</v>
      </c>
      <c r="G401" s="52" t="s">
        <v>60</v>
      </c>
      <c r="H401" s="54">
        <v>46054</v>
      </c>
      <c r="I401" s="52" t="s">
        <v>231</v>
      </c>
      <c r="J401" s="52" t="s">
        <v>241</v>
      </c>
      <c r="K401" s="52" t="s">
        <v>1291</v>
      </c>
      <c r="L401" s="52" t="s">
        <v>1291</v>
      </c>
      <c r="M401" s="52" t="s">
        <v>29</v>
      </c>
      <c r="N401" s="53">
        <v>-551.57000000000005</v>
      </c>
      <c r="O401" s="53">
        <v>-551.57000000000005</v>
      </c>
      <c r="P401" s="52" t="s">
        <v>1292</v>
      </c>
      <c r="Q401" s="52" t="s">
        <v>1293</v>
      </c>
      <c r="R401" s="55" t="s">
        <v>64</v>
      </c>
      <c r="S401" s="52" t="s">
        <v>241</v>
      </c>
    </row>
    <row r="402" spans="1:19" outlineLevel="2" x14ac:dyDescent="0.45">
      <c r="A402" t="s">
        <v>17</v>
      </c>
      <c r="B402" s="52" t="s">
        <v>57</v>
      </c>
      <c r="C402" s="52" t="s">
        <v>1288</v>
      </c>
      <c r="D402" s="52" t="s">
        <v>1289</v>
      </c>
      <c r="E402" s="52" t="s">
        <v>387</v>
      </c>
      <c r="F402" s="52" t="s">
        <v>1294</v>
      </c>
      <c r="G402" s="52" t="s">
        <v>60</v>
      </c>
      <c r="H402" s="54">
        <v>46054</v>
      </c>
      <c r="I402" s="52" t="s">
        <v>231</v>
      </c>
      <c r="J402" s="52" t="s">
        <v>241</v>
      </c>
      <c r="K402" s="52" t="s">
        <v>1291</v>
      </c>
      <c r="L402" s="52" t="s">
        <v>1291</v>
      </c>
      <c r="M402" s="52" t="s">
        <v>29</v>
      </c>
      <c r="N402" s="53">
        <v>-551.57000000000005</v>
      </c>
      <c r="O402" s="53">
        <v>-551.57000000000005</v>
      </c>
      <c r="P402" s="52" t="s">
        <v>1292</v>
      </c>
      <c r="Q402" s="52" t="s">
        <v>1293</v>
      </c>
      <c r="R402" s="55" t="s">
        <v>64</v>
      </c>
      <c r="S402" s="52" t="s">
        <v>241</v>
      </c>
    </row>
    <row r="403" spans="1:19" outlineLevel="2" x14ac:dyDescent="0.45">
      <c r="A403" t="s">
        <v>17</v>
      </c>
      <c r="B403" s="52" t="s">
        <v>57</v>
      </c>
      <c r="C403" s="52" t="s">
        <v>376</v>
      </c>
      <c r="D403" s="52" t="s">
        <v>377</v>
      </c>
      <c r="E403" s="52" t="s">
        <v>387</v>
      </c>
      <c r="F403" s="52" t="s">
        <v>1295</v>
      </c>
      <c r="G403" s="52" t="s">
        <v>60</v>
      </c>
      <c r="H403" s="54">
        <v>46054</v>
      </c>
      <c r="I403" s="52" t="s">
        <v>231</v>
      </c>
      <c r="J403" s="52" t="s">
        <v>241</v>
      </c>
      <c r="K403" s="52" t="s">
        <v>1296</v>
      </c>
      <c r="L403" s="52" t="s">
        <v>1296</v>
      </c>
      <c r="M403" s="52" t="s">
        <v>29</v>
      </c>
      <c r="N403" s="53">
        <v>-514.72</v>
      </c>
      <c r="O403" s="53">
        <v>-514.72</v>
      </c>
      <c r="P403" s="52" t="s">
        <v>1297</v>
      </c>
      <c r="Q403" s="52" t="s">
        <v>1184</v>
      </c>
      <c r="R403" s="55" t="s">
        <v>64</v>
      </c>
      <c r="S403" s="52" t="s">
        <v>241</v>
      </c>
    </row>
    <row r="404" spans="1:19" outlineLevel="2" x14ac:dyDescent="0.45">
      <c r="A404" t="s">
        <v>17</v>
      </c>
      <c r="B404" s="52" t="s">
        <v>57</v>
      </c>
      <c r="C404" s="52" t="s">
        <v>376</v>
      </c>
      <c r="D404" s="52" t="s">
        <v>377</v>
      </c>
      <c r="E404" s="52" t="s">
        <v>387</v>
      </c>
      <c r="F404" s="52" t="s">
        <v>1298</v>
      </c>
      <c r="G404" s="52" t="s">
        <v>60</v>
      </c>
      <c r="H404" s="54">
        <v>46054</v>
      </c>
      <c r="I404" s="52" t="s">
        <v>231</v>
      </c>
      <c r="J404" s="52" t="s">
        <v>241</v>
      </c>
      <c r="K404" s="52" t="s">
        <v>1296</v>
      </c>
      <c r="L404" s="52" t="s">
        <v>1296</v>
      </c>
      <c r="M404" s="52" t="s">
        <v>29</v>
      </c>
      <c r="N404" s="53">
        <v>-514.72</v>
      </c>
      <c r="O404" s="53">
        <v>-514.72</v>
      </c>
      <c r="P404" s="52" t="s">
        <v>1297</v>
      </c>
      <c r="Q404" s="52" t="s">
        <v>1299</v>
      </c>
      <c r="R404" s="55" t="s">
        <v>64</v>
      </c>
      <c r="S404" s="52" t="s">
        <v>241</v>
      </c>
    </row>
    <row r="405" spans="1:19" outlineLevel="2" x14ac:dyDescent="0.45">
      <c r="A405" t="s">
        <v>17</v>
      </c>
      <c r="B405" s="52" t="s">
        <v>57</v>
      </c>
      <c r="C405" s="52" t="s">
        <v>785</v>
      </c>
      <c r="D405" s="52" t="s">
        <v>786</v>
      </c>
      <c r="E405" s="52" t="s">
        <v>387</v>
      </c>
      <c r="F405" s="52" t="s">
        <v>1300</v>
      </c>
      <c r="G405" s="52" t="s">
        <v>60</v>
      </c>
      <c r="H405" s="54">
        <v>46054</v>
      </c>
      <c r="I405" s="52" t="s">
        <v>231</v>
      </c>
      <c r="J405" s="52" t="s">
        <v>1057</v>
      </c>
      <c r="K405" s="52" t="s">
        <v>1301</v>
      </c>
      <c r="L405" s="52" t="s">
        <v>1301</v>
      </c>
      <c r="M405" s="52" t="s">
        <v>29</v>
      </c>
      <c r="N405" s="53">
        <v>-439</v>
      </c>
      <c r="O405" s="53">
        <v>-439</v>
      </c>
      <c r="P405" s="52" t="s">
        <v>1302</v>
      </c>
      <c r="Q405" s="52" t="s">
        <v>946</v>
      </c>
      <c r="R405" s="55" t="s">
        <v>64</v>
      </c>
      <c r="S405" s="52" t="s">
        <v>1057</v>
      </c>
    </row>
    <row r="406" spans="1:19" outlineLevel="2" x14ac:dyDescent="0.45">
      <c r="A406" t="s">
        <v>17</v>
      </c>
      <c r="B406" s="52" t="s">
        <v>57</v>
      </c>
      <c r="C406" s="52" t="s">
        <v>752</v>
      </c>
      <c r="D406" s="52" t="s">
        <v>753</v>
      </c>
      <c r="E406" s="52" t="s">
        <v>387</v>
      </c>
      <c r="F406" s="52" t="s">
        <v>1303</v>
      </c>
      <c r="G406" s="52" t="s">
        <v>60</v>
      </c>
      <c r="H406" s="54">
        <v>46054</v>
      </c>
      <c r="I406" s="52" t="s">
        <v>231</v>
      </c>
      <c r="J406" s="52" t="s">
        <v>1057</v>
      </c>
      <c r="K406" s="52" t="s">
        <v>755</v>
      </c>
      <c r="L406" s="52" t="s">
        <v>755</v>
      </c>
      <c r="M406" s="52" t="s">
        <v>29</v>
      </c>
      <c r="N406" s="53">
        <v>-425</v>
      </c>
      <c r="O406" s="53">
        <v>-425</v>
      </c>
      <c r="P406" s="52" t="s">
        <v>756</v>
      </c>
      <c r="Q406" s="52" t="s">
        <v>946</v>
      </c>
      <c r="R406" s="55" t="s">
        <v>64</v>
      </c>
      <c r="S406" s="52" t="s">
        <v>1057</v>
      </c>
    </row>
    <row r="407" spans="1:19" outlineLevel="2" x14ac:dyDescent="0.45">
      <c r="A407" t="s">
        <v>17</v>
      </c>
      <c r="B407" s="52" t="s">
        <v>57</v>
      </c>
      <c r="C407" s="52" t="s">
        <v>1304</v>
      </c>
      <c r="D407" s="52" t="s">
        <v>1305</v>
      </c>
      <c r="E407" s="52" t="s">
        <v>387</v>
      </c>
      <c r="F407" s="52" t="s">
        <v>1306</v>
      </c>
      <c r="G407" s="52" t="s">
        <v>60</v>
      </c>
      <c r="H407" s="54">
        <v>46054</v>
      </c>
      <c r="I407" s="52" t="s">
        <v>231</v>
      </c>
      <c r="J407" s="52" t="s">
        <v>246</v>
      </c>
      <c r="K407" s="52" t="s">
        <v>1307</v>
      </c>
      <c r="L407" s="52" t="s">
        <v>1307</v>
      </c>
      <c r="M407" s="52" t="s">
        <v>29</v>
      </c>
      <c r="N407" s="53">
        <v>-409.9</v>
      </c>
      <c r="O407" s="53">
        <v>-409.9</v>
      </c>
      <c r="P407" s="52" t="s">
        <v>1308</v>
      </c>
      <c r="Q407" s="52" t="s">
        <v>1309</v>
      </c>
      <c r="R407" s="55" t="s">
        <v>64</v>
      </c>
      <c r="S407" s="52" t="s">
        <v>246</v>
      </c>
    </row>
    <row r="408" spans="1:19" outlineLevel="2" x14ac:dyDescent="0.45">
      <c r="A408" t="s">
        <v>17</v>
      </c>
      <c r="B408" s="52" t="s">
        <v>57</v>
      </c>
      <c r="C408" s="52" t="s">
        <v>785</v>
      </c>
      <c r="D408" s="52" t="s">
        <v>786</v>
      </c>
      <c r="E408" s="52" t="s">
        <v>387</v>
      </c>
      <c r="F408" s="52" t="s">
        <v>1310</v>
      </c>
      <c r="G408" s="52" t="s">
        <v>60</v>
      </c>
      <c r="H408" s="54">
        <v>46054</v>
      </c>
      <c r="I408" s="52" t="s">
        <v>231</v>
      </c>
      <c r="J408" s="52" t="s">
        <v>1057</v>
      </c>
      <c r="K408" s="52" t="s">
        <v>788</v>
      </c>
      <c r="L408" s="52" t="s">
        <v>788</v>
      </c>
      <c r="M408" s="52" t="s">
        <v>29</v>
      </c>
      <c r="N408" s="53">
        <v>-305</v>
      </c>
      <c r="O408" s="53">
        <v>-305</v>
      </c>
      <c r="P408" s="52" t="s">
        <v>789</v>
      </c>
      <c r="Q408" s="52" t="s">
        <v>946</v>
      </c>
      <c r="R408" s="55" t="s">
        <v>64</v>
      </c>
      <c r="S408" s="52" t="s">
        <v>1057</v>
      </c>
    </row>
    <row r="409" spans="1:19" outlineLevel="2" x14ac:dyDescent="0.45">
      <c r="A409" t="s">
        <v>17</v>
      </c>
      <c r="B409" s="52" t="s">
        <v>57</v>
      </c>
      <c r="C409" s="52" t="s">
        <v>785</v>
      </c>
      <c r="D409" s="52" t="s">
        <v>786</v>
      </c>
      <c r="E409" s="52" t="s">
        <v>387</v>
      </c>
      <c r="F409" s="52" t="s">
        <v>1311</v>
      </c>
      <c r="G409" s="52" t="s">
        <v>60</v>
      </c>
      <c r="H409" s="54">
        <v>46054</v>
      </c>
      <c r="I409" s="52" t="s">
        <v>231</v>
      </c>
      <c r="J409" s="52" t="s">
        <v>1057</v>
      </c>
      <c r="K409" s="52" t="s">
        <v>792</v>
      </c>
      <c r="L409" s="52" t="s">
        <v>792</v>
      </c>
      <c r="M409" s="52" t="s">
        <v>29</v>
      </c>
      <c r="N409" s="53">
        <v>-305</v>
      </c>
      <c r="O409" s="53">
        <v>-305</v>
      </c>
      <c r="P409" s="52" t="s">
        <v>793</v>
      </c>
      <c r="Q409" s="52" t="s">
        <v>946</v>
      </c>
      <c r="R409" s="55" t="s">
        <v>64</v>
      </c>
      <c r="S409" s="52" t="s">
        <v>1057</v>
      </c>
    </row>
    <row r="410" spans="1:19" outlineLevel="2" x14ac:dyDescent="0.45">
      <c r="A410" t="s">
        <v>17</v>
      </c>
      <c r="B410" s="52" t="s">
        <v>57</v>
      </c>
      <c r="C410" s="52" t="s">
        <v>774</v>
      </c>
      <c r="D410" s="52" t="s">
        <v>775</v>
      </c>
      <c r="E410" s="52" t="s">
        <v>387</v>
      </c>
      <c r="F410" s="52" t="s">
        <v>1226</v>
      </c>
      <c r="G410" s="52" t="s">
        <v>60</v>
      </c>
      <c r="H410" s="54">
        <v>46054</v>
      </c>
      <c r="I410" s="52" t="s">
        <v>231</v>
      </c>
      <c r="J410" s="52" t="s">
        <v>1018</v>
      </c>
      <c r="K410" s="52" t="s">
        <v>777</v>
      </c>
      <c r="L410" s="52" t="s">
        <v>777</v>
      </c>
      <c r="M410" s="52" t="s">
        <v>29</v>
      </c>
      <c r="N410" s="53">
        <v>-267.52999999999997</v>
      </c>
      <c r="O410" s="53">
        <v>-267.52999999999997</v>
      </c>
      <c r="P410" s="52" t="s">
        <v>778</v>
      </c>
      <c r="Q410" s="52" t="s">
        <v>1227</v>
      </c>
      <c r="R410" s="55" t="s">
        <v>64</v>
      </c>
      <c r="S410" s="52" t="s">
        <v>1018</v>
      </c>
    </row>
    <row r="411" spans="1:19" outlineLevel="2" x14ac:dyDescent="0.45">
      <c r="A411" t="s">
        <v>17</v>
      </c>
      <c r="B411" s="52" t="s">
        <v>66</v>
      </c>
      <c r="C411" s="52" t="s">
        <v>349</v>
      </c>
      <c r="D411" s="52" t="s">
        <v>350</v>
      </c>
      <c r="E411" s="52" t="s">
        <v>387</v>
      </c>
      <c r="F411" s="52" t="s">
        <v>1312</v>
      </c>
      <c r="G411" s="52" t="s">
        <v>60</v>
      </c>
      <c r="H411" s="54">
        <v>46054</v>
      </c>
      <c r="I411" s="52" t="s">
        <v>231</v>
      </c>
      <c r="J411" s="52" t="s">
        <v>451</v>
      </c>
      <c r="K411" s="52" t="s">
        <v>1313</v>
      </c>
      <c r="L411" s="52" t="s">
        <v>1313</v>
      </c>
      <c r="M411" s="52" t="s">
        <v>67</v>
      </c>
      <c r="N411" s="53">
        <v>-76</v>
      </c>
      <c r="O411" s="53">
        <v>-255.97</v>
      </c>
      <c r="P411" s="52" t="s">
        <v>1314</v>
      </c>
      <c r="Q411" s="52" t="s">
        <v>1007</v>
      </c>
      <c r="R411" s="55" t="s">
        <v>64</v>
      </c>
      <c r="S411" s="52" t="s">
        <v>451</v>
      </c>
    </row>
    <row r="412" spans="1:19" outlineLevel="2" x14ac:dyDescent="0.45">
      <c r="A412" t="s">
        <v>17</v>
      </c>
      <c r="B412" s="52" t="s">
        <v>57</v>
      </c>
      <c r="C412" s="52" t="s">
        <v>774</v>
      </c>
      <c r="D412" s="52" t="s">
        <v>775</v>
      </c>
      <c r="E412" s="52" t="s">
        <v>387</v>
      </c>
      <c r="F412" s="52" t="s">
        <v>1193</v>
      </c>
      <c r="G412" s="52" t="s">
        <v>60</v>
      </c>
      <c r="H412" s="54">
        <v>46054</v>
      </c>
      <c r="I412" s="52" t="s">
        <v>231</v>
      </c>
      <c r="J412" s="52" t="s">
        <v>1010</v>
      </c>
      <c r="K412" s="52" t="s">
        <v>777</v>
      </c>
      <c r="L412" s="52" t="s">
        <v>777</v>
      </c>
      <c r="M412" s="52" t="s">
        <v>29</v>
      </c>
      <c r="N412" s="53">
        <v>-231.62</v>
      </c>
      <c r="O412" s="53">
        <v>-231.62</v>
      </c>
      <c r="P412" s="52" t="s">
        <v>778</v>
      </c>
      <c r="Q412" s="52" t="s">
        <v>1194</v>
      </c>
      <c r="R412" s="55" t="s">
        <v>64</v>
      </c>
      <c r="S412" s="52" t="s">
        <v>1010</v>
      </c>
    </row>
    <row r="413" spans="1:19" outlineLevel="2" x14ac:dyDescent="0.45">
      <c r="A413" t="s">
        <v>17</v>
      </c>
      <c r="B413" s="52" t="s">
        <v>57</v>
      </c>
      <c r="C413" s="52" t="s">
        <v>376</v>
      </c>
      <c r="D413" s="52" t="s">
        <v>377</v>
      </c>
      <c r="E413" s="52" t="s">
        <v>387</v>
      </c>
      <c r="F413" s="52" t="s">
        <v>1315</v>
      </c>
      <c r="G413" s="52" t="s">
        <v>60</v>
      </c>
      <c r="H413" s="54">
        <v>46054</v>
      </c>
      <c r="I413" s="52" t="s">
        <v>231</v>
      </c>
      <c r="J413" s="52" t="s">
        <v>246</v>
      </c>
      <c r="K413" s="52" t="s">
        <v>1316</v>
      </c>
      <c r="L413" s="52" t="s">
        <v>1316</v>
      </c>
      <c r="M413" s="52" t="s">
        <v>29</v>
      </c>
      <c r="N413" s="53">
        <v>-188.23</v>
      </c>
      <c r="O413" s="53">
        <v>-188.23</v>
      </c>
      <c r="P413" s="52" t="s">
        <v>1317</v>
      </c>
      <c r="Q413" s="52" t="s">
        <v>1318</v>
      </c>
      <c r="R413" s="55" t="s">
        <v>64</v>
      </c>
      <c r="S413" s="52" t="s">
        <v>246</v>
      </c>
    </row>
    <row r="414" spans="1:19" outlineLevel="2" x14ac:dyDescent="0.45">
      <c r="A414" t="s">
        <v>17</v>
      </c>
      <c r="B414" s="52" t="s">
        <v>57</v>
      </c>
      <c r="C414" s="52" t="s">
        <v>838</v>
      </c>
      <c r="D414" s="52" t="s">
        <v>839</v>
      </c>
      <c r="E414" s="52" t="s">
        <v>387</v>
      </c>
      <c r="F414" s="52" t="s">
        <v>1319</v>
      </c>
      <c r="G414" s="52" t="s">
        <v>60</v>
      </c>
      <c r="H414" s="54">
        <v>46054</v>
      </c>
      <c r="I414" s="52" t="s">
        <v>231</v>
      </c>
      <c r="J414" s="52" t="s">
        <v>246</v>
      </c>
      <c r="K414" s="52" t="s">
        <v>1320</v>
      </c>
      <c r="L414" s="52" t="s">
        <v>1320</v>
      </c>
      <c r="M414" s="52" t="s">
        <v>29</v>
      </c>
      <c r="N414" s="53">
        <v>-119.98</v>
      </c>
      <c r="O414" s="53">
        <v>-119.98</v>
      </c>
      <c r="P414" s="52" t="s">
        <v>1321</v>
      </c>
      <c r="Q414" s="52" t="s">
        <v>1309</v>
      </c>
      <c r="R414" s="55" t="s">
        <v>64</v>
      </c>
      <c r="S414" s="52" t="s">
        <v>246</v>
      </c>
    </row>
    <row r="415" spans="1:19" outlineLevel="2" x14ac:dyDescent="0.45">
      <c r="A415" t="s">
        <v>17</v>
      </c>
      <c r="B415" s="52" t="s">
        <v>57</v>
      </c>
      <c r="C415" s="52" t="s">
        <v>1322</v>
      </c>
      <c r="D415" s="52" t="s">
        <v>1323</v>
      </c>
      <c r="E415" s="52" t="s">
        <v>387</v>
      </c>
      <c r="F415" s="52" t="s">
        <v>471</v>
      </c>
      <c r="G415" s="52" t="s">
        <v>60</v>
      </c>
      <c r="H415" s="54">
        <v>46054</v>
      </c>
      <c r="I415" s="52" t="s">
        <v>231</v>
      </c>
      <c r="J415" s="52" t="s">
        <v>241</v>
      </c>
      <c r="K415" s="52" t="s">
        <v>1324</v>
      </c>
      <c r="L415" s="52" t="s">
        <v>1324</v>
      </c>
      <c r="M415" s="52" t="s">
        <v>29</v>
      </c>
      <c r="N415" s="53">
        <v>-118.94</v>
      </c>
      <c r="O415" s="53">
        <v>-118.94</v>
      </c>
      <c r="P415" s="52" t="s">
        <v>1325</v>
      </c>
      <c r="Q415" s="52" t="s">
        <v>472</v>
      </c>
      <c r="R415" s="55" t="s">
        <v>64</v>
      </c>
      <c r="S415" s="52" t="s">
        <v>241</v>
      </c>
    </row>
    <row r="416" spans="1:19" outlineLevel="2" x14ac:dyDescent="0.45">
      <c r="A416" t="s">
        <v>17</v>
      </c>
      <c r="B416" s="52" t="s">
        <v>57</v>
      </c>
      <c r="C416" s="52" t="s">
        <v>870</v>
      </c>
      <c r="D416" s="52" t="s">
        <v>871</v>
      </c>
      <c r="E416" s="52" t="s">
        <v>387</v>
      </c>
      <c r="F416" s="52" t="s">
        <v>1258</v>
      </c>
      <c r="G416" s="52" t="s">
        <v>60</v>
      </c>
      <c r="H416" s="54">
        <v>46054</v>
      </c>
      <c r="I416" s="52" t="s">
        <v>231</v>
      </c>
      <c r="J416" s="52" t="s">
        <v>241</v>
      </c>
      <c r="K416" s="52"/>
      <c r="L416" s="52"/>
      <c r="M416" s="52" t="s">
        <v>29</v>
      </c>
      <c r="N416" s="53">
        <v>-108.4</v>
      </c>
      <c r="O416" s="53">
        <v>-108.4</v>
      </c>
      <c r="P416" s="52" t="s">
        <v>1259</v>
      </c>
      <c r="Q416" s="52" t="s">
        <v>1259</v>
      </c>
      <c r="R416" s="55" t="s">
        <v>64</v>
      </c>
      <c r="S416" s="52" t="s">
        <v>241</v>
      </c>
    </row>
    <row r="417" spans="1:19" outlineLevel="2" x14ac:dyDescent="0.45">
      <c r="A417" t="s">
        <v>17</v>
      </c>
      <c r="B417" s="52" t="s">
        <v>57</v>
      </c>
      <c r="C417" s="52" t="s">
        <v>349</v>
      </c>
      <c r="D417" s="52" t="s">
        <v>350</v>
      </c>
      <c r="E417" s="52" t="s">
        <v>387</v>
      </c>
      <c r="F417" s="52" t="s">
        <v>1326</v>
      </c>
      <c r="G417" s="52" t="s">
        <v>60</v>
      </c>
      <c r="H417" s="54">
        <v>46054</v>
      </c>
      <c r="I417" s="52" t="s">
        <v>231</v>
      </c>
      <c r="J417" s="52" t="s">
        <v>301</v>
      </c>
      <c r="K417" s="52" t="s">
        <v>1327</v>
      </c>
      <c r="L417" s="52" t="s">
        <v>1327</v>
      </c>
      <c r="M417" s="52" t="s">
        <v>29</v>
      </c>
      <c r="N417" s="53">
        <v>-101.65</v>
      </c>
      <c r="O417" s="53">
        <v>-101.65</v>
      </c>
      <c r="P417" s="52" t="s">
        <v>1328</v>
      </c>
      <c r="Q417" s="52" t="s">
        <v>1329</v>
      </c>
      <c r="R417" s="55" t="s">
        <v>64</v>
      </c>
      <c r="S417" s="52" t="s">
        <v>301</v>
      </c>
    </row>
    <row r="418" spans="1:19" outlineLevel="2" x14ac:dyDescent="0.45">
      <c r="A418" t="s">
        <v>17</v>
      </c>
      <c r="B418" s="52" t="s">
        <v>57</v>
      </c>
      <c r="C418" s="52" t="s">
        <v>1245</v>
      </c>
      <c r="D418" s="52" t="s">
        <v>1246</v>
      </c>
      <c r="E418" s="52" t="s">
        <v>387</v>
      </c>
      <c r="F418" s="52" t="s">
        <v>1247</v>
      </c>
      <c r="G418" s="52" t="s">
        <v>60</v>
      </c>
      <c r="H418" s="54">
        <v>46054</v>
      </c>
      <c r="I418" s="52" t="s">
        <v>231</v>
      </c>
      <c r="J418" s="52" t="s">
        <v>1010</v>
      </c>
      <c r="K418" s="52" t="s">
        <v>1330</v>
      </c>
      <c r="L418" s="52" t="s">
        <v>1330</v>
      </c>
      <c r="M418" s="52" t="s">
        <v>29</v>
      </c>
      <c r="N418" s="53">
        <v>-100</v>
      </c>
      <c r="O418" s="53">
        <v>-100</v>
      </c>
      <c r="P418" s="52" t="s">
        <v>1331</v>
      </c>
      <c r="Q418" s="52" t="s">
        <v>1250</v>
      </c>
      <c r="R418" s="55" t="s">
        <v>64</v>
      </c>
      <c r="S418" s="52" t="s">
        <v>1010</v>
      </c>
    </row>
    <row r="419" spans="1:19" outlineLevel="2" x14ac:dyDescent="0.45">
      <c r="A419" t="s">
        <v>17</v>
      </c>
      <c r="B419" s="52" t="s">
        <v>57</v>
      </c>
      <c r="C419" s="52" t="s">
        <v>1332</v>
      </c>
      <c r="D419" s="52" t="s">
        <v>1333</v>
      </c>
      <c r="E419" s="52" t="s">
        <v>387</v>
      </c>
      <c r="F419" s="52" t="s">
        <v>1334</v>
      </c>
      <c r="G419" s="52" t="s">
        <v>60</v>
      </c>
      <c r="H419" s="54">
        <v>46054</v>
      </c>
      <c r="I419" s="52" t="s">
        <v>231</v>
      </c>
      <c r="J419" s="52" t="s">
        <v>451</v>
      </c>
      <c r="K419" s="52" t="s">
        <v>1335</v>
      </c>
      <c r="L419" s="52" t="s">
        <v>1335</v>
      </c>
      <c r="M419" s="52" t="s">
        <v>29</v>
      </c>
      <c r="N419" s="61">
        <v>-10000</v>
      </c>
      <c r="O419" s="61">
        <v>-10000</v>
      </c>
      <c r="P419" s="60" t="s">
        <v>1336</v>
      </c>
      <c r="Q419" s="52" t="s">
        <v>1337</v>
      </c>
      <c r="R419" s="55" t="s">
        <v>64</v>
      </c>
      <c r="S419" s="52" t="s">
        <v>451</v>
      </c>
    </row>
    <row r="420" spans="1:19" s="70" customFormat="1" outlineLevel="2" x14ac:dyDescent="0.45">
      <c r="A420" s="70" t="s">
        <v>17</v>
      </c>
      <c r="B420" s="71" t="s">
        <v>66</v>
      </c>
      <c r="C420" s="71" t="s">
        <v>718</v>
      </c>
      <c r="D420" s="71" t="s">
        <v>719</v>
      </c>
      <c r="E420" s="71" t="s">
        <v>71</v>
      </c>
      <c r="F420" s="71" t="s">
        <v>1338</v>
      </c>
      <c r="G420" s="71" t="s">
        <v>73</v>
      </c>
      <c r="H420" s="72">
        <v>46054</v>
      </c>
      <c r="I420" s="71" t="s">
        <v>231</v>
      </c>
      <c r="J420" s="71" t="s">
        <v>1339</v>
      </c>
      <c r="K420" s="71" t="s">
        <v>1340</v>
      </c>
      <c r="L420" s="71" t="s">
        <v>1340</v>
      </c>
      <c r="M420" s="71" t="s">
        <v>67</v>
      </c>
      <c r="N420" s="73">
        <v>1817.2</v>
      </c>
      <c r="O420" s="73">
        <v>6096.71</v>
      </c>
      <c r="P420" s="71" t="s">
        <v>1341</v>
      </c>
      <c r="Q420" s="71" t="s">
        <v>1341</v>
      </c>
      <c r="R420" s="75" t="s">
        <v>64</v>
      </c>
      <c r="S420" s="71" t="s">
        <v>1339</v>
      </c>
    </row>
    <row r="421" spans="1:19" s="70" customFormat="1" outlineLevel="2" x14ac:dyDescent="0.45">
      <c r="A421" s="70" t="s">
        <v>17</v>
      </c>
      <c r="B421" s="71" t="s">
        <v>66</v>
      </c>
      <c r="C421" s="71" t="s">
        <v>718</v>
      </c>
      <c r="D421" s="71" t="s">
        <v>719</v>
      </c>
      <c r="E421" s="71" t="s">
        <v>387</v>
      </c>
      <c r="F421" s="71" t="s">
        <v>720</v>
      </c>
      <c r="G421" s="71" t="s">
        <v>60</v>
      </c>
      <c r="H421" s="72">
        <v>46023</v>
      </c>
      <c r="I421" s="71" t="s">
        <v>74</v>
      </c>
      <c r="J421" s="71" t="s">
        <v>210</v>
      </c>
      <c r="K421" s="71" t="s">
        <v>721</v>
      </c>
      <c r="L421" s="71" t="s">
        <v>721</v>
      </c>
      <c r="M421" s="71" t="s">
        <v>67</v>
      </c>
      <c r="N421" s="73">
        <v>-1817.2</v>
      </c>
      <c r="O421" s="73">
        <v>-6078.53</v>
      </c>
      <c r="P421" s="71" t="s">
        <v>722</v>
      </c>
      <c r="Q421" s="71" t="s">
        <v>668</v>
      </c>
      <c r="R421" s="75" t="s">
        <v>64</v>
      </c>
      <c r="S421" s="71" t="s">
        <v>210</v>
      </c>
    </row>
    <row r="422" spans="1:19" s="70" customFormat="1" outlineLevel="2" x14ac:dyDescent="0.45">
      <c r="A422" s="70" t="s">
        <v>17</v>
      </c>
      <c r="B422" s="71" t="s">
        <v>57</v>
      </c>
      <c r="C422" s="71" t="s">
        <v>1332</v>
      </c>
      <c r="D422" s="71" t="s">
        <v>1333</v>
      </c>
      <c r="E422" s="71" t="s">
        <v>71</v>
      </c>
      <c r="F422" s="71" t="s">
        <v>1342</v>
      </c>
      <c r="G422" s="71" t="s">
        <v>73</v>
      </c>
      <c r="H422" s="72">
        <v>46054</v>
      </c>
      <c r="I422" s="71" t="s">
        <v>231</v>
      </c>
      <c r="J422" s="71" t="s">
        <v>451</v>
      </c>
      <c r="K422" s="71" t="s">
        <v>1343</v>
      </c>
      <c r="L422" s="71" t="s">
        <v>1343</v>
      </c>
      <c r="M422" s="71" t="s">
        <v>29</v>
      </c>
      <c r="N422" s="73">
        <v>10000</v>
      </c>
      <c r="O422" s="73">
        <v>10000</v>
      </c>
      <c r="P422" s="71" t="s">
        <v>696</v>
      </c>
      <c r="Q422" s="71" t="s">
        <v>1344</v>
      </c>
      <c r="R422" s="75" t="s">
        <v>64</v>
      </c>
      <c r="S422" s="71" t="s">
        <v>451</v>
      </c>
    </row>
    <row r="423" spans="1:19" outlineLevel="2" x14ac:dyDescent="0.45">
      <c r="A423" t="s">
        <v>17</v>
      </c>
      <c r="B423" s="52" t="s">
        <v>57</v>
      </c>
      <c r="C423" s="52" t="s">
        <v>376</v>
      </c>
      <c r="D423" s="52" t="s">
        <v>377</v>
      </c>
      <c r="E423" s="52" t="s">
        <v>387</v>
      </c>
      <c r="F423" s="52" t="s">
        <v>1345</v>
      </c>
      <c r="G423" s="52" t="s">
        <v>60</v>
      </c>
      <c r="H423" s="54">
        <v>46082</v>
      </c>
      <c r="I423" s="52" t="s">
        <v>271</v>
      </c>
      <c r="J423" s="52" t="s">
        <v>276</v>
      </c>
      <c r="K423" s="52" t="s">
        <v>1346</v>
      </c>
      <c r="L423" s="52" t="s">
        <v>1346</v>
      </c>
      <c r="M423" s="52" t="s">
        <v>29</v>
      </c>
      <c r="N423" s="53">
        <v>-108167</v>
      </c>
      <c r="O423" s="53">
        <v>-108167</v>
      </c>
      <c r="P423" s="52" t="s">
        <v>1347</v>
      </c>
      <c r="Q423" s="52" t="s">
        <v>1348</v>
      </c>
      <c r="R423" s="55" t="s">
        <v>64</v>
      </c>
      <c r="S423" s="52" t="s">
        <v>276</v>
      </c>
    </row>
    <row r="424" spans="1:19" outlineLevel="2" x14ac:dyDescent="0.45">
      <c r="A424" t="s">
        <v>17</v>
      </c>
      <c r="B424" s="52" t="s">
        <v>57</v>
      </c>
      <c r="C424" s="52" t="s">
        <v>376</v>
      </c>
      <c r="D424" s="52" t="s">
        <v>377</v>
      </c>
      <c r="E424" s="52" t="s">
        <v>387</v>
      </c>
      <c r="F424" s="52" t="s">
        <v>1349</v>
      </c>
      <c r="G424" s="52" t="s">
        <v>60</v>
      </c>
      <c r="H424" s="54">
        <v>46082</v>
      </c>
      <c r="I424" s="52" t="s">
        <v>271</v>
      </c>
      <c r="J424" s="52" t="s">
        <v>276</v>
      </c>
      <c r="K424" s="52" t="s">
        <v>1346</v>
      </c>
      <c r="L424" s="52" t="s">
        <v>1346</v>
      </c>
      <c r="M424" s="52" t="s">
        <v>29</v>
      </c>
      <c r="N424" s="53">
        <v>-107309</v>
      </c>
      <c r="O424" s="53">
        <v>-107309</v>
      </c>
      <c r="P424" s="52" t="s">
        <v>1347</v>
      </c>
      <c r="Q424" s="52" t="s">
        <v>1350</v>
      </c>
      <c r="R424" s="55" t="s">
        <v>64</v>
      </c>
      <c r="S424" s="52" t="s">
        <v>276</v>
      </c>
    </row>
    <row r="425" spans="1:19" outlineLevel="2" x14ac:dyDescent="0.45">
      <c r="A425" t="s">
        <v>17</v>
      </c>
      <c r="B425" s="52" t="s">
        <v>57</v>
      </c>
      <c r="C425" s="52" t="s">
        <v>376</v>
      </c>
      <c r="D425" s="52" t="s">
        <v>377</v>
      </c>
      <c r="E425" s="52" t="s">
        <v>387</v>
      </c>
      <c r="F425" s="52" t="s">
        <v>1351</v>
      </c>
      <c r="G425" s="52" t="s">
        <v>60</v>
      </c>
      <c r="H425" s="54">
        <v>46082</v>
      </c>
      <c r="I425" s="52" t="s">
        <v>271</v>
      </c>
      <c r="J425" s="52" t="s">
        <v>276</v>
      </c>
      <c r="K425" s="52" t="s">
        <v>1346</v>
      </c>
      <c r="L425" s="52" t="s">
        <v>1346</v>
      </c>
      <c r="M425" s="52" t="s">
        <v>29</v>
      </c>
      <c r="N425" s="53">
        <v>-106451</v>
      </c>
      <c r="O425" s="53">
        <v>-106451</v>
      </c>
      <c r="P425" s="52" t="s">
        <v>1347</v>
      </c>
      <c r="Q425" s="52" t="s">
        <v>1352</v>
      </c>
      <c r="R425" s="55" t="s">
        <v>64</v>
      </c>
      <c r="S425" s="52" t="s">
        <v>276</v>
      </c>
    </row>
    <row r="426" spans="1:19" outlineLevel="2" x14ac:dyDescent="0.45">
      <c r="A426" t="s">
        <v>17</v>
      </c>
      <c r="B426" s="52" t="s">
        <v>57</v>
      </c>
      <c r="C426" s="52"/>
      <c r="D426" s="52" t="s">
        <v>610</v>
      </c>
      <c r="E426" s="52" t="s">
        <v>387</v>
      </c>
      <c r="F426" s="52" t="s">
        <v>1353</v>
      </c>
      <c r="G426" s="52" t="s">
        <v>60</v>
      </c>
      <c r="H426" s="54">
        <v>46082</v>
      </c>
      <c r="I426" s="52" t="s">
        <v>271</v>
      </c>
      <c r="J426" s="52" t="s">
        <v>526</v>
      </c>
      <c r="K426" s="52" t="s">
        <v>1354</v>
      </c>
      <c r="L426" s="52" t="s">
        <v>1354</v>
      </c>
      <c r="M426" s="52" t="s">
        <v>29</v>
      </c>
      <c r="N426" s="53">
        <v>-40000</v>
      </c>
      <c r="O426" s="53">
        <v>-40000</v>
      </c>
      <c r="P426" s="52" t="s">
        <v>1355</v>
      </c>
      <c r="Q426" s="52" t="s">
        <v>1356</v>
      </c>
      <c r="R426" s="55" t="s">
        <v>64</v>
      </c>
      <c r="S426" s="52" t="s">
        <v>526</v>
      </c>
    </row>
    <row r="427" spans="1:19" outlineLevel="2" x14ac:dyDescent="0.45">
      <c r="A427" t="s">
        <v>17</v>
      </c>
      <c r="B427" s="52" t="s">
        <v>57</v>
      </c>
      <c r="C427" s="52" t="s">
        <v>1099</v>
      </c>
      <c r="D427" s="52" t="s">
        <v>1100</v>
      </c>
      <c r="E427" s="52" t="s">
        <v>387</v>
      </c>
      <c r="F427" s="52" t="s">
        <v>1357</v>
      </c>
      <c r="G427" s="52" t="s">
        <v>60</v>
      </c>
      <c r="H427" s="54">
        <v>46082</v>
      </c>
      <c r="I427" s="52" t="s">
        <v>271</v>
      </c>
      <c r="J427" s="52" t="s">
        <v>319</v>
      </c>
      <c r="K427" s="52" t="s">
        <v>1358</v>
      </c>
      <c r="L427" s="52" t="s">
        <v>1358</v>
      </c>
      <c r="M427" s="52" t="s">
        <v>29</v>
      </c>
      <c r="N427" s="53">
        <v>-29250</v>
      </c>
      <c r="O427" s="53">
        <v>-29250</v>
      </c>
      <c r="P427" s="52" t="s">
        <v>1359</v>
      </c>
      <c r="Q427" s="52" t="s">
        <v>1360</v>
      </c>
      <c r="R427" s="55" t="s">
        <v>64</v>
      </c>
      <c r="S427" s="52" t="s">
        <v>319</v>
      </c>
    </row>
    <row r="428" spans="1:19" outlineLevel="2" x14ac:dyDescent="0.45">
      <c r="A428" t="s">
        <v>17</v>
      </c>
      <c r="B428" s="52" t="s">
        <v>57</v>
      </c>
      <c r="C428" s="52" t="s">
        <v>376</v>
      </c>
      <c r="D428" s="52" t="s">
        <v>377</v>
      </c>
      <c r="E428" s="52" t="s">
        <v>387</v>
      </c>
      <c r="F428" s="52" t="s">
        <v>1361</v>
      </c>
      <c r="G428" s="52" t="s">
        <v>60</v>
      </c>
      <c r="H428" s="54">
        <v>46082</v>
      </c>
      <c r="I428" s="52" t="s">
        <v>271</v>
      </c>
      <c r="J428" s="52" t="s">
        <v>314</v>
      </c>
      <c r="K428" s="52" t="s">
        <v>1362</v>
      </c>
      <c r="L428" s="52" t="s">
        <v>1362</v>
      </c>
      <c r="M428" s="52" t="s">
        <v>29</v>
      </c>
      <c r="N428" s="53">
        <v>-27652.11</v>
      </c>
      <c r="O428" s="53">
        <v>-27652.11</v>
      </c>
      <c r="P428" s="52" t="s">
        <v>1363</v>
      </c>
      <c r="Q428" s="52" t="s">
        <v>1364</v>
      </c>
      <c r="R428" s="55" t="s">
        <v>64</v>
      </c>
      <c r="S428" s="52" t="s">
        <v>314</v>
      </c>
    </row>
    <row r="429" spans="1:19" outlineLevel="2" x14ac:dyDescent="0.45">
      <c r="A429" t="s">
        <v>17</v>
      </c>
      <c r="B429" s="52" t="s">
        <v>66</v>
      </c>
      <c r="C429" s="52" t="s">
        <v>1365</v>
      </c>
      <c r="D429" s="52" t="s">
        <v>1366</v>
      </c>
      <c r="E429" s="52" t="s">
        <v>387</v>
      </c>
      <c r="F429" s="52" t="s">
        <v>1367</v>
      </c>
      <c r="G429" s="52" t="s">
        <v>60</v>
      </c>
      <c r="H429" s="54">
        <v>46082</v>
      </c>
      <c r="I429" s="52" t="s">
        <v>271</v>
      </c>
      <c r="J429" s="52" t="s">
        <v>1368</v>
      </c>
      <c r="K429" s="52" t="s">
        <v>1369</v>
      </c>
      <c r="L429" s="52" t="s">
        <v>1369</v>
      </c>
      <c r="M429" s="52" t="s">
        <v>67</v>
      </c>
      <c r="N429" s="53">
        <v>-7788</v>
      </c>
      <c r="O429" s="53">
        <v>-26611.599999999999</v>
      </c>
      <c r="P429" s="52" t="s">
        <v>1370</v>
      </c>
      <c r="Q429" s="52" t="s">
        <v>1371</v>
      </c>
      <c r="R429" s="55" t="s">
        <v>64</v>
      </c>
      <c r="S429" s="52" t="s">
        <v>1368</v>
      </c>
    </row>
    <row r="430" spans="1:19" outlineLevel="2" x14ac:dyDescent="0.45">
      <c r="A430" t="s">
        <v>17</v>
      </c>
      <c r="B430" s="52" t="s">
        <v>57</v>
      </c>
      <c r="C430" s="52" t="s">
        <v>376</v>
      </c>
      <c r="D430" s="52" t="s">
        <v>377</v>
      </c>
      <c r="E430" s="52" t="s">
        <v>387</v>
      </c>
      <c r="F430" s="52" t="s">
        <v>1372</v>
      </c>
      <c r="G430" s="52" t="s">
        <v>60</v>
      </c>
      <c r="H430" s="54">
        <v>46082</v>
      </c>
      <c r="I430" s="52" t="s">
        <v>271</v>
      </c>
      <c r="J430" s="52" t="s">
        <v>526</v>
      </c>
      <c r="K430" s="52" t="s">
        <v>1373</v>
      </c>
      <c r="L430" s="52" t="s">
        <v>1373</v>
      </c>
      <c r="M430" s="52" t="s">
        <v>29</v>
      </c>
      <c r="N430" s="53">
        <v>-25000</v>
      </c>
      <c r="O430" s="53">
        <v>-25000</v>
      </c>
      <c r="P430" s="52" t="s">
        <v>1374</v>
      </c>
      <c r="Q430" s="52" t="s">
        <v>1375</v>
      </c>
      <c r="R430" s="55" t="s">
        <v>64</v>
      </c>
      <c r="S430" s="52" t="s">
        <v>526</v>
      </c>
    </row>
    <row r="431" spans="1:19" outlineLevel="2" x14ac:dyDescent="0.45">
      <c r="A431" t="s">
        <v>17</v>
      </c>
      <c r="B431" s="52" t="s">
        <v>57</v>
      </c>
      <c r="C431" s="52" t="s">
        <v>376</v>
      </c>
      <c r="D431" s="52" t="s">
        <v>377</v>
      </c>
      <c r="E431" s="52" t="s">
        <v>387</v>
      </c>
      <c r="F431" s="52" t="s">
        <v>1033</v>
      </c>
      <c r="G431" s="52" t="s">
        <v>60</v>
      </c>
      <c r="H431" s="54">
        <v>46082</v>
      </c>
      <c r="I431" s="52" t="s">
        <v>271</v>
      </c>
      <c r="J431" s="52" t="s">
        <v>526</v>
      </c>
      <c r="K431" s="52" t="s">
        <v>1373</v>
      </c>
      <c r="L431" s="52" t="s">
        <v>1373</v>
      </c>
      <c r="M431" s="52" t="s">
        <v>29</v>
      </c>
      <c r="N431" s="53">
        <v>-25000</v>
      </c>
      <c r="O431" s="53">
        <v>-25000</v>
      </c>
      <c r="P431" s="52" t="s">
        <v>1374</v>
      </c>
      <c r="Q431" s="52" t="s">
        <v>1376</v>
      </c>
      <c r="R431" s="55" t="s">
        <v>64</v>
      </c>
      <c r="S431" s="52" t="s">
        <v>526</v>
      </c>
    </row>
    <row r="432" spans="1:19" outlineLevel="2" x14ac:dyDescent="0.45">
      <c r="A432" t="s">
        <v>17</v>
      </c>
      <c r="B432" s="52" t="s">
        <v>57</v>
      </c>
      <c r="C432" s="52" t="s">
        <v>376</v>
      </c>
      <c r="D432" s="52" t="s">
        <v>377</v>
      </c>
      <c r="E432" s="52" t="s">
        <v>387</v>
      </c>
      <c r="F432" s="52" t="s">
        <v>1377</v>
      </c>
      <c r="G432" s="52" t="s">
        <v>60</v>
      </c>
      <c r="H432" s="54">
        <v>46082</v>
      </c>
      <c r="I432" s="52" t="s">
        <v>271</v>
      </c>
      <c r="J432" s="52" t="s">
        <v>314</v>
      </c>
      <c r="K432" s="52" t="s">
        <v>1378</v>
      </c>
      <c r="L432" s="52" t="s">
        <v>1378</v>
      </c>
      <c r="M432" s="52" t="s">
        <v>29</v>
      </c>
      <c r="N432" s="53">
        <v>-25000</v>
      </c>
      <c r="O432" s="53">
        <v>-25000</v>
      </c>
      <c r="P432" s="52" t="s">
        <v>1379</v>
      </c>
      <c r="Q432" s="52" t="s">
        <v>1380</v>
      </c>
      <c r="R432" s="55" t="s">
        <v>64</v>
      </c>
      <c r="S432" s="52" t="s">
        <v>314</v>
      </c>
    </row>
    <row r="433" spans="1:19" outlineLevel="2" x14ac:dyDescent="0.45">
      <c r="A433" t="s">
        <v>17</v>
      </c>
      <c r="B433" s="52" t="s">
        <v>57</v>
      </c>
      <c r="C433" s="52" t="s">
        <v>376</v>
      </c>
      <c r="D433" s="52" t="s">
        <v>377</v>
      </c>
      <c r="E433" s="52" t="s">
        <v>387</v>
      </c>
      <c r="F433" s="52" t="s">
        <v>1381</v>
      </c>
      <c r="G433" s="52" t="s">
        <v>60</v>
      </c>
      <c r="H433" s="54">
        <v>46082</v>
      </c>
      <c r="I433" s="52" t="s">
        <v>271</v>
      </c>
      <c r="J433" s="52" t="s">
        <v>314</v>
      </c>
      <c r="K433" s="52" t="s">
        <v>1378</v>
      </c>
      <c r="L433" s="52" t="s">
        <v>1378</v>
      </c>
      <c r="M433" s="52" t="s">
        <v>29</v>
      </c>
      <c r="N433" s="53">
        <v>-23993.21</v>
      </c>
      <c r="O433" s="53">
        <v>-23993.21</v>
      </c>
      <c r="P433" s="52" t="s">
        <v>1379</v>
      </c>
      <c r="Q433" s="52" t="s">
        <v>1380</v>
      </c>
      <c r="R433" s="55" t="s">
        <v>64</v>
      </c>
      <c r="S433" s="52" t="s">
        <v>314</v>
      </c>
    </row>
    <row r="434" spans="1:19" outlineLevel="2" x14ac:dyDescent="0.45">
      <c r="A434" t="s">
        <v>17</v>
      </c>
      <c r="B434" s="52" t="s">
        <v>57</v>
      </c>
      <c r="C434" s="52" t="s">
        <v>376</v>
      </c>
      <c r="D434" s="52" t="s">
        <v>377</v>
      </c>
      <c r="E434" s="52" t="s">
        <v>387</v>
      </c>
      <c r="F434" s="52" t="s">
        <v>1312</v>
      </c>
      <c r="G434" s="52" t="s">
        <v>60</v>
      </c>
      <c r="H434" s="54">
        <v>46082</v>
      </c>
      <c r="I434" s="52" t="s">
        <v>271</v>
      </c>
      <c r="J434" s="52" t="s">
        <v>526</v>
      </c>
      <c r="K434" s="52" t="s">
        <v>1373</v>
      </c>
      <c r="L434" s="52" t="s">
        <v>1373</v>
      </c>
      <c r="M434" s="52" t="s">
        <v>29</v>
      </c>
      <c r="N434" s="53">
        <v>-23343.75</v>
      </c>
      <c r="O434" s="53">
        <v>-23343.75</v>
      </c>
      <c r="P434" s="52" t="s">
        <v>1374</v>
      </c>
      <c r="Q434" s="52" t="s">
        <v>1382</v>
      </c>
      <c r="R434" s="55" t="s">
        <v>64</v>
      </c>
      <c r="S434" s="52" t="s">
        <v>526</v>
      </c>
    </row>
    <row r="435" spans="1:19" outlineLevel="2" x14ac:dyDescent="0.45">
      <c r="A435" t="s">
        <v>17</v>
      </c>
      <c r="B435" s="52" t="s">
        <v>57</v>
      </c>
      <c r="C435" s="52" t="s">
        <v>376</v>
      </c>
      <c r="D435" s="52" t="s">
        <v>377</v>
      </c>
      <c r="E435" s="52" t="s">
        <v>387</v>
      </c>
      <c r="F435" s="52" t="s">
        <v>1036</v>
      </c>
      <c r="G435" s="52" t="s">
        <v>60</v>
      </c>
      <c r="H435" s="54">
        <v>46082</v>
      </c>
      <c r="I435" s="52" t="s">
        <v>271</v>
      </c>
      <c r="J435" s="52" t="s">
        <v>526</v>
      </c>
      <c r="K435" s="52" t="s">
        <v>1373</v>
      </c>
      <c r="L435" s="52" t="s">
        <v>1373</v>
      </c>
      <c r="M435" s="52" t="s">
        <v>29</v>
      </c>
      <c r="N435" s="53">
        <v>-20000.71</v>
      </c>
      <c r="O435" s="53">
        <v>-20000.71</v>
      </c>
      <c r="P435" s="52" t="s">
        <v>1374</v>
      </c>
      <c r="Q435" s="52" t="s">
        <v>1375</v>
      </c>
      <c r="R435" s="55" t="s">
        <v>64</v>
      </c>
      <c r="S435" s="52" t="s">
        <v>526</v>
      </c>
    </row>
    <row r="436" spans="1:19" outlineLevel="2" x14ac:dyDescent="0.45">
      <c r="A436" t="s">
        <v>17</v>
      </c>
      <c r="B436" s="52" t="s">
        <v>57</v>
      </c>
      <c r="C436" s="52" t="s">
        <v>376</v>
      </c>
      <c r="D436" s="52" t="s">
        <v>377</v>
      </c>
      <c r="E436" s="52" t="s">
        <v>387</v>
      </c>
      <c r="F436" s="52" t="s">
        <v>990</v>
      </c>
      <c r="G436" s="52" t="s">
        <v>60</v>
      </c>
      <c r="H436" s="54">
        <v>46082</v>
      </c>
      <c r="I436" s="52" t="s">
        <v>271</v>
      </c>
      <c r="J436" s="52" t="s">
        <v>519</v>
      </c>
      <c r="K436" s="52" t="s">
        <v>1383</v>
      </c>
      <c r="L436" s="52" t="s">
        <v>1383</v>
      </c>
      <c r="M436" s="52" t="s">
        <v>29</v>
      </c>
      <c r="N436" s="53">
        <v>-20000</v>
      </c>
      <c r="O436" s="53">
        <v>-20000</v>
      </c>
      <c r="P436" s="52" t="s">
        <v>1384</v>
      </c>
      <c r="Q436" s="52" t="s">
        <v>1385</v>
      </c>
      <c r="R436" s="55" t="s">
        <v>64</v>
      </c>
      <c r="S436" s="52" t="s">
        <v>519</v>
      </c>
    </row>
    <row r="437" spans="1:19" outlineLevel="2" x14ac:dyDescent="0.45">
      <c r="A437" t="s">
        <v>17</v>
      </c>
      <c r="B437" s="52" t="s">
        <v>57</v>
      </c>
      <c r="C437" s="52" t="s">
        <v>376</v>
      </c>
      <c r="D437" s="52" t="s">
        <v>377</v>
      </c>
      <c r="E437" s="52" t="s">
        <v>387</v>
      </c>
      <c r="F437" s="52" t="s">
        <v>362</v>
      </c>
      <c r="G437" s="52" t="s">
        <v>60</v>
      </c>
      <c r="H437" s="54">
        <v>46082</v>
      </c>
      <c r="I437" s="52" t="s">
        <v>271</v>
      </c>
      <c r="J437" s="52" t="s">
        <v>526</v>
      </c>
      <c r="K437" s="52" t="s">
        <v>1386</v>
      </c>
      <c r="L437" s="52" t="s">
        <v>1386</v>
      </c>
      <c r="M437" s="52" t="s">
        <v>29</v>
      </c>
      <c r="N437" s="53">
        <v>-20000</v>
      </c>
      <c r="O437" s="53">
        <v>-20000</v>
      </c>
      <c r="P437" s="52" t="s">
        <v>1387</v>
      </c>
      <c r="Q437" s="52" t="s">
        <v>1388</v>
      </c>
      <c r="R437" s="55" t="s">
        <v>64</v>
      </c>
      <c r="S437" s="52" t="s">
        <v>526</v>
      </c>
    </row>
    <row r="438" spans="1:19" outlineLevel="2" x14ac:dyDescent="0.45">
      <c r="A438" t="s">
        <v>17</v>
      </c>
      <c r="B438" s="52" t="s">
        <v>57</v>
      </c>
      <c r="C438" s="52" t="s">
        <v>376</v>
      </c>
      <c r="D438" s="52" t="s">
        <v>377</v>
      </c>
      <c r="E438" s="52" t="s">
        <v>387</v>
      </c>
      <c r="F438" s="52" t="s">
        <v>1389</v>
      </c>
      <c r="G438" s="52" t="s">
        <v>60</v>
      </c>
      <c r="H438" s="54">
        <v>46082</v>
      </c>
      <c r="I438" s="52" t="s">
        <v>271</v>
      </c>
      <c r="J438" s="52" t="s">
        <v>526</v>
      </c>
      <c r="K438" s="52" t="s">
        <v>1386</v>
      </c>
      <c r="L438" s="52" t="s">
        <v>1386</v>
      </c>
      <c r="M438" s="52" t="s">
        <v>29</v>
      </c>
      <c r="N438" s="53">
        <v>-20000</v>
      </c>
      <c r="O438" s="53">
        <v>-20000</v>
      </c>
      <c r="P438" s="52" t="s">
        <v>1387</v>
      </c>
      <c r="Q438" s="52" t="s">
        <v>1390</v>
      </c>
      <c r="R438" s="55" t="s">
        <v>64</v>
      </c>
      <c r="S438" s="52" t="s">
        <v>526</v>
      </c>
    </row>
    <row r="439" spans="1:19" outlineLevel="2" x14ac:dyDescent="0.45">
      <c r="A439" t="s">
        <v>17</v>
      </c>
      <c r="B439" s="52" t="s">
        <v>57</v>
      </c>
      <c r="C439" s="52" t="s">
        <v>376</v>
      </c>
      <c r="D439" s="52" t="s">
        <v>377</v>
      </c>
      <c r="E439" s="52" t="s">
        <v>387</v>
      </c>
      <c r="F439" s="52" t="s">
        <v>1391</v>
      </c>
      <c r="G439" s="52" t="s">
        <v>60</v>
      </c>
      <c r="H439" s="54">
        <v>46082</v>
      </c>
      <c r="I439" s="52" t="s">
        <v>271</v>
      </c>
      <c r="J439" s="52" t="s">
        <v>526</v>
      </c>
      <c r="K439" s="52" t="s">
        <v>1392</v>
      </c>
      <c r="L439" s="52" t="s">
        <v>1392</v>
      </c>
      <c r="M439" s="52" t="s">
        <v>29</v>
      </c>
      <c r="N439" s="53">
        <v>-20000</v>
      </c>
      <c r="O439" s="53">
        <v>-20000</v>
      </c>
      <c r="P439" s="52" t="s">
        <v>1393</v>
      </c>
      <c r="Q439" s="52" t="s">
        <v>1394</v>
      </c>
      <c r="R439" s="55" t="s">
        <v>64</v>
      </c>
      <c r="S439" s="52" t="s">
        <v>526</v>
      </c>
    </row>
    <row r="440" spans="1:19" outlineLevel="2" x14ac:dyDescent="0.45">
      <c r="A440" t="s">
        <v>17</v>
      </c>
      <c r="B440" s="52" t="s">
        <v>57</v>
      </c>
      <c r="C440" s="52" t="s">
        <v>376</v>
      </c>
      <c r="D440" s="52" t="s">
        <v>377</v>
      </c>
      <c r="E440" s="52" t="s">
        <v>387</v>
      </c>
      <c r="F440" s="52" t="s">
        <v>1395</v>
      </c>
      <c r="G440" s="52" t="s">
        <v>60</v>
      </c>
      <c r="H440" s="54">
        <v>46082</v>
      </c>
      <c r="I440" s="52" t="s">
        <v>271</v>
      </c>
      <c r="J440" s="52" t="s">
        <v>314</v>
      </c>
      <c r="K440" s="52" t="s">
        <v>1396</v>
      </c>
      <c r="L440" s="52" t="s">
        <v>1396</v>
      </c>
      <c r="M440" s="52" t="s">
        <v>29</v>
      </c>
      <c r="N440" s="53">
        <v>-20000</v>
      </c>
      <c r="O440" s="53">
        <v>-20000</v>
      </c>
      <c r="P440" s="52" t="s">
        <v>1379</v>
      </c>
      <c r="Q440" s="52" t="s">
        <v>1397</v>
      </c>
      <c r="R440" s="55" t="s">
        <v>64</v>
      </c>
      <c r="S440" s="52" t="s">
        <v>314</v>
      </c>
    </row>
    <row r="441" spans="1:19" outlineLevel="2" x14ac:dyDescent="0.45">
      <c r="A441" t="s">
        <v>17</v>
      </c>
      <c r="B441" s="52" t="s">
        <v>57</v>
      </c>
      <c r="C441" s="52" t="s">
        <v>376</v>
      </c>
      <c r="D441" s="52" t="s">
        <v>377</v>
      </c>
      <c r="E441" s="52" t="s">
        <v>387</v>
      </c>
      <c r="F441" s="52" t="s">
        <v>1398</v>
      </c>
      <c r="G441" s="52" t="s">
        <v>60</v>
      </c>
      <c r="H441" s="54">
        <v>46082</v>
      </c>
      <c r="I441" s="52" t="s">
        <v>271</v>
      </c>
      <c r="J441" s="52" t="s">
        <v>314</v>
      </c>
      <c r="K441" s="52" t="s">
        <v>1378</v>
      </c>
      <c r="L441" s="52" t="s">
        <v>1378</v>
      </c>
      <c r="M441" s="52" t="s">
        <v>29</v>
      </c>
      <c r="N441" s="53">
        <v>-20000</v>
      </c>
      <c r="O441" s="53">
        <v>-20000</v>
      </c>
      <c r="P441" s="52" t="s">
        <v>1379</v>
      </c>
      <c r="Q441" s="52" t="s">
        <v>1380</v>
      </c>
      <c r="R441" s="55" t="s">
        <v>64</v>
      </c>
      <c r="S441" s="52" t="s">
        <v>314</v>
      </c>
    </row>
    <row r="442" spans="1:19" outlineLevel="2" x14ac:dyDescent="0.45">
      <c r="A442" t="s">
        <v>17</v>
      </c>
      <c r="B442" s="52" t="s">
        <v>57</v>
      </c>
      <c r="C442" s="52" t="s">
        <v>376</v>
      </c>
      <c r="D442" s="52" t="s">
        <v>377</v>
      </c>
      <c r="E442" s="52" t="s">
        <v>387</v>
      </c>
      <c r="F442" s="52" t="s">
        <v>1399</v>
      </c>
      <c r="G442" s="52" t="s">
        <v>60</v>
      </c>
      <c r="H442" s="54">
        <v>46082</v>
      </c>
      <c r="I442" s="52" t="s">
        <v>271</v>
      </c>
      <c r="J442" s="52" t="s">
        <v>314</v>
      </c>
      <c r="K442" s="52" t="s">
        <v>1378</v>
      </c>
      <c r="L442" s="52" t="s">
        <v>1378</v>
      </c>
      <c r="M442" s="52" t="s">
        <v>29</v>
      </c>
      <c r="N442" s="53">
        <v>-20000</v>
      </c>
      <c r="O442" s="53">
        <v>-20000</v>
      </c>
      <c r="P442" s="52" t="s">
        <v>1379</v>
      </c>
      <c r="Q442" s="52" t="s">
        <v>1380</v>
      </c>
      <c r="R442" s="55" t="s">
        <v>64</v>
      </c>
      <c r="S442" s="52" t="s">
        <v>314</v>
      </c>
    </row>
    <row r="443" spans="1:19" outlineLevel="2" x14ac:dyDescent="0.45">
      <c r="A443" t="s">
        <v>17</v>
      </c>
      <c r="B443" s="52" t="s">
        <v>57</v>
      </c>
      <c r="C443" s="52" t="s">
        <v>376</v>
      </c>
      <c r="D443" s="52" t="s">
        <v>377</v>
      </c>
      <c r="E443" s="52" t="s">
        <v>387</v>
      </c>
      <c r="F443" s="52" t="s">
        <v>1400</v>
      </c>
      <c r="G443" s="52" t="s">
        <v>60</v>
      </c>
      <c r="H443" s="54">
        <v>46082</v>
      </c>
      <c r="I443" s="52" t="s">
        <v>271</v>
      </c>
      <c r="J443" s="52" t="s">
        <v>314</v>
      </c>
      <c r="K443" s="52" t="s">
        <v>1378</v>
      </c>
      <c r="L443" s="52" t="s">
        <v>1378</v>
      </c>
      <c r="M443" s="52" t="s">
        <v>29</v>
      </c>
      <c r="N443" s="53">
        <v>-20000</v>
      </c>
      <c r="O443" s="53">
        <v>-20000</v>
      </c>
      <c r="P443" s="52" t="s">
        <v>1379</v>
      </c>
      <c r="Q443" s="52" t="s">
        <v>1380</v>
      </c>
      <c r="R443" s="55" t="s">
        <v>64</v>
      </c>
      <c r="S443" s="52" t="s">
        <v>314</v>
      </c>
    </row>
    <row r="444" spans="1:19" outlineLevel="2" x14ac:dyDescent="0.45">
      <c r="A444" t="s">
        <v>17</v>
      </c>
      <c r="B444" s="52" t="s">
        <v>57</v>
      </c>
      <c r="C444" s="52" t="s">
        <v>656</v>
      </c>
      <c r="D444" s="52" t="s">
        <v>657</v>
      </c>
      <c r="E444" s="52" t="s">
        <v>387</v>
      </c>
      <c r="F444" s="52" t="s">
        <v>486</v>
      </c>
      <c r="G444" s="52" t="s">
        <v>60</v>
      </c>
      <c r="H444" s="54">
        <v>46082</v>
      </c>
      <c r="I444" s="52" t="s">
        <v>271</v>
      </c>
      <c r="J444" s="52" t="s">
        <v>319</v>
      </c>
      <c r="K444" s="52" t="s">
        <v>1401</v>
      </c>
      <c r="L444" s="52" t="s">
        <v>1401</v>
      </c>
      <c r="M444" s="52" t="s">
        <v>29</v>
      </c>
      <c r="N444" s="53">
        <v>-18952</v>
      </c>
      <c r="O444" s="53">
        <v>-18952</v>
      </c>
      <c r="P444" s="52" t="s">
        <v>1402</v>
      </c>
      <c r="Q444" s="52" t="s">
        <v>1403</v>
      </c>
      <c r="R444" s="55" t="s">
        <v>64</v>
      </c>
      <c r="S444" s="52" t="s">
        <v>319</v>
      </c>
    </row>
    <row r="445" spans="1:19" outlineLevel="2" x14ac:dyDescent="0.45">
      <c r="A445" t="s">
        <v>17</v>
      </c>
      <c r="B445" s="52" t="s">
        <v>57</v>
      </c>
      <c r="C445" s="52" t="s">
        <v>376</v>
      </c>
      <c r="D445" s="52" t="s">
        <v>377</v>
      </c>
      <c r="E445" s="52" t="s">
        <v>387</v>
      </c>
      <c r="F445" s="52" t="s">
        <v>1404</v>
      </c>
      <c r="G445" s="52" t="s">
        <v>60</v>
      </c>
      <c r="H445" s="54">
        <v>46082</v>
      </c>
      <c r="I445" s="52" t="s">
        <v>271</v>
      </c>
      <c r="J445" s="52" t="s">
        <v>526</v>
      </c>
      <c r="K445" s="52" t="s">
        <v>1386</v>
      </c>
      <c r="L445" s="52" t="s">
        <v>1386</v>
      </c>
      <c r="M445" s="52" t="s">
        <v>29</v>
      </c>
      <c r="N445" s="53">
        <v>-17000</v>
      </c>
      <c r="O445" s="53">
        <v>-17000</v>
      </c>
      <c r="P445" s="52" t="s">
        <v>1387</v>
      </c>
      <c r="Q445" s="52" t="s">
        <v>1405</v>
      </c>
      <c r="R445" s="55" t="s">
        <v>64</v>
      </c>
      <c r="S445" s="52" t="s">
        <v>526</v>
      </c>
    </row>
    <row r="446" spans="1:19" outlineLevel="2" x14ac:dyDescent="0.45">
      <c r="A446" t="s">
        <v>17</v>
      </c>
      <c r="B446" s="52" t="s">
        <v>57</v>
      </c>
      <c r="C446" s="52" t="s">
        <v>376</v>
      </c>
      <c r="D446" s="52" t="s">
        <v>377</v>
      </c>
      <c r="E446" s="52" t="s">
        <v>387</v>
      </c>
      <c r="F446" s="52" t="s">
        <v>1406</v>
      </c>
      <c r="G446" s="52" t="s">
        <v>60</v>
      </c>
      <c r="H446" s="54">
        <v>46082</v>
      </c>
      <c r="I446" s="52" t="s">
        <v>271</v>
      </c>
      <c r="J446" s="52" t="s">
        <v>314</v>
      </c>
      <c r="K446" s="52" t="s">
        <v>1378</v>
      </c>
      <c r="L446" s="52" t="s">
        <v>1378</v>
      </c>
      <c r="M446" s="52" t="s">
        <v>29</v>
      </c>
      <c r="N446" s="53">
        <v>-17000</v>
      </c>
      <c r="O446" s="53">
        <v>-17000</v>
      </c>
      <c r="P446" s="52" t="s">
        <v>1379</v>
      </c>
      <c r="Q446" s="52" t="s">
        <v>1380</v>
      </c>
      <c r="R446" s="55" t="s">
        <v>64</v>
      </c>
      <c r="S446" s="52" t="s">
        <v>314</v>
      </c>
    </row>
    <row r="447" spans="1:19" outlineLevel="2" x14ac:dyDescent="0.45">
      <c r="A447" t="s">
        <v>17</v>
      </c>
      <c r="B447" s="52" t="s">
        <v>57</v>
      </c>
      <c r="C447" s="52" t="s">
        <v>376</v>
      </c>
      <c r="D447" s="52" t="s">
        <v>377</v>
      </c>
      <c r="E447" s="52" t="s">
        <v>387</v>
      </c>
      <c r="F447" s="52" t="s">
        <v>1078</v>
      </c>
      <c r="G447" s="52" t="s">
        <v>60</v>
      </c>
      <c r="H447" s="54">
        <v>46082</v>
      </c>
      <c r="I447" s="52" t="s">
        <v>271</v>
      </c>
      <c r="J447" s="52" t="s">
        <v>526</v>
      </c>
      <c r="K447" s="52" t="s">
        <v>1407</v>
      </c>
      <c r="L447" s="52" t="s">
        <v>1407</v>
      </c>
      <c r="M447" s="52" t="s">
        <v>29</v>
      </c>
      <c r="N447" s="53">
        <v>-14747</v>
      </c>
      <c r="O447" s="53">
        <v>-14747</v>
      </c>
      <c r="P447" s="52" t="s">
        <v>1393</v>
      </c>
      <c r="Q447" s="52" t="s">
        <v>1408</v>
      </c>
      <c r="R447" s="55" t="s">
        <v>64</v>
      </c>
      <c r="S447" s="52" t="s">
        <v>526</v>
      </c>
    </row>
    <row r="448" spans="1:19" outlineLevel="2" x14ac:dyDescent="0.45">
      <c r="A448" t="s">
        <v>17</v>
      </c>
      <c r="B448" s="52" t="s">
        <v>57</v>
      </c>
      <c r="C448" s="52" t="s">
        <v>376</v>
      </c>
      <c r="D448" s="52" t="s">
        <v>377</v>
      </c>
      <c r="E448" s="52" t="s">
        <v>387</v>
      </c>
      <c r="F448" s="52" t="s">
        <v>1409</v>
      </c>
      <c r="G448" s="52" t="s">
        <v>60</v>
      </c>
      <c r="H448" s="54">
        <v>46082</v>
      </c>
      <c r="I448" s="52" t="s">
        <v>271</v>
      </c>
      <c r="J448" s="52" t="s">
        <v>1368</v>
      </c>
      <c r="K448" s="52" t="s">
        <v>1410</v>
      </c>
      <c r="L448" s="52" t="s">
        <v>1410</v>
      </c>
      <c r="M448" s="52" t="s">
        <v>29</v>
      </c>
      <c r="N448" s="53">
        <v>-14747</v>
      </c>
      <c r="O448" s="53">
        <v>-14747</v>
      </c>
      <c r="P448" s="52" t="s">
        <v>1347</v>
      </c>
      <c r="Q448" s="52" t="s">
        <v>1411</v>
      </c>
      <c r="R448" s="55" t="s">
        <v>64</v>
      </c>
      <c r="S448" s="52" t="s">
        <v>1368</v>
      </c>
    </row>
    <row r="449" spans="1:19" outlineLevel="2" x14ac:dyDescent="0.45">
      <c r="A449" t="s">
        <v>17</v>
      </c>
      <c r="B449" s="52" t="s">
        <v>57</v>
      </c>
      <c r="C449" s="52" t="s">
        <v>376</v>
      </c>
      <c r="D449" s="52" t="s">
        <v>377</v>
      </c>
      <c r="E449" s="52" t="s">
        <v>387</v>
      </c>
      <c r="F449" s="52" t="s">
        <v>1412</v>
      </c>
      <c r="G449" s="52" t="s">
        <v>60</v>
      </c>
      <c r="H449" s="54">
        <v>46082</v>
      </c>
      <c r="I449" s="52" t="s">
        <v>271</v>
      </c>
      <c r="J449" s="52" t="s">
        <v>298</v>
      </c>
      <c r="K449" s="52" t="s">
        <v>1413</v>
      </c>
      <c r="L449" s="52" t="s">
        <v>1413</v>
      </c>
      <c r="M449" s="52" t="s">
        <v>29</v>
      </c>
      <c r="N449" s="53">
        <v>-14310</v>
      </c>
      <c r="O449" s="53">
        <v>-14310</v>
      </c>
      <c r="P449" s="52" t="s">
        <v>1414</v>
      </c>
      <c r="Q449" s="52" t="s">
        <v>1415</v>
      </c>
      <c r="R449" s="55" t="s">
        <v>64</v>
      </c>
      <c r="S449" s="52" t="s">
        <v>298</v>
      </c>
    </row>
    <row r="450" spans="1:19" outlineLevel="2" x14ac:dyDescent="0.45">
      <c r="A450" t="s">
        <v>17</v>
      </c>
      <c r="B450" s="52" t="s">
        <v>57</v>
      </c>
      <c r="C450" s="52" t="s">
        <v>630</v>
      </c>
      <c r="D450" s="52" t="s">
        <v>631</v>
      </c>
      <c r="E450" s="52" t="s">
        <v>387</v>
      </c>
      <c r="F450" s="52" t="s">
        <v>1416</v>
      </c>
      <c r="G450" s="52" t="s">
        <v>60</v>
      </c>
      <c r="H450" s="54">
        <v>46082</v>
      </c>
      <c r="I450" s="52" t="s">
        <v>271</v>
      </c>
      <c r="J450" s="52" t="s">
        <v>314</v>
      </c>
      <c r="K450" s="52" t="s">
        <v>1417</v>
      </c>
      <c r="L450" s="52" t="s">
        <v>1417</v>
      </c>
      <c r="M450" s="52" t="s">
        <v>29</v>
      </c>
      <c r="N450" s="53">
        <v>-13431</v>
      </c>
      <c r="O450" s="53">
        <v>-13431</v>
      </c>
      <c r="P450" s="52" t="s">
        <v>1418</v>
      </c>
      <c r="Q450" s="52" t="s">
        <v>1419</v>
      </c>
      <c r="R450" s="55" t="s">
        <v>64</v>
      </c>
      <c r="S450" s="52" t="s">
        <v>314</v>
      </c>
    </row>
    <row r="451" spans="1:19" outlineLevel="2" x14ac:dyDescent="0.45">
      <c r="A451" t="s">
        <v>17</v>
      </c>
      <c r="B451" s="52" t="s">
        <v>57</v>
      </c>
      <c r="C451" s="52" t="s">
        <v>1420</v>
      </c>
      <c r="D451" s="52" t="s">
        <v>1421</v>
      </c>
      <c r="E451" s="52" t="s">
        <v>387</v>
      </c>
      <c r="F451" s="52" t="s">
        <v>1422</v>
      </c>
      <c r="G451" s="52" t="s">
        <v>60</v>
      </c>
      <c r="H451" s="54">
        <v>46082</v>
      </c>
      <c r="I451" s="52" t="s">
        <v>271</v>
      </c>
      <c r="J451" s="52" t="s">
        <v>314</v>
      </c>
      <c r="K451" s="52" t="s">
        <v>1423</v>
      </c>
      <c r="L451" s="52" t="s">
        <v>1423</v>
      </c>
      <c r="M451" s="52" t="s">
        <v>29</v>
      </c>
      <c r="N451" s="53">
        <v>-13134.9</v>
      </c>
      <c r="O451" s="53">
        <v>-13134.9</v>
      </c>
      <c r="P451" s="52" t="s">
        <v>1424</v>
      </c>
      <c r="Q451" s="52" t="s">
        <v>1425</v>
      </c>
      <c r="R451" s="55" t="s">
        <v>64</v>
      </c>
      <c r="S451" s="52" t="s">
        <v>314</v>
      </c>
    </row>
    <row r="452" spans="1:19" outlineLevel="2" x14ac:dyDescent="0.45">
      <c r="A452" t="s">
        <v>17</v>
      </c>
      <c r="B452" s="52" t="s">
        <v>66</v>
      </c>
      <c r="C452" s="52"/>
      <c r="D452" s="52" t="s">
        <v>610</v>
      </c>
      <c r="E452" s="52" t="s">
        <v>387</v>
      </c>
      <c r="F452" s="52" t="s">
        <v>1426</v>
      </c>
      <c r="G452" s="52" t="s">
        <v>60</v>
      </c>
      <c r="H452" s="54">
        <v>46082</v>
      </c>
      <c r="I452" s="52" t="s">
        <v>271</v>
      </c>
      <c r="J452" s="52" t="s">
        <v>323</v>
      </c>
      <c r="K452" s="52" t="s">
        <v>1427</v>
      </c>
      <c r="L452" s="52" t="s">
        <v>1427</v>
      </c>
      <c r="M452" s="52" t="s">
        <v>67</v>
      </c>
      <c r="N452" s="53">
        <v>-3540</v>
      </c>
      <c r="O452" s="53">
        <v>-12131.58</v>
      </c>
      <c r="P452" s="52" t="s">
        <v>1428</v>
      </c>
      <c r="Q452" s="52" t="s">
        <v>1429</v>
      </c>
      <c r="R452" s="55" t="s">
        <v>64</v>
      </c>
      <c r="S452" s="52" t="s">
        <v>323</v>
      </c>
    </row>
    <row r="453" spans="1:19" outlineLevel="2" x14ac:dyDescent="0.45">
      <c r="A453" t="s">
        <v>17</v>
      </c>
      <c r="B453" s="52" t="s">
        <v>57</v>
      </c>
      <c r="C453" s="52" t="s">
        <v>376</v>
      </c>
      <c r="D453" s="52" t="s">
        <v>377</v>
      </c>
      <c r="E453" s="52" t="s">
        <v>387</v>
      </c>
      <c r="F453" s="52" t="s">
        <v>1430</v>
      </c>
      <c r="G453" s="52" t="s">
        <v>60</v>
      </c>
      <c r="H453" s="54">
        <v>46082</v>
      </c>
      <c r="I453" s="52" t="s">
        <v>271</v>
      </c>
      <c r="J453" s="52" t="s">
        <v>314</v>
      </c>
      <c r="K453" s="52" t="s">
        <v>1362</v>
      </c>
      <c r="L453" s="52" t="s">
        <v>1362</v>
      </c>
      <c r="M453" s="52" t="s">
        <v>29</v>
      </c>
      <c r="N453" s="53">
        <v>-11110.63</v>
      </c>
      <c r="O453" s="53">
        <v>-11110.63</v>
      </c>
      <c r="P453" s="52" t="s">
        <v>1363</v>
      </c>
      <c r="Q453" s="52" t="s">
        <v>1364</v>
      </c>
      <c r="R453" s="55" t="s">
        <v>64</v>
      </c>
      <c r="S453" s="52" t="s">
        <v>314</v>
      </c>
    </row>
    <row r="454" spans="1:19" outlineLevel="2" x14ac:dyDescent="0.45">
      <c r="A454" t="s">
        <v>17</v>
      </c>
      <c r="B454" s="52" t="s">
        <v>66</v>
      </c>
      <c r="C454" s="52" t="s">
        <v>682</v>
      </c>
      <c r="D454" s="52" t="s">
        <v>683</v>
      </c>
      <c r="E454" s="52" t="s">
        <v>387</v>
      </c>
      <c r="F454" s="52" t="s">
        <v>1431</v>
      </c>
      <c r="G454" s="52" t="s">
        <v>60</v>
      </c>
      <c r="H454" s="54">
        <v>46082</v>
      </c>
      <c r="I454" s="52" t="s">
        <v>271</v>
      </c>
      <c r="J454" s="52" t="s">
        <v>272</v>
      </c>
      <c r="K454" s="52" t="s">
        <v>1432</v>
      </c>
      <c r="L454" s="52" t="s">
        <v>1432</v>
      </c>
      <c r="M454" s="52" t="s">
        <v>67</v>
      </c>
      <c r="N454" s="53">
        <v>-3115.2</v>
      </c>
      <c r="O454" s="53">
        <v>-10837.78</v>
      </c>
      <c r="P454" s="52" t="s">
        <v>1433</v>
      </c>
      <c r="Q454" s="52" t="s">
        <v>1434</v>
      </c>
      <c r="R454" s="55" t="s">
        <v>64</v>
      </c>
      <c r="S454" s="52" t="s">
        <v>272</v>
      </c>
    </row>
    <row r="455" spans="1:19" outlineLevel="2" x14ac:dyDescent="0.45">
      <c r="A455" t="s">
        <v>17</v>
      </c>
      <c r="B455" s="52" t="s">
        <v>66</v>
      </c>
      <c r="C455" s="52" t="s">
        <v>682</v>
      </c>
      <c r="D455" s="52" t="s">
        <v>683</v>
      </c>
      <c r="E455" s="52" t="s">
        <v>387</v>
      </c>
      <c r="F455" s="52" t="s">
        <v>1435</v>
      </c>
      <c r="G455" s="52" t="s">
        <v>60</v>
      </c>
      <c r="H455" s="54">
        <v>46082</v>
      </c>
      <c r="I455" s="52" t="s">
        <v>271</v>
      </c>
      <c r="J455" s="52" t="s">
        <v>519</v>
      </c>
      <c r="K455" s="52" t="s">
        <v>822</v>
      </c>
      <c r="L455" s="52" t="s">
        <v>822</v>
      </c>
      <c r="M455" s="52" t="s">
        <v>67</v>
      </c>
      <c r="N455" s="53">
        <v>-3115.2</v>
      </c>
      <c r="O455" s="53">
        <v>-10470.19</v>
      </c>
      <c r="P455" s="52" t="s">
        <v>823</v>
      </c>
      <c r="Q455" s="52" t="s">
        <v>1436</v>
      </c>
      <c r="R455" s="55" t="s">
        <v>64</v>
      </c>
      <c r="S455" s="52" t="s">
        <v>519</v>
      </c>
    </row>
    <row r="456" spans="1:19" outlineLevel="2" x14ac:dyDescent="0.45">
      <c r="A456" t="s">
        <v>17</v>
      </c>
      <c r="B456" s="52" t="s">
        <v>57</v>
      </c>
      <c r="C456" s="52" t="s">
        <v>697</v>
      </c>
      <c r="D456" s="52" t="s">
        <v>698</v>
      </c>
      <c r="E456" s="52" t="s">
        <v>387</v>
      </c>
      <c r="F456" s="52" t="s">
        <v>1437</v>
      </c>
      <c r="G456" s="52" t="s">
        <v>60</v>
      </c>
      <c r="H456" s="54">
        <v>46082</v>
      </c>
      <c r="I456" s="52" t="s">
        <v>271</v>
      </c>
      <c r="J456" s="52" t="s">
        <v>306</v>
      </c>
      <c r="K456" s="52" t="s">
        <v>1438</v>
      </c>
      <c r="L456" s="52" t="s">
        <v>1439</v>
      </c>
      <c r="M456" s="52" t="s">
        <v>29</v>
      </c>
      <c r="N456" s="53">
        <v>-10261.06</v>
      </c>
      <c r="O456" s="53">
        <v>-10261.06</v>
      </c>
      <c r="P456" s="52" t="s">
        <v>702</v>
      </c>
      <c r="Q456" s="52" t="s">
        <v>1440</v>
      </c>
      <c r="R456" s="55" t="s">
        <v>64</v>
      </c>
      <c r="S456" s="52" t="s">
        <v>306</v>
      </c>
    </row>
    <row r="457" spans="1:19" outlineLevel="2" x14ac:dyDescent="0.45">
      <c r="A457" t="s">
        <v>17</v>
      </c>
      <c r="B457" s="52" t="s">
        <v>57</v>
      </c>
      <c r="C457" s="52" t="s">
        <v>376</v>
      </c>
      <c r="D457" s="52" t="s">
        <v>377</v>
      </c>
      <c r="E457" s="52" t="s">
        <v>387</v>
      </c>
      <c r="F457" s="52" t="s">
        <v>1441</v>
      </c>
      <c r="G457" s="52" t="s">
        <v>60</v>
      </c>
      <c r="H457" s="54">
        <v>46082</v>
      </c>
      <c r="I457" s="52" t="s">
        <v>271</v>
      </c>
      <c r="J457" s="52" t="s">
        <v>298</v>
      </c>
      <c r="K457" s="52" t="s">
        <v>1442</v>
      </c>
      <c r="L457" s="52" t="s">
        <v>1442</v>
      </c>
      <c r="M457" s="52" t="s">
        <v>29</v>
      </c>
      <c r="N457" s="53">
        <v>-10000</v>
      </c>
      <c r="O457" s="53">
        <v>-10000</v>
      </c>
      <c r="P457" s="52" t="s">
        <v>1443</v>
      </c>
      <c r="Q457" s="52" t="s">
        <v>1444</v>
      </c>
      <c r="R457" s="55" t="s">
        <v>64</v>
      </c>
      <c r="S457" s="52" t="s">
        <v>298</v>
      </c>
    </row>
    <row r="458" spans="1:19" outlineLevel="2" x14ac:dyDescent="0.45">
      <c r="A458" t="s">
        <v>17</v>
      </c>
      <c r="B458" s="52" t="s">
        <v>57</v>
      </c>
      <c r="C458" s="52" t="s">
        <v>376</v>
      </c>
      <c r="D458" s="52" t="s">
        <v>377</v>
      </c>
      <c r="E458" s="52" t="s">
        <v>387</v>
      </c>
      <c r="F458" s="52" t="s">
        <v>1008</v>
      </c>
      <c r="G458" s="52" t="s">
        <v>60</v>
      </c>
      <c r="H458" s="54">
        <v>46082</v>
      </c>
      <c r="I458" s="52" t="s">
        <v>271</v>
      </c>
      <c r="J458" s="52" t="s">
        <v>526</v>
      </c>
      <c r="K458" s="52" t="s">
        <v>1392</v>
      </c>
      <c r="L458" s="52" t="s">
        <v>1392</v>
      </c>
      <c r="M458" s="52" t="s">
        <v>29</v>
      </c>
      <c r="N458" s="53">
        <v>-10000</v>
      </c>
      <c r="O458" s="53">
        <v>-10000</v>
      </c>
      <c r="P458" s="52" t="s">
        <v>1393</v>
      </c>
      <c r="Q458" s="52" t="s">
        <v>1445</v>
      </c>
      <c r="R458" s="55" t="s">
        <v>64</v>
      </c>
      <c r="S458" s="52" t="s">
        <v>526</v>
      </c>
    </row>
    <row r="459" spans="1:19" outlineLevel="2" x14ac:dyDescent="0.45">
      <c r="A459" t="s">
        <v>17</v>
      </c>
      <c r="B459" s="52" t="s">
        <v>57</v>
      </c>
      <c r="C459" s="52" t="s">
        <v>376</v>
      </c>
      <c r="D459" s="52" t="s">
        <v>377</v>
      </c>
      <c r="E459" s="52" t="s">
        <v>387</v>
      </c>
      <c r="F459" s="52" t="s">
        <v>1004</v>
      </c>
      <c r="G459" s="52" t="s">
        <v>60</v>
      </c>
      <c r="H459" s="54">
        <v>46082</v>
      </c>
      <c r="I459" s="52" t="s">
        <v>271</v>
      </c>
      <c r="J459" s="52" t="s">
        <v>526</v>
      </c>
      <c r="K459" s="52" t="s">
        <v>1392</v>
      </c>
      <c r="L459" s="52" t="s">
        <v>1392</v>
      </c>
      <c r="M459" s="52" t="s">
        <v>29</v>
      </c>
      <c r="N459" s="53">
        <v>-10000</v>
      </c>
      <c r="O459" s="53">
        <v>-10000</v>
      </c>
      <c r="P459" s="52" t="s">
        <v>1393</v>
      </c>
      <c r="Q459" s="52" t="s">
        <v>1446</v>
      </c>
      <c r="R459" s="55" t="s">
        <v>64</v>
      </c>
      <c r="S459" s="52" t="s">
        <v>526</v>
      </c>
    </row>
    <row r="460" spans="1:19" outlineLevel="2" x14ac:dyDescent="0.45">
      <c r="A460" t="s">
        <v>17</v>
      </c>
      <c r="B460" s="52" t="s">
        <v>57</v>
      </c>
      <c r="C460" s="52" t="s">
        <v>376</v>
      </c>
      <c r="D460" s="52" t="s">
        <v>377</v>
      </c>
      <c r="E460" s="52" t="s">
        <v>387</v>
      </c>
      <c r="F460" s="52" t="s">
        <v>1447</v>
      </c>
      <c r="G460" s="52" t="s">
        <v>60</v>
      </c>
      <c r="H460" s="54">
        <v>46082</v>
      </c>
      <c r="I460" s="52" t="s">
        <v>271</v>
      </c>
      <c r="J460" s="52" t="s">
        <v>314</v>
      </c>
      <c r="K460" s="52" t="s">
        <v>1396</v>
      </c>
      <c r="L460" s="52" t="s">
        <v>1396</v>
      </c>
      <c r="M460" s="52" t="s">
        <v>29</v>
      </c>
      <c r="N460" s="53">
        <v>-10000</v>
      </c>
      <c r="O460" s="53">
        <v>-10000</v>
      </c>
      <c r="P460" s="52" t="s">
        <v>1379</v>
      </c>
      <c r="Q460" s="52" t="s">
        <v>1448</v>
      </c>
      <c r="R460" s="55" t="s">
        <v>64</v>
      </c>
      <c r="S460" s="52" t="s">
        <v>314</v>
      </c>
    </row>
    <row r="461" spans="1:19" outlineLevel="2" x14ac:dyDescent="0.45">
      <c r="A461" t="s">
        <v>17</v>
      </c>
      <c r="B461" s="52" t="s">
        <v>57</v>
      </c>
      <c r="C461" s="52" t="s">
        <v>376</v>
      </c>
      <c r="D461" s="52" t="s">
        <v>377</v>
      </c>
      <c r="E461" s="52" t="s">
        <v>387</v>
      </c>
      <c r="F461" s="52" t="s">
        <v>1449</v>
      </c>
      <c r="G461" s="52" t="s">
        <v>60</v>
      </c>
      <c r="H461" s="54">
        <v>46082</v>
      </c>
      <c r="I461" s="52" t="s">
        <v>271</v>
      </c>
      <c r="J461" s="52" t="s">
        <v>314</v>
      </c>
      <c r="K461" s="52" t="s">
        <v>1378</v>
      </c>
      <c r="L461" s="52" t="s">
        <v>1378</v>
      </c>
      <c r="M461" s="52" t="s">
        <v>29</v>
      </c>
      <c r="N461" s="53">
        <v>-10000</v>
      </c>
      <c r="O461" s="53">
        <v>-10000</v>
      </c>
      <c r="P461" s="52" t="s">
        <v>1379</v>
      </c>
      <c r="Q461" s="52" t="s">
        <v>1380</v>
      </c>
      <c r="R461" s="55" t="s">
        <v>64</v>
      </c>
      <c r="S461" s="52" t="s">
        <v>314</v>
      </c>
    </row>
    <row r="462" spans="1:19" outlineLevel="2" x14ac:dyDescent="0.45">
      <c r="A462" t="s">
        <v>17</v>
      </c>
      <c r="B462" s="52" t="s">
        <v>57</v>
      </c>
      <c r="C462" s="52" t="s">
        <v>376</v>
      </c>
      <c r="D462" s="52" t="s">
        <v>377</v>
      </c>
      <c r="E462" s="52" t="s">
        <v>387</v>
      </c>
      <c r="F462" s="52" t="s">
        <v>1450</v>
      </c>
      <c r="G462" s="52" t="s">
        <v>60</v>
      </c>
      <c r="H462" s="54">
        <v>46082</v>
      </c>
      <c r="I462" s="52" t="s">
        <v>271</v>
      </c>
      <c r="J462" s="52" t="s">
        <v>314</v>
      </c>
      <c r="K462" s="52" t="s">
        <v>1378</v>
      </c>
      <c r="L462" s="52" t="s">
        <v>1378</v>
      </c>
      <c r="M462" s="52" t="s">
        <v>29</v>
      </c>
      <c r="N462" s="53">
        <v>-10000</v>
      </c>
      <c r="O462" s="53">
        <v>-10000</v>
      </c>
      <c r="P462" s="52" t="s">
        <v>1379</v>
      </c>
      <c r="Q462" s="52" t="s">
        <v>1380</v>
      </c>
      <c r="R462" s="55" t="s">
        <v>64</v>
      </c>
      <c r="S462" s="52" t="s">
        <v>314</v>
      </c>
    </row>
    <row r="463" spans="1:19" outlineLevel="2" x14ac:dyDescent="0.45">
      <c r="A463" t="s">
        <v>17</v>
      </c>
      <c r="B463" s="52" t="s">
        <v>66</v>
      </c>
      <c r="C463" s="52" t="s">
        <v>398</v>
      </c>
      <c r="D463" s="52" t="s">
        <v>399</v>
      </c>
      <c r="E463" s="52" t="s">
        <v>387</v>
      </c>
      <c r="F463" s="52" t="s">
        <v>1451</v>
      </c>
      <c r="G463" s="52" t="s">
        <v>60</v>
      </c>
      <c r="H463" s="54">
        <v>46082</v>
      </c>
      <c r="I463" s="52" t="s">
        <v>271</v>
      </c>
      <c r="J463" s="52" t="s">
        <v>519</v>
      </c>
      <c r="K463" s="52" t="s">
        <v>1452</v>
      </c>
      <c r="L463" s="52" t="s">
        <v>1452</v>
      </c>
      <c r="M463" s="52" t="s">
        <v>67</v>
      </c>
      <c r="N463" s="53">
        <v>-2760</v>
      </c>
      <c r="O463" s="53">
        <v>-9276.36</v>
      </c>
      <c r="P463" s="52" t="s">
        <v>1453</v>
      </c>
      <c r="Q463" s="52" t="s">
        <v>522</v>
      </c>
      <c r="R463" s="55" t="s">
        <v>64</v>
      </c>
      <c r="S463" s="52" t="s">
        <v>519</v>
      </c>
    </row>
    <row r="464" spans="1:19" outlineLevel="2" x14ac:dyDescent="0.45">
      <c r="A464" t="s">
        <v>17</v>
      </c>
      <c r="B464" s="52" t="s">
        <v>57</v>
      </c>
      <c r="C464" s="52" t="s">
        <v>376</v>
      </c>
      <c r="D464" s="52" t="s">
        <v>377</v>
      </c>
      <c r="E464" s="52" t="s">
        <v>387</v>
      </c>
      <c r="F464" s="52" t="s">
        <v>1454</v>
      </c>
      <c r="G464" s="52" t="s">
        <v>60</v>
      </c>
      <c r="H464" s="54">
        <v>46082</v>
      </c>
      <c r="I464" s="52" t="s">
        <v>271</v>
      </c>
      <c r="J464" s="52" t="s">
        <v>526</v>
      </c>
      <c r="K464" s="52" t="s">
        <v>1392</v>
      </c>
      <c r="L464" s="52" t="s">
        <v>1392</v>
      </c>
      <c r="M464" s="52" t="s">
        <v>29</v>
      </c>
      <c r="N464" s="53">
        <v>-8000</v>
      </c>
      <c r="O464" s="53">
        <v>-8000</v>
      </c>
      <c r="P464" s="52" t="s">
        <v>1393</v>
      </c>
      <c r="Q464" s="52" t="s">
        <v>1455</v>
      </c>
      <c r="R464" s="55" t="s">
        <v>64</v>
      </c>
      <c r="S464" s="52" t="s">
        <v>526</v>
      </c>
    </row>
    <row r="465" spans="1:52" outlineLevel="2" x14ac:dyDescent="0.45">
      <c r="A465" t="s">
        <v>17</v>
      </c>
      <c r="B465" s="52" t="s">
        <v>57</v>
      </c>
      <c r="C465" s="52" t="s">
        <v>376</v>
      </c>
      <c r="D465" s="52" t="s">
        <v>377</v>
      </c>
      <c r="E465" s="52" t="s">
        <v>387</v>
      </c>
      <c r="F465" s="52" t="s">
        <v>1456</v>
      </c>
      <c r="G465" s="52" t="s">
        <v>60</v>
      </c>
      <c r="H465" s="54">
        <v>46082</v>
      </c>
      <c r="I465" s="52" t="s">
        <v>271</v>
      </c>
      <c r="J465" s="52" t="s">
        <v>314</v>
      </c>
      <c r="K465" s="52" t="s">
        <v>1378</v>
      </c>
      <c r="L465" s="52" t="s">
        <v>1378</v>
      </c>
      <c r="M465" s="52" t="s">
        <v>29</v>
      </c>
      <c r="N465" s="53">
        <v>-8000</v>
      </c>
      <c r="O465" s="53">
        <v>-8000</v>
      </c>
      <c r="P465" s="52" t="s">
        <v>1379</v>
      </c>
      <c r="Q465" s="52" t="s">
        <v>1380</v>
      </c>
      <c r="R465" s="55" t="s">
        <v>64</v>
      </c>
      <c r="S465" s="52" t="s">
        <v>314</v>
      </c>
    </row>
    <row r="466" spans="1:52" outlineLevel="2" x14ac:dyDescent="0.45">
      <c r="A466" t="s">
        <v>17</v>
      </c>
      <c r="B466" s="52" t="s">
        <v>57</v>
      </c>
      <c r="C466" s="52" t="s">
        <v>707</v>
      </c>
      <c r="D466" s="52" t="s">
        <v>708</v>
      </c>
      <c r="E466" s="52" t="s">
        <v>387</v>
      </c>
      <c r="F466" s="52" t="s">
        <v>1457</v>
      </c>
      <c r="G466" s="52" t="s">
        <v>60</v>
      </c>
      <c r="H466" s="54">
        <v>46082</v>
      </c>
      <c r="I466" s="52" t="s">
        <v>271</v>
      </c>
      <c r="J466" s="52" t="s">
        <v>306</v>
      </c>
      <c r="K466" s="52" t="s">
        <v>1458</v>
      </c>
      <c r="L466" s="52" t="s">
        <v>1459</v>
      </c>
      <c r="M466" s="52" t="s">
        <v>29</v>
      </c>
      <c r="N466" s="53">
        <v>-7658.37</v>
      </c>
      <c r="O466" s="53">
        <v>-7658.37</v>
      </c>
      <c r="P466" s="52" t="s">
        <v>712</v>
      </c>
      <c r="Q466" s="52" t="s">
        <v>1440</v>
      </c>
      <c r="R466" s="55" t="s">
        <v>64</v>
      </c>
      <c r="S466" s="52" t="s">
        <v>306</v>
      </c>
    </row>
    <row r="467" spans="1:52" outlineLevel="2" x14ac:dyDescent="0.45">
      <c r="A467" t="s">
        <v>17</v>
      </c>
      <c r="B467" s="52" t="s">
        <v>66</v>
      </c>
      <c r="C467" s="52" t="s">
        <v>1460</v>
      </c>
      <c r="D467" s="52" t="s">
        <v>1461</v>
      </c>
      <c r="E467" s="52" t="s">
        <v>387</v>
      </c>
      <c r="F467" s="52" t="s">
        <v>995</v>
      </c>
      <c r="G467" s="52" t="s">
        <v>60</v>
      </c>
      <c r="H467" s="54">
        <v>46082</v>
      </c>
      <c r="I467" s="52" t="s">
        <v>271</v>
      </c>
      <c r="J467" s="52" t="s">
        <v>298</v>
      </c>
      <c r="K467" s="52" t="s">
        <v>1462</v>
      </c>
      <c r="L467" s="52" t="s">
        <v>1462</v>
      </c>
      <c r="M467" s="52" t="s">
        <v>67</v>
      </c>
      <c r="N467" s="53">
        <v>-1892</v>
      </c>
      <c r="O467" s="53">
        <v>-6447.94</v>
      </c>
      <c r="P467" s="52" t="s">
        <v>1463</v>
      </c>
      <c r="Q467" s="52" t="s">
        <v>1464</v>
      </c>
      <c r="R467" s="55" t="s">
        <v>64</v>
      </c>
      <c r="S467" s="52" t="s">
        <v>298</v>
      </c>
    </row>
    <row r="468" spans="1:52" outlineLevel="2" x14ac:dyDescent="0.45">
      <c r="A468" t="s">
        <v>17</v>
      </c>
      <c r="B468" s="52" t="s">
        <v>57</v>
      </c>
      <c r="C468" s="52" t="s">
        <v>774</v>
      </c>
      <c r="D468" s="52" t="s">
        <v>775</v>
      </c>
      <c r="E468" s="52" t="s">
        <v>387</v>
      </c>
      <c r="F468" s="52" t="s">
        <v>1465</v>
      </c>
      <c r="G468" s="52" t="s">
        <v>60</v>
      </c>
      <c r="H468" s="54">
        <v>46082</v>
      </c>
      <c r="I468" s="52" t="s">
        <v>271</v>
      </c>
      <c r="J468" s="52" t="s">
        <v>272</v>
      </c>
      <c r="K468" s="52"/>
      <c r="L468" s="52"/>
      <c r="M468" s="52" t="s">
        <v>29</v>
      </c>
      <c r="N468" s="53">
        <v>-6295.3</v>
      </c>
      <c r="O468" s="53">
        <v>-6295.3</v>
      </c>
      <c r="P468" s="52" t="s">
        <v>1466</v>
      </c>
      <c r="Q468" s="52" t="s">
        <v>1466</v>
      </c>
      <c r="R468" s="55" t="s">
        <v>64</v>
      </c>
      <c r="S468" s="52" t="s">
        <v>272</v>
      </c>
    </row>
    <row r="469" spans="1:52" outlineLevel="2" x14ac:dyDescent="0.45">
      <c r="A469" t="s">
        <v>17</v>
      </c>
      <c r="B469" s="52" t="s">
        <v>57</v>
      </c>
      <c r="C469" s="52" t="s">
        <v>774</v>
      </c>
      <c r="D469" s="52" t="s">
        <v>775</v>
      </c>
      <c r="E469" s="52" t="s">
        <v>387</v>
      </c>
      <c r="F469" s="52" t="s">
        <v>1338</v>
      </c>
      <c r="G469" s="52" t="s">
        <v>60</v>
      </c>
      <c r="H469" s="54">
        <v>46082</v>
      </c>
      <c r="I469" s="52" t="s">
        <v>271</v>
      </c>
      <c r="J469" s="52" t="s">
        <v>272</v>
      </c>
      <c r="K469" s="52"/>
      <c r="L469" s="52"/>
      <c r="M469" s="52" t="s">
        <v>29</v>
      </c>
      <c r="N469" s="53">
        <v>-5757.47</v>
      </c>
      <c r="O469" s="53">
        <v>-5757.47</v>
      </c>
      <c r="P469" s="52" t="s">
        <v>1467</v>
      </c>
      <c r="Q469" s="52" t="s">
        <v>1467</v>
      </c>
      <c r="R469" s="55" t="s">
        <v>64</v>
      </c>
      <c r="S469" s="52" t="s">
        <v>272</v>
      </c>
    </row>
    <row r="470" spans="1:52" outlineLevel="2" x14ac:dyDescent="0.45">
      <c r="A470" t="s">
        <v>17</v>
      </c>
      <c r="B470" s="52" t="s">
        <v>57</v>
      </c>
      <c r="C470" s="52" t="s">
        <v>376</v>
      </c>
      <c r="D470" s="52" t="s">
        <v>377</v>
      </c>
      <c r="E470" s="52" t="s">
        <v>387</v>
      </c>
      <c r="F470" s="52" t="s">
        <v>1468</v>
      </c>
      <c r="G470" s="52" t="s">
        <v>60</v>
      </c>
      <c r="H470" s="54">
        <v>46082</v>
      </c>
      <c r="I470" s="52" t="s">
        <v>271</v>
      </c>
      <c r="J470" s="52" t="s">
        <v>526</v>
      </c>
      <c r="K470" s="52" t="s">
        <v>1469</v>
      </c>
      <c r="L470" s="52" t="s">
        <v>1469</v>
      </c>
      <c r="M470" s="52" t="s">
        <v>29</v>
      </c>
      <c r="N470" s="53">
        <v>-5407.68</v>
      </c>
      <c r="O470" s="53">
        <v>-5407.68</v>
      </c>
      <c r="P470" s="52" t="s">
        <v>1379</v>
      </c>
      <c r="Q470" s="52" t="s">
        <v>1470</v>
      </c>
      <c r="R470" s="55" t="s">
        <v>64</v>
      </c>
      <c r="S470" s="52" t="s">
        <v>526</v>
      </c>
    </row>
    <row r="471" spans="1:52" outlineLevel="2" x14ac:dyDescent="0.45">
      <c r="A471" t="s">
        <v>17</v>
      </c>
      <c r="B471" s="52" t="s">
        <v>57</v>
      </c>
      <c r="C471" s="52"/>
      <c r="D471" s="52" t="s">
        <v>610</v>
      </c>
      <c r="E471" s="52" t="s">
        <v>387</v>
      </c>
      <c r="F471" s="52" t="s">
        <v>1471</v>
      </c>
      <c r="G471" s="52" t="s">
        <v>60</v>
      </c>
      <c r="H471" s="54">
        <v>46082</v>
      </c>
      <c r="I471" s="52" t="s">
        <v>271</v>
      </c>
      <c r="J471" s="52" t="s">
        <v>323</v>
      </c>
      <c r="K471" s="52" t="s">
        <v>1472</v>
      </c>
      <c r="L471" s="52" t="s">
        <v>1472</v>
      </c>
      <c r="M471" s="52" t="s">
        <v>29</v>
      </c>
      <c r="N471" s="53">
        <v>-5400</v>
      </c>
      <c r="O471" s="53">
        <v>-5400</v>
      </c>
      <c r="P471" s="52" t="s">
        <v>1473</v>
      </c>
      <c r="Q471" s="52" t="s">
        <v>1474</v>
      </c>
      <c r="R471" s="55" t="s">
        <v>64</v>
      </c>
      <c r="S471" s="52" t="s">
        <v>323</v>
      </c>
    </row>
    <row r="472" spans="1:52" outlineLevel="2" x14ac:dyDescent="0.45">
      <c r="A472" t="s">
        <v>17</v>
      </c>
      <c r="B472" s="52" t="s">
        <v>57</v>
      </c>
      <c r="C472" s="52" t="s">
        <v>376</v>
      </c>
      <c r="D472" s="52" t="s">
        <v>377</v>
      </c>
      <c r="E472" s="52" t="s">
        <v>387</v>
      </c>
      <c r="F472" s="52" t="s">
        <v>1475</v>
      </c>
      <c r="G472" s="52" t="s">
        <v>60</v>
      </c>
      <c r="H472" s="54">
        <v>46082</v>
      </c>
      <c r="I472" s="52" t="s">
        <v>271</v>
      </c>
      <c r="J472" s="52" t="s">
        <v>526</v>
      </c>
      <c r="K472" s="52" t="s">
        <v>1469</v>
      </c>
      <c r="L472" s="52" t="s">
        <v>1469</v>
      </c>
      <c r="M472" s="52" t="s">
        <v>29</v>
      </c>
      <c r="N472" s="53">
        <v>-5364.76</v>
      </c>
      <c r="O472" s="53">
        <v>-5364.76</v>
      </c>
      <c r="P472" s="52" t="s">
        <v>1379</v>
      </c>
      <c r="Q472" s="52" t="s">
        <v>1470</v>
      </c>
      <c r="R472" s="55" t="s">
        <v>64</v>
      </c>
      <c r="S472" s="52" t="s">
        <v>526</v>
      </c>
    </row>
    <row r="473" spans="1:52" outlineLevel="2" x14ac:dyDescent="0.45">
      <c r="A473" t="s">
        <v>17</v>
      </c>
      <c r="B473" s="52" t="s">
        <v>57</v>
      </c>
      <c r="C473" s="52" t="s">
        <v>376</v>
      </c>
      <c r="D473" s="52" t="s">
        <v>377</v>
      </c>
      <c r="E473" s="52" t="s">
        <v>387</v>
      </c>
      <c r="F473" s="52" t="s">
        <v>1476</v>
      </c>
      <c r="G473" s="52" t="s">
        <v>60</v>
      </c>
      <c r="H473" s="54">
        <v>46082</v>
      </c>
      <c r="I473" s="52" t="s">
        <v>271</v>
      </c>
      <c r="J473" s="52" t="s">
        <v>314</v>
      </c>
      <c r="K473" s="52" t="s">
        <v>1477</v>
      </c>
      <c r="L473" s="52" t="s">
        <v>1477</v>
      </c>
      <c r="M473" s="52" t="s">
        <v>29</v>
      </c>
      <c r="N473" s="53">
        <v>-5288.11</v>
      </c>
      <c r="O473" s="53">
        <v>-5288.11</v>
      </c>
      <c r="P473" s="52" t="s">
        <v>1478</v>
      </c>
      <c r="Q473" s="52" t="s">
        <v>1479</v>
      </c>
      <c r="R473" s="55" t="s">
        <v>64</v>
      </c>
      <c r="S473" s="52" t="s">
        <v>314</v>
      </c>
    </row>
    <row r="474" spans="1:52" outlineLevel="2" x14ac:dyDescent="0.45">
      <c r="A474" t="s">
        <v>17</v>
      </c>
      <c r="B474" s="52" t="s">
        <v>57</v>
      </c>
      <c r="C474" s="52" t="s">
        <v>376</v>
      </c>
      <c r="D474" s="52" t="s">
        <v>377</v>
      </c>
      <c r="E474" s="52" t="s">
        <v>387</v>
      </c>
      <c r="F474" s="52" t="s">
        <v>1480</v>
      </c>
      <c r="G474" s="52" t="s">
        <v>60</v>
      </c>
      <c r="H474" s="54">
        <v>46082</v>
      </c>
      <c r="I474" s="52" t="s">
        <v>271</v>
      </c>
      <c r="J474" s="52" t="s">
        <v>526</v>
      </c>
      <c r="K474" s="52" t="s">
        <v>1481</v>
      </c>
      <c r="L474" s="52" t="s">
        <v>1481</v>
      </c>
      <c r="M474" s="52" t="s">
        <v>29</v>
      </c>
      <c r="N474" s="53">
        <v>-5000</v>
      </c>
      <c r="O474" s="53">
        <v>-5000</v>
      </c>
      <c r="P474" s="52" t="s">
        <v>1379</v>
      </c>
      <c r="Q474" s="52" t="s">
        <v>1482</v>
      </c>
      <c r="R474" s="55" t="s">
        <v>64</v>
      </c>
      <c r="S474" s="52" t="s">
        <v>526</v>
      </c>
    </row>
    <row r="475" spans="1:52" outlineLevel="2" x14ac:dyDescent="0.45">
      <c r="A475" t="s">
        <v>17</v>
      </c>
      <c r="B475" s="52" t="s">
        <v>57</v>
      </c>
      <c r="C475" s="52" t="s">
        <v>376</v>
      </c>
      <c r="D475" s="52" t="s">
        <v>377</v>
      </c>
      <c r="E475" s="52" t="s">
        <v>387</v>
      </c>
      <c r="F475" s="52" t="s">
        <v>1483</v>
      </c>
      <c r="G475" s="52" t="s">
        <v>60</v>
      </c>
      <c r="H475" s="54">
        <v>46082</v>
      </c>
      <c r="I475" s="52" t="s">
        <v>271</v>
      </c>
      <c r="J475" s="52" t="s">
        <v>314</v>
      </c>
      <c r="K475" s="52" t="s">
        <v>1396</v>
      </c>
      <c r="L475" s="52" t="s">
        <v>1396</v>
      </c>
      <c r="M475" s="52" t="s">
        <v>29</v>
      </c>
      <c r="N475" s="53">
        <v>-5000</v>
      </c>
      <c r="O475" s="53">
        <v>-5000</v>
      </c>
      <c r="P475" s="52" t="s">
        <v>1379</v>
      </c>
      <c r="Q475" s="52" t="s">
        <v>1484</v>
      </c>
      <c r="R475" s="55" t="s">
        <v>64</v>
      </c>
      <c r="S475" s="52" t="s">
        <v>314</v>
      </c>
    </row>
    <row r="476" spans="1:52" outlineLevel="2" x14ac:dyDescent="0.45">
      <c r="A476" t="s">
        <v>17</v>
      </c>
      <c r="B476" s="52" t="s">
        <v>57</v>
      </c>
      <c r="C476" s="52" t="s">
        <v>376</v>
      </c>
      <c r="D476" s="52" t="s">
        <v>377</v>
      </c>
      <c r="E476" s="52" t="s">
        <v>387</v>
      </c>
      <c r="F476" s="52" t="s">
        <v>1485</v>
      </c>
      <c r="G476" s="52" t="s">
        <v>60</v>
      </c>
      <c r="H476" s="54">
        <v>46082</v>
      </c>
      <c r="I476" s="52" t="s">
        <v>271</v>
      </c>
      <c r="J476" s="52" t="s">
        <v>314</v>
      </c>
      <c r="K476" s="52" t="s">
        <v>1378</v>
      </c>
      <c r="L476" s="52" t="s">
        <v>1378</v>
      </c>
      <c r="M476" s="52" t="s">
        <v>29</v>
      </c>
      <c r="N476" s="53">
        <v>-5000</v>
      </c>
      <c r="O476" s="53">
        <v>-5000</v>
      </c>
      <c r="P476" s="52" t="s">
        <v>1379</v>
      </c>
      <c r="Q476" s="52" t="s">
        <v>1380</v>
      </c>
      <c r="R476" s="55" t="s">
        <v>64</v>
      </c>
      <c r="S476" s="52" t="s">
        <v>314</v>
      </c>
      <c r="T476" s="59"/>
      <c r="U476" s="59"/>
      <c r="V476" s="59"/>
      <c r="W476" s="59"/>
      <c r="X476" s="59"/>
      <c r="Y476" s="59"/>
      <c r="Z476" s="59"/>
      <c r="AA476" s="59"/>
      <c r="AB476" s="59"/>
      <c r="AC476" s="59"/>
      <c r="AD476" s="59"/>
      <c r="AE476" s="59"/>
      <c r="AF476" s="59"/>
      <c r="AG476" s="59"/>
      <c r="AH476" s="59"/>
      <c r="AI476" s="59"/>
      <c r="AJ476" s="59"/>
      <c r="AK476" s="59"/>
      <c r="AL476" s="59"/>
      <c r="AM476" s="59"/>
      <c r="AN476" s="59"/>
      <c r="AO476" s="59"/>
      <c r="AP476" s="59"/>
      <c r="AQ476" s="59"/>
      <c r="AR476" s="59"/>
      <c r="AS476" s="59"/>
      <c r="AT476" s="59"/>
      <c r="AU476" s="59"/>
      <c r="AV476" s="59"/>
      <c r="AW476" s="59"/>
      <c r="AX476" s="59"/>
      <c r="AY476" s="59"/>
      <c r="AZ476" s="59"/>
    </row>
    <row r="477" spans="1:52" outlineLevel="2" x14ac:dyDescent="0.45">
      <c r="A477" t="s">
        <v>17</v>
      </c>
      <c r="B477" s="52" t="s">
        <v>57</v>
      </c>
      <c r="C477" s="52" t="s">
        <v>376</v>
      </c>
      <c r="D477" s="52" t="s">
        <v>377</v>
      </c>
      <c r="E477" s="52" t="s">
        <v>387</v>
      </c>
      <c r="F477" s="52" t="s">
        <v>1486</v>
      </c>
      <c r="G477" s="52" t="s">
        <v>60</v>
      </c>
      <c r="H477" s="54">
        <v>46082</v>
      </c>
      <c r="I477" s="52" t="s">
        <v>271</v>
      </c>
      <c r="J477" s="52" t="s">
        <v>314</v>
      </c>
      <c r="K477" s="52" t="s">
        <v>1378</v>
      </c>
      <c r="L477" s="52" t="s">
        <v>1378</v>
      </c>
      <c r="M477" s="52" t="s">
        <v>29</v>
      </c>
      <c r="N477" s="53">
        <v>-5000</v>
      </c>
      <c r="O477" s="53">
        <v>-5000</v>
      </c>
      <c r="P477" s="52" t="s">
        <v>1379</v>
      </c>
      <c r="Q477" s="52" t="s">
        <v>1380</v>
      </c>
      <c r="R477" s="55" t="s">
        <v>64</v>
      </c>
      <c r="S477" s="52" t="s">
        <v>314</v>
      </c>
    </row>
    <row r="478" spans="1:52" outlineLevel="2" x14ac:dyDescent="0.45">
      <c r="A478" t="s">
        <v>17</v>
      </c>
      <c r="B478" s="52" t="s">
        <v>57</v>
      </c>
      <c r="C478" s="52" t="s">
        <v>376</v>
      </c>
      <c r="D478" s="52" t="s">
        <v>377</v>
      </c>
      <c r="E478" s="52" t="s">
        <v>387</v>
      </c>
      <c r="F478" s="52" t="s">
        <v>1487</v>
      </c>
      <c r="G478" s="52" t="s">
        <v>60</v>
      </c>
      <c r="H478" s="54">
        <v>46082</v>
      </c>
      <c r="I478" s="52" t="s">
        <v>271</v>
      </c>
      <c r="J478" s="52" t="s">
        <v>314</v>
      </c>
      <c r="K478" s="52" t="s">
        <v>1378</v>
      </c>
      <c r="L478" s="52" t="s">
        <v>1378</v>
      </c>
      <c r="M478" s="52" t="s">
        <v>29</v>
      </c>
      <c r="N478" s="53">
        <v>-5000</v>
      </c>
      <c r="O478" s="53">
        <v>-5000</v>
      </c>
      <c r="P478" s="52" t="s">
        <v>1379</v>
      </c>
      <c r="Q478" s="52" t="s">
        <v>1380</v>
      </c>
      <c r="R478" s="55" t="s">
        <v>64</v>
      </c>
      <c r="S478" s="52" t="s">
        <v>314</v>
      </c>
      <c r="T478" s="59"/>
      <c r="U478" s="59"/>
      <c r="V478" s="59"/>
      <c r="W478" s="59"/>
      <c r="X478" s="59"/>
      <c r="Y478" s="59"/>
      <c r="Z478" s="59"/>
      <c r="AA478" s="59"/>
      <c r="AB478" s="59"/>
      <c r="AC478" s="59"/>
      <c r="AD478" s="59"/>
      <c r="AE478" s="59"/>
      <c r="AF478" s="59"/>
      <c r="AG478" s="59"/>
      <c r="AH478" s="59"/>
      <c r="AI478" s="59"/>
      <c r="AJ478" s="59"/>
      <c r="AK478" s="59"/>
      <c r="AL478" s="59"/>
      <c r="AM478" s="59"/>
      <c r="AN478" s="59"/>
      <c r="AO478" s="59"/>
      <c r="AP478" s="59"/>
      <c r="AQ478" s="59"/>
      <c r="AR478" s="59"/>
      <c r="AS478" s="59"/>
      <c r="AT478" s="59"/>
      <c r="AU478" s="59"/>
      <c r="AV478" s="59"/>
      <c r="AW478" s="59"/>
      <c r="AX478" s="59"/>
      <c r="AY478" s="59"/>
      <c r="AZ478" s="59"/>
    </row>
    <row r="479" spans="1:52" outlineLevel="2" x14ac:dyDescent="0.45">
      <c r="A479" t="s">
        <v>17</v>
      </c>
      <c r="B479" s="52" t="s">
        <v>57</v>
      </c>
      <c r="C479" s="52" t="s">
        <v>376</v>
      </c>
      <c r="D479" s="52" t="s">
        <v>377</v>
      </c>
      <c r="E479" s="52" t="s">
        <v>387</v>
      </c>
      <c r="F479" s="52" t="s">
        <v>1488</v>
      </c>
      <c r="G479" s="52" t="s">
        <v>60</v>
      </c>
      <c r="H479" s="54">
        <v>46082</v>
      </c>
      <c r="I479" s="52" t="s">
        <v>271</v>
      </c>
      <c r="J479" s="52" t="s">
        <v>526</v>
      </c>
      <c r="K479" s="52" t="s">
        <v>1407</v>
      </c>
      <c r="L479" s="52" t="s">
        <v>1407</v>
      </c>
      <c r="M479" s="52" t="s">
        <v>29</v>
      </c>
      <c r="N479" s="53">
        <v>-4999</v>
      </c>
      <c r="O479" s="53">
        <v>-4999</v>
      </c>
      <c r="P479" s="52" t="s">
        <v>1393</v>
      </c>
      <c r="Q479" s="52" t="s">
        <v>1489</v>
      </c>
      <c r="R479" s="55" t="s">
        <v>64</v>
      </c>
      <c r="S479" s="52" t="s">
        <v>526</v>
      </c>
    </row>
    <row r="480" spans="1:52" outlineLevel="2" x14ac:dyDescent="0.45">
      <c r="A480" t="s">
        <v>17</v>
      </c>
      <c r="B480" s="52" t="s">
        <v>57</v>
      </c>
      <c r="C480" s="52" t="s">
        <v>376</v>
      </c>
      <c r="D480" s="52" t="s">
        <v>377</v>
      </c>
      <c r="E480" s="52" t="s">
        <v>387</v>
      </c>
      <c r="F480" s="52" t="s">
        <v>1490</v>
      </c>
      <c r="G480" s="52" t="s">
        <v>60</v>
      </c>
      <c r="H480" s="54">
        <v>46082</v>
      </c>
      <c r="I480" s="52" t="s">
        <v>271</v>
      </c>
      <c r="J480" s="52" t="s">
        <v>1368</v>
      </c>
      <c r="K480" s="52" t="s">
        <v>1410</v>
      </c>
      <c r="L480" s="52" t="s">
        <v>1410</v>
      </c>
      <c r="M480" s="52" t="s">
        <v>29</v>
      </c>
      <c r="N480" s="53">
        <v>-4999</v>
      </c>
      <c r="O480" s="53">
        <v>-4999</v>
      </c>
      <c r="P480" s="52" t="s">
        <v>1347</v>
      </c>
      <c r="Q480" s="52" t="s">
        <v>1411</v>
      </c>
      <c r="R480" s="55" t="s">
        <v>64</v>
      </c>
      <c r="S480" s="52" t="s">
        <v>1368</v>
      </c>
    </row>
    <row r="481" spans="1:52" outlineLevel="2" x14ac:dyDescent="0.45">
      <c r="A481" t="s">
        <v>17</v>
      </c>
      <c r="B481" s="52" t="s">
        <v>57</v>
      </c>
      <c r="C481" s="52" t="s">
        <v>376</v>
      </c>
      <c r="D481" s="52" t="s">
        <v>377</v>
      </c>
      <c r="E481" s="52" t="s">
        <v>387</v>
      </c>
      <c r="F481" s="52" t="s">
        <v>1491</v>
      </c>
      <c r="G481" s="52" t="s">
        <v>60</v>
      </c>
      <c r="H481" s="54">
        <v>46082</v>
      </c>
      <c r="I481" s="52" t="s">
        <v>271</v>
      </c>
      <c r="J481" s="52" t="s">
        <v>314</v>
      </c>
      <c r="K481" s="52" t="s">
        <v>1396</v>
      </c>
      <c r="L481" s="52" t="s">
        <v>1396</v>
      </c>
      <c r="M481" s="52" t="s">
        <v>29</v>
      </c>
      <c r="N481" s="53">
        <v>-4935.22</v>
      </c>
      <c r="O481" s="53">
        <v>-4935.22</v>
      </c>
      <c r="P481" s="52" t="s">
        <v>1379</v>
      </c>
      <c r="Q481" s="52" t="s">
        <v>1492</v>
      </c>
      <c r="R481" s="55" t="s">
        <v>64</v>
      </c>
      <c r="S481" s="52" t="s">
        <v>314</v>
      </c>
    </row>
    <row r="482" spans="1:52" outlineLevel="2" x14ac:dyDescent="0.45">
      <c r="A482" t="s">
        <v>17</v>
      </c>
      <c r="B482" s="52" t="s">
        <v>57</v>
      </c>
      <c r="C482" s="52" t="s">
        <v>734</v>
      </c>
      <c r="D482" s="52" t="s">
        <v>735</v>
      </c>
      <c r="E482" s="52" t="s">
        <v>387</v>
      </c>
      <c r="F482" s="52" t="s">
        <v>1326</v>
      </c>
      <c r="G482" s="52" t="s">
        <v>60</v>
      </c>
      <c r="H482" s="54">
        <v>46082</v>
      </c>
      <c r="I482" s="52" t="s">
        <v>271</v>
      </c>
      <c r="J482" s="52" t="s">
        <v>306</v>
      </c>
      <c r="K482" s="52" t="s">
        <v>1493</v>
      </c>
      <c r="L482" s="52" t="s">
        <v>1494</v>
      </c>
      <c r="M482" s="52" t="s">
        <v>29</v>
      </c>
      <c r="N482" s="53">
        <v>-4670.9399999999996</v>
      </c>
      <c r="O482" s="53">
        <v>-4670.9399999999996</v>
      </c>
      <c r="P482" s="52" t="s">
        <v>739</v>
      </c>
      <c r="Q482" s="52" t="s">
        <v>1440</v>
      </c>
      <c r="R482" s="55" t="s">
        <v>64</v>
      </c>
      <c r="S482" s="52" t="s">
        <v>306</v>
      </c>
    </row>
    <row r="483" spans="1:52" outlineLevel="2" x14ac:dyDescent="0.45">
      <c r="A483" t="s">
        <v>17</v>
      </c>
      <c r="B483" s="52" t="s">
        <v>57</v>
      </c>
      <c r="C483" s="52" t="s">
        <v>376</v>
      </c>
      <c r="D483" s="52" t="s">
        <v>377</v>
      </c>
      <c r="E483" s="52" t="s">
        <v>387</v>
      </c>
      <c r="F483" s="52" t="s">
        <v>1495</v>
      </c>
      <c r="G483" s="52" t="s">
        <v>60</v>
      </c>
      <c r="H483" s="54">
        <v>46082</v>
      </c>
      <c r="I483" s="52" t="s">
        <v>271</v>
      </c>
      <c r="J483" s="52" t="s">
        <v>314</v>
      </c>
      <c r="K483" s="52" t="s">
        <v>1362</v>
      </c>
      <c r="L483" s="52" t="s">
        <v>1362</v>
      </c>
      <c r="M483" s="52" t="s">
        <v>29</v>
      </c>
      <c r="N483" s="53">
        <v>-4466.32</v>
      </c>
      <c r="O483" s="53">
        <v>-4466.32</v>
      </c>
      <c r="P483" s="52" t="s">
        <v>1363</v>
      </c>
      <c r="Q483" s="52" t="s">
        <v>1364</v>
      </c>
      <c r="R483" s="55" t="s">
        <v>64</v>
      </c>
      <c r="S483" s="52" t="s">
        <v>314</v>
      </c>
    </row>
    <row r="484" spans="1:52" outlineLevel="2" x14ac:dyDescent="0.45">
      <c r="A484" t="s">
        <v>17</v>
      </c>
      <c r="B484" s="52" t="s">
        <v>57</v>
      </c>
      <c r="C484" s="52" t="s">
        <v>376</v>
      </c>
      <c r="D484" s="52" t="s">
        <v>377</v>
      </c>
      <c r="E484" s="52" t="s">
        <v>387</v>
      </c>
      <c r="F484" s="52" t="s">
        <v>1496</v>
      </c>
      <c r="G484" s="52" t="s">
        <v>60</v>
      </c>
      <c r="H484" s="54">
        <v>46082</v>
      </c>
      <c r="I484" s="52" t="s">
        <v>271</v>
      </c>
      <c r="J484" s="52" t="s">
        <v>314</v>
      </c>
      <c r="K484" s="52" t="s">
        <v>1378</v>
      </c>
      <c r="L484" s="52" t="s">
        <v>1378</v>
      </c>
      <c r="M484" s="52" t="s">
        <v>29</v>
      </c>
      <c r="N484" s="53">
        <v>-4250</v>
      </c>
      <c r="O484" s="53">
        <v>-4250</v>
      </c>
      <c r="P484" s="52" t="s">
        <v>1379</v>
      </c>
      <c r="Q484" s="52" t="s">
        <v>1380</v>
      </c>
      <c r="R484" s="55" t="s">
        <v>64</v>
      </c>
      <c r="S484" s="52" t="s">
        <v>314</v>
      </c>
    </row>
    <row r="485" spans="1:52" outlineLevel="2" x14ac:dyDescent="0.45">
      <c r="A485" t="s">
        <v>17</v>
      </c>
      <c r="B485" s="52" t="s">
        <v>57</v>
      </c>
      <c r="C485" s="52" t="s">
        <v>758</v>
      </c>
      <c r="D485" s="52" t="s">
        <v>759</v>
      </c>
      <c r="E485" s="52" t="s">
        <v>387</v>
      </c>
      <c r="F485" s="52" t="s">
        <v>1497</v>
      </c>
      <c r="G485" s="52" t="s">
        <v>60</v>
      </c>
      <c r="H485" s="54">
        <v>46082</v>
      </c>
      <c r="I485" s="52" t="s">
        <v>271</v>
      </c>
      <c r="J485" s="52" t="s">
        <v>325</v>
      </c>
      <c r="K485" s="52" t="s">
        <v>1498</v>
      </c>
      <c r="L485" s="52" t="s">
        <v>1498</v>
      </c>
      <c r="M485" s="52" t="s">
        <v>29</v>
      </c>
      <c r="N485" s="53">
        <v>-4248</v>
      </c>
      <c r="O485" s="53">
        <v>-4248</v>
      </c>
      <c r="P485" s="52" t="s">
        <v>1499</v>
      </c>
      <c r="Q485" s="52" t="s">
        <v>1500</v>
      </c>
      <c r="R485" s="55" t="s">
        <v>64</v>
      </c>
      <c r="S485" s="52" t="s">
        <v>325</v>
      </c>
    </row>
    <row r="486" spans="1:52" outlineLevel="2" x14ac:dyDescent="0.45">
      <c r="A486" t="s">
        <v>17</v>
      </c>
      <c r="B486" s="52" t="s">
        <v>66</v>
      </c>
      <c r="C486" s="52"/>
      <c r="D486" s="52" t="s">
        <v>1276</v>
      </c>
      <c r="E486" s="52" t="s">
        <v>387</v>
      </c>
      <c r="F486" s="52" t="s">
        <v>1501</v>
      </c>
      <c r="G486" s="52" t="s">
        <v>60</v>
      </c>
      <c r="H486" s="54">
        <v>46082</v>
      </c>
      <c r="I486" s="52" t="s">
        <v>271</v>
      </c>
      <c r="J486" s="52" t="s">
        <v>272</v>
      </c>
      <c r="K486" s="52"/>
      <c r="L486" s="52"/>
      <c r="M486" s="52" t="s">
        <v>67</v>
      </c>
      <c r="N486" s="53">
        <v>-1205.42</v>
      </c>
      <c r="O486" s="53">
        <v>-4193.66</v>
      </c>
      <c r="P486" s="52" t="s">
        <v>1502</v>
      </c>
      <c r="Q486" s="52" t="s">
        <v>1502</v>
      </c>
      <c r="R486" s="55" t="s">
        <v>64</v>
      </c>
      <c r="S486" s="52" t="s">
        <v>272</v>
      </c>
      <c r="T486" s="59"/>
      <c r="U486" s="59"/>
      <c r="V486" s="59"/>
      <c r="W486" s="59"/>
      <c r="X486" s="59"/>
      <c r="Y486" s="59"/>
      <c r="Z486" s="59"/>
      <c r="AA486" s="59"/>
      <c r="AB486" s="59"/>
      <c r="AC486" s="59"/>
      <c r="AD486" s="59"/>
      <c r="AE486" s="59"/>
      <c r="AF486" s="59"/>
      <c r="AG486" s="59"/>
      <c r="AH486" s="59"/>
      <c r="AI486" s="59"/>
      <c r="AJ486" s="59"/>
      <c r="AK486" s="59"/>
      <c r="AL486" s="59"/>
      <c r="AM486" s="59"/>
      <c r="AN486" s="59"/>
      <c r="AO486" s="59"/>
      <c r="AP486" s="59"/>
      <c r="AQ486" s="59"/>
      <c r="AR486" s="59"/>
      <c r="AS486" s="59"/>
      <c r="AT486" s="59"/>
      <c r="AU486" s="59"/>
      <c r="AV486" s="59"/>
      <c r="AW486" s="59"/>
      <c r="AX486" s="59"/>
      <c r="AY486" s="59"/>
      <c r="AZ486" s="59"/>
    </row>
    <row r="487" spans="1:52" outlineLevel="2" x14ac:dyDescent="0.45">
      <c r="A487" t="s">
        <v>17</v>
      </c>
      <c r="B487" s="52" t="s">
        <v>57</v>
      </c>
      <c r="C487" s="52"/>
      <c r="D487" s="52" t="s">
        <v>1503</v>
      </c>
      <c r="E487" s="52" t="s">
        <v>387</v>
      </c>
      <c r="F487" s="52" t="s">
        <v>1504</v>
      </c>
      <c r="G487" s="52" t="s">
        <v>60</v>
      </c>
      <c r="H487" s="54">
        <v>46082</v>
      </c>
      <c r="I487" s="52" t="s">
        <v>271</v>
      </c>
      <c r="J487" s="52" t="s">
        <v>526</v>
      </c>
      <c r="K487" s="52" t="s">
        <v>1505</v>
      </c>
      <c r="L487" s="52" t="s">
        <v>1505</v>
      </c>
      <c r="M487" s="52" t="s">
        <v>29</v>
      </c>
      <c r="N487" s="53">
        <v>-4056.89</v>
      </c>
      <c r="O487" s="53">
        <v>-4056.89</v>
      </c>
      <c r="P487" s="52" t="s">
        <v>1506</v>
      </c>
      <c r="Q487" s="52" t="s">
        <v>1507</v>
      </c>
      <c r="R487" s="55" t="s">
        <v>64</v>
      </c>
      <c r="S487" s="52" t="s">
        <v>526</v>
      </c>
    </row>
    <row r="488" spans="1:52" outlineLevel="2" x14ac:dyDescent="0.45">
      <c r="A488" t="s">
        <v>17</v>
      </c>
      <c r="B488" s="52" t="s">
        <v>57</v>
      </c>
      <c r="C488" s="52"/>
      <c r="D488" s="52" t="s">
        <v>1503</v>
      </c>
      <c r="E488" s="52" t="s">
        <v>387</v>
      </c>
      <c r="F488" s="52" t="s">
        <v>1476</v>
      </c>
      <c r="G488" s="52" t="s">
        <v>60</v>
      </c>
      <c r="H488" s="54">
        <v>46082</v>
      </c>
      <c r="I488" s="52" t="s">
        <v>271</v>
      </c>
      <c r="J488" s="52" t="s">
        <v>314</v>
      </c>
      <c r="K488" s="52" t="s">
        <v>1508</v>
      </c>
      <c r="L488" s="52" t="s">
        <v>1508</v>
      </c>
      <c r="M488" s="52" t="s">
        <v>29</v>
      </c>
      <c r="N488" s="53">
        <v>-4056.2</v>
      </c>
      <c r="O488" s="53">
        <v>-4056.2</v>
      </c>
      <c r="P488" s="52" t="s">
        <v>1509</v>
      </c>
      <c r="Q488" s="52" t="s">
        <v>1479</v>
      </c>
      <c r="R488" s="55" t="s">
        <v>64</v>
      </c>
      <c r="S488" s="52" t="s">
        <v>314</v>
      </c>
    </row>
    <row r="489" spans="1:52" outlineLevel="2" x14ac:dyDescent="0.45">
      <c r="A489" t="s">
        <v>17</v>
      </c>
      <c r="B489" s="52" t="s">
        <v>57</v>
      </c>
      <c r="C489" s="52" t="s">
        <v>376</v>
      </c>
      <c r="D489" s="52" t="s">
        <v>377</v>
      </c>
      <c r="E489" s="52" t="s">
        <v>387</v>
      </c>
      <c r="F489" s="52" t="s">
        <v>1068</v>
      </c>
      <c r="G489" s="52" t="s">
        <v>60</v>
      </c>
      <c r="H489" s="54">
        <v>46082</v>
      </c>
      <c r="I489" s="52" t="s">
        <v>271</v>
      </c>
      <c r="J489" s="52" t="s">
        <v>526</v>
      </c>
      <c r="K489" s="52" t="s">
        <v>1392</v>
      </c>
      <c r="L489" s="52" t="s">
        <v>1392</v>
      </c>
      <c r="M489" s="52" t="s">
        <v>29</v>
      </c>
      <c r="N489" s="53">
        <v>-4000</v>
      </c>
      <c r="O489" s="53">
        <v>-4000</v>
      </c>
      <c r="P489" s="52" t="s">
        <v>1393</v>
      </c>
      <c r="Q489" s="52" t="s">
        <v>1510</v>
      </c>
      <c r="R489" s="55" t="s">
        <v>64</v>
      </c>
      <c r="S489" s="52" t="s">
        <v>526</v>
      </c>
    </row>
    <row r="490" spans="1:52" outlineLevel="2" x14ac:dyDescent="0.45">
      <c r="A490" t="s">
        <v>17</v>
      </c>
      <c r="B490" s="52" t="s">
        <v>57</v>
      </c>
      <c r="C490" s="52" t="s">
        <v>376</v>
      </c>
      <c r="D490" s="52" t="s">
        <v>377</v>
      </c>
      <c r="E490" s="52" t="s">
        <v>387</v>
      </c>
      <c r="F490" s="52" t="s">
        <v>1511</v>
      </c>
      <c r="G490" s="52" t="s">
        <v>60</v>
      </c>
      <c r="H490" s="54">
        <v>46082</v>
      </c>
      <c r="I490" s="52" t="s">
        <v>271</v>
      </c>
      <c r="J490" s="52" t="s">
        <v>314</v>
      </c>
      <c r="K490" s="52" t="s">
        <v>1378</v>
      </c>
      <c r="L490" s="52" t="s">
        <v>1378</v>
      </c>
      <c r="M490" s="52" t="s">
        <v>29</v>
      </c>
      <c r="N490" s="53">
        <v>-4000</v>
      </c>
      <c r="O490" s="53">
        <v>-4000</v>
      </c>
      <c r="P490" s="52" t="s">
        <v>1379</v>
      </c>
      <c r="Q490" s="52" t="s">
        <v>1380</v>
      </c>
      <c r="R490" s="55" t="s">
        <v>64</v>
      </c>
      <c r="S490" s="52" t="s">
        <v>314</v>
      </c>
    </row>
    <row r="491" spans="1:52" outlineLevel="2" x14ac:dyDescent="0.45">
      <c r="A491" t="s">
        <v>17</v>
      </c>
      <c r="B491" s="52" t="s">
        <v>57</v>
      </c>
      <c r="C491" s="52" t="s">
        <v>376</v>
      </c>
      <c r="D491" s="52" t="s">
        <v>377</v>
      </c>
      <c r="E491" s="52" t="s">
        <v>387</v>
      </c>
      <c r="F491" s="52" t="s">
        <v>1512</v>
      </c>
      <c r="G491" s="52" t="s">
        <v>60</v>
      </c>
      <c r="H491" s="54">
        <v>46082</v>
      </c>
      <c r="I491" s="52" t="s">
        <v>271</v>
      </c>
      <c r="J491" s="52" t="s">
        <v>314</v>
      </c>
      <c r="K491" s="52" t="s">
        <v>1378</v>
      </c>
      <c r="L491" s="52" t="s">
        <v>1378</v>
      </c>
      <c r="M491" s="52" t="s">
        <v>29</v>
      </c>
      <c r="N491" s="53">
        <v>-4000</v>
      </c>
      <c r="O491" s="53">
        <v>-4000</v>
      </c>
      <c r="P491" s="52" t="s">
        <v>1379</v>
      </c>
      <c r="Q491" s="52" t="s">
        <v>1513</v>
      </c>
      <c r="R491" s="55" t="s">
        <v>64</v>
      </c>
      <c r="S491" s="52" t="s">
        <v>314</v>
      </c>
    </row>
    <row r="492" spans="1:52" outlineLevel="2" x14ac:dyDescent="0.45">
      <c r="A492" t="s">
        <v>17</v>
      </c>
      <c r="B492" s="52" t="s">
        <v>57</v>
      </c>
      <c r="C492" s="52" t="s">
        <v>376</v>
      </c>
      <c r="D492" s="52" t="s">
        <v>377</v>
      </c>
      <c r="E492" s="52" t="s">
        <v>387</v>
      </c>
      <c r="F492" s="52" t="s">
        <v>1514</v>
      </c>
      <c r="G492" s="52" t="s">
        <v>60</v>
      </c>
      <c r="H492" s="54">
        <v>46082</v>
      </c>
      <c r="I492" s="52" t="s">
        <v>271</v>
      </c>
      <c r="J492" s="52" t="s">
        <v>526</v>
      </c>
      <c r="K492" s="52" t="s">
        <v>1373</v>
      </c>
      <c r="L492" s="52" t="s">
        <v>1373</v>
      </c>
      <c r="M492" s="52" t="s">
        <v>29</v>
      </c>
      <c r="N492" s="53">
        <v>-3863.05</v>
      </c>
      <c r="O492" s="53">
        <v>-3863.05</v>
      </c>
      <c r="P492" s="52" t="s">
        <v>1374</v>
      </c>
      <c r="Q492" s="52" t="s">
        <v>1515</v>
      </c>
      <c r="R492" s="55" t="s">
        <v>64</v>
      </c>
      <c r="S492" s="52" t="s">
        <v>526</v>
      </c>
    </row>
    <row r="493" spans="1:52" outlineLevel="2" x14ac:dyDescent="0.45">
      <c r="A493" t="s">
        <v>17</v>
      </c>
      <c r="B493" s="52" t="s">
        <v>57</v>
      </c>
      <c r="C493" s="52" t="s">
        <v>376</v>
      </c>
      <c r="D493" s="52" t="s">
        <v>377</v>
      </c>
      <c r="E493" s="52" t="s">
        <v>387</v>
      </c>
      <c r="F493" s="52" t="s">
        <v>1516</v>
      </c>
      <c r="G493" s="52" t="s">
        <v>60</v>
      </c>
      <c r="H493" s="54">
        <v>46082</v>
      </c>
      <c r="I493" s="52" t="s">
        <v>271</v>
      </c>
      <c r="J493" s="52" t="s">
        <v>526</v>
      </c>
      <c r="K493" s="52" t="s">
        <v>1373</v>
      </c>
      <c r="L493" s="52" t="s">
        <v>1373</v>
      </c>
      <c r="M493" s="52" t="s">
        <v>29</v>
      </c>
      <c r="N493" s="53">
        <v>-3500</v>
      </c>
      <c r="O493" s="53">
        <v>-3500</v>
      </c>
      <c r="P493" s="52" t="s">
        <v>1374</v>
      </c>
      <c r="Q493" s="52" t="s">
        <v>1517</v>
      </c>
      <c r="R493" s="55" t="s">
        <v>64</v>
      </c>
      <c r="S493" s="52" t="s">
        <v>526</v>
      </c>
    </row>
    <row r="494" spans="1:52" s="59" customFormat="1" outlineLevel="2" x14ac:dyDescent="0.45">
      <c r="A494" t="s">
        <v>17</v>
      </c>
      <c r="B494" s="52" t="s">
        <v>57</v>
      </c>
      <c r="C494" s="52" t="s">
        <v>376</v>
      </c>
      <c r="D494" s="52" t="s">
        <v>377</v>
      </c>
      <c r="E494" s="52" t="s">
        <v>387</v>
      </c>
      <c r="F494" s="52" t="s">
        <v>1518</v>
      </c>
      <c r="G494" s="52" t="s">
        <v>60</v>
      </c>
      <c r="H494" s="54">
        <v>46082</v>
      </c>
      <c r="I494" s="52" t="s">
        <v>271</v>
      </c>
      <c r="J494" s="52" t="s">
        <v>314</v>
      </c>
      <c r="K494" s="52" t="s">
        <v>1378</v>
      </c>
      <c r="L494" s="52" t="s">
        <v>1378</v>
      </c>
      <c r="M494" s="52" t="s">
        <v>29</v>
      </c>
      <c r="N494" s="53">
        <v>-3500</v>
      </c>
      <c r="O494" s="53">
        <v>-3500</v>
      </c>
      <c r="P494" s="52" t="s">
        <v>1379</v>
      </c>
      <c r="Q494" s="52" t="s">
        <v>1380</v>
      </c>
      <c r="R494" s="55" t="s">
        <v>64</v>
      </c>
      <c r="S494" s="52" t="s">
        <v>314</v>
      </c>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row>
    <row r="495" spans="1:52" outlineLevel="2" x14ac:dyDescent="0.45">
      <c r="A495" t="s">
        <v>17</v>
      </c>
      <c r="B495" s="52" t="s">
        <v>57</v>
      </c>
      <c r="C495" s="52" t="s">
        <v>870</v>
      </c>
      <c r="D495" s="52" t="s">
        <v>871</v>
      </c>
      <c r="E495" s="52" t="s">
        <v>387</v>
      </c>
      <c r="F495" s="52" t="s">
        <v>1519</v>
      </c>
      <c r="G495" s="52" t="s">
        <v>60</v>
      </c>
      <c r="H495" s="54">
        <v>46082</v>
      </c>
      <c r="I495" s="52" t="s">
        <v>271</v>
      </c>
      <c r="J495" s="52" t="s">
        <v>513</v>
      </c>
      <c r="K495" s="52"/>
      <c r="L495" s="52"/>
      <c r="M495" s="52" t="s">
        <v>29</v>
      </c>
      <c r="N495" s="53">
        <v>-3323.01</v>
      </c>
      <c r="O495" s="53">
        <v>-3323.01</v>
      </c>
      <c r="P495" s="52" t="s">
        <v>1520</v>
      </c>
      <c r="Q495" s="52" t="s">
        <v>1520</v>
      </c>
      <c r="R495" s="55" t="s">
        <v>64</v>
      </c>
      <c r="S495" s="52" t="s">
        <v>513</v>
      </c>
    </row>
    <row r="496" spans="1:52" s="59" customFormat="1" outlineLevel="2" x14ac:dyDescent="0.45">
      <c r="A496" t="s">
        <v>17</v>
      </c>
      <c r="B496" s="52" t="s">
        <v>57</v>
      </c>
      <c r="C496" s="52" t="s">
        <v>376</v>
      </c>
      <c r="D496" s="52" t="s">
        <v>377</v>
      </c>
      <c r="E496" s="52" t="s">
        <v>387</v>
      </c>
      <c r="F496" s="52" t="s">
        <v>1521</v>
      </c>
      <c r="G496" s="52" t="s">
        <v>60</v>
      </c>
      <c r="H496" s="54">
        <v>46082</v>
      </c>
      <c r="I496" s="52" t="s">
        <v>271</v>
      </c>
      <c r="J496" s="52" t="s">
        <v>314</v>
      </c>
      <c r="K496" s="52" t="s">
        <v>1362</v>
      </c>
      <c r="L496" s="52" t="s">
        <v>1362</v>
      </c>
      <c r="M496" s="52" t="s">
        <v>29</v>
      </c>
      <c r="N496" s="53">
        <v>-3297.06</v>
      </c>
      <c r="O496" s="53">
        <v>-3297.06</v>
      </c>
      <c r="P496" s="52" t="s">
        <v>1363</v>
      </c>
      <c r="Q496" s="52" t="s">
        <v>1364</v>
      </c>
      <c r="R496" s="55" t="s">
        <v>64</v>
      </c>
      <c r="S496" s="52" t="s">
        <v>314</v>
      </c>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row>
    <row r="497" spans="1:52" outlineLevel="2" x14ac:dyDescent="0.45">
      <c r="A497" t="s">
        <v>17</v>
      </c>
      <c r="B497" s="52" t="s">
        <v>57</v>
      </c>
      <c r="C497" s="52" t="s">
        <v>620</v>
      </c>
      <c r="D497" s="52" t="s">
        <v>621</v>
      </c>
      <c r="E497" s="52" t="s">
        <v>387</v>
      </c>
      <c r="F497" s="52" t="s">
        <v>903</v>
      </c>
      <c r="G497" s="52" t="s">
        <v>60</v>
      </c>
      <c r="H497" s="54">
        <v>46082</v>
      </c>
      <c r="I497" s="52" t="s">
        <v>271</v>
      </c>
      <c r="J497" s="52" t="s">
        <v>1522</v>
      </c>
      <c r="K497" s="52" t="s">
        <v>1523</v>
      </c>
      <c r="L497" s="52" t="s">
        <v>1523</v>
      </c>
      <c r="M497" s="52" t="s">
        <v>29</v>
      </c>
      <c r="N497" s="53">
        <v>-3281</v>
      </c>
      <c r="O497" s="53">
        <v>-3281</v>
      </c>
      <c r="P497" s="52" t="s">
        <v>1524</v>
      </c>
      <c r="Q497" s="52" t="s">
        <v>1525</v>
      </c>
      <c r="R497" s="55" t="s">
        <v>64</v>
      </c>
      <c r="S497" s="52" t="s">
        <v>1522</v>
      </c>
    </row>
    <row r="498" spans="1:52" outlineLevel="2" x14ac:dyDescent="0.45">
      <c r="A498" t="s">
        <v>17</v>
      </c>
      <c r="B498" s="52" t="s">
        <v>57</v>
      </c>
      <c r="C498" s="52" t="s">
        <v>376</v>
      </c>
      <c r="D498" s="52" t="s">
        <v>377</v>
      </c>
      <c r="E498" s="52" t="s">
        <v>387</v>
      </c>
      <c r="F498" s="52" t="s">
        <v>1526</v>
      </c>
      <c r="G498" s="52" t="s">
        <v>60</v>
      </c>
      <c r="H498" s="54">
        <v>46082</v>
      </c>
      <c r="I498" s="52" t="s">
        <v>271</v>
      </c>
      <c r="J498" s="52" t="s">
        <v>526</v>
      </c>
      <c r="K498" s="52" t="s">
        <v>1481</v>
      </c>
      <c r="L498" s="52" t="s">
        <v>1481</v>
      </c>
      <c r="M498" s="52" t="s">
        <v>29</v>
      </c>
      <c r="N498" s="53">
        <v>-3115</v>
      </c>
      <c r="O498" s="53">
        <v>-3115</v>
      </c>
      <c r="P498" s="52" t="s">
        <v>1379</v>
      </c>
      <c r="Q498" s="52" t="s">
        <v>1482</v>
      </c>
      <c r="R498" s="55" t="s">
        <v>64</v>
      </c>
      <c r="S498" s="52" t="s">
        <v>526</v>
      </c>
    </row>
    <row r="499" spans="1:52" outlineLevel="2" x14ac:dyDescent="0.45">
      <c r="A499" t="s">
        <v>17</v>
      </c>
      <c r="B499" s="52" t="s">
        <v>57</v>
      </c>
      <c r="C499" s="52" t="s">
        <v>376</v>
      </c>
      <c r="D499" s="52" t="s">
        <v>377</v>
      </c>
      <c r="E499" s="52" t="s">
        <v>387</v>
      </c>
      <c r="F499" s="52" t="s">
        <v>1136</v>
      </c>
      <c r="G499" s="52" t="s">
        <v>60</v>
      </c>
      <c r="H499" s="54">
        <v>46082</v>
      </c>
      <c r="I499" s="52" t="s">
        <v>271</v>
      </c>
      <c r="J499" s="52" t="s">
        <v>526</v>
      </c>
      <c r="K499" s="52" t="s">
        <v>1407</v>
      </c>
      <c r="L499" s="52" t="s">
        <v>1407</v>
      </c>
      <c r="M499" s="52" t="s">
        <v>29</v>
      </c>
      <c r="N499" s="53">
        <v>-3004</v>
      </c>
      <c r="O499" s="53">
        <v>-3004</v>
      </c>
      <c r="P499" s="52" t="s">
        <v>1393</v>
      </c>
      <c r="Q499" s="52" t="s">
        <v>1489</v>
      </c>
      <c r="R499" s="55" t="s">
        <v>64</v>
      </c>
      <c r="S499" s="52" t="s">
        <v>526</v>
      </c>
    </row>
    <row r="500" spans="1:52" outlineLevel="2" x14ac:dyDescent="0.45">
      <c r="A500" t="s">
        <v>17</v>
      </c>
      <c r="B500" s="52" t="s">
        <v>57</v>
      </c>
      <c r="C500" s="52" t="s">
        <v>747</v>
      </c>
      <c r="D500" s="52" t="s">
        <v>748</v>
      </c>
      <c r="E500" s="52" t="s">
        <v>387</v>
      </c>
      <c r="F500" s="52" t="s">
        <v>1251</v>
      </c>
      <c r="G500" s="52" t="s">
        <v>60</v>
      </c>
      <c r="H500" s="54">
        <v>46082</v>
      </c>
      <c r="I500" s="52" t="s">
        <v>271</v>
      </c>
      <c r="J500" s="52" t="s">
        <v>319</v>
      </c>
      <c r="K500" s="52" t="s">
        <v>1527</v>
      </c>
      <c r="L500" s="52" t="s">
        <v>1527</v>
      </c>
      <c r="M500" s="52" t="s">
        <v>29</v>
      </c>
      <c r="N500" s="53">
        <v>-2713.9</v>
      </c>
      <c r="O500" s="53">
        <v>-2713.9</v>
      </c>
      <c r="P500" s="52" t="s">
        <v>1528</v>
      </c>
      <c r="Q500" s="52" t="s">
        <v>1529</v>
      </c>
      <c r="R500" s="55" t="s">
        <v>64</v>
      </c>
      <c r="S500" s="52" t="s">
        <v>319</v>
      </c>
    </row>
    <row r="501" spans="1:52" outlineLevel="2" x14ac:dyDescent="0.45">
      <c r="A501" t="s">
        <v>17</v>
      </c>
      <c r="B501" s="52" t="s">
        <v>57</v>
      </c>
      <c r="C501" s="52" t="s">
        <v>376</v>
      </c>
      <c r="D501" s="52" t="s">
        <v>377</v>
      </c>
      <c r="E501" s="52" t="s">
        <v>387</v>
      </c>
      <c r="F501" s="52" t="s">
        <v>1530</v>
      </c>
      <c r="G501" s="52" t="s">
        <v>60</v>
      </c>
      <c r="H501" s="54">
        <v>46082</v>
      </c>
      <c r="I501" s="52" t="s">
        <v>271</v>
      </c>
      <c r="J501" s="52" t="s">
        <v>526</v>
      </c>
      <c r="K501" s="52" t="s">
        <v>1469</v>
      </c>
      <c r="L501" s="52" t="s">
        <v>1469</v>
      </c>
      <c r="M501" s="52" t="s">
        <v>29</v>
      </c>
      <c r="N501" s="53">
        <v>-2622.54</v>
      </c>
      <c r="O501" s="53">
        <v>-2622.54</v>
      </c>
      <c r="P501" s="52" t="s">
        <v>1379</v>
      </c>
      <c r="Q501" s="52" t="s">
        <v>1470</v>
      </c>
      <c r="R501" s="55" t="s">
        <v>64</v>
      </c>
      <c r="S501" s="52" t="s">
        <v>526</v>
      </c>
    </row>
    <row r="502" spans="1:52" outlineLevel="2" x14ac:dyDescent="0.45">
      <c r="A502" t="s">
        <v>17</v>
      </c>
      <c r="B502" s="52" t="s">
        <v>57</v>
      </c>
      <c r="C502" s="52" t="s">
        <v>376</v>
      </c>
      <c r="D502" s="52" t="s">
        <v>377</v>
      </c>
      <c r="E502" s="52" t="s">
        <v>387</v>
      </c>
      <c r="F502" s="52" t="s">
        <v>1531</v>
      </c>
      <c r="G502" s="52" t="s">
        <v>60</v>
      </c>
      <c r="H502" s="54">
        <v>46082</v>
      </c>
      <c r="I502" s="52" t="s">
        <v>271</v>
      </c>
      <c r="J502" s="52" t="s">
        <v>526</v>
      </c>
      <c r="K502" s="52" t="s">
        <v>1469</v>
      </c>
      <c r="L502" s="52" t="s">
        <v>1469</v>
      </c>
      <c r="M502" s="52" t="s">
        <v>29</v>
      </c>
      <c r="N502" s="53">
        <v>-2601.73</v>
      </c>
      <c r="O502" s="53">
        <v>-2601.73</v>
      </c>
      <c r="P502" s="52" t="s">
        <v>1379</v>
      </c>
      <c r="Q502" s="52" t="s">
        <v>1470</v>
      </c>
      <c r="R502" s="55" t="s">
        <v>64</v>
      </c>
      <c r="S502" s="52" t="s">
        <v>526</v>
      </c>
    </row>
    <row r="503" spans="1:52" outlineLevel="2" x14ac:dyDescent="0.45">
      <c r="A503" t="s">
        <v>17</v>
      </c>
      <c r="B503" s="52" t="s">
        <v>57</v>
      </c>
      <c r="C503" s="52" t="s">
        <v>870</v>
      </c>
      <c r="D503" s="52" t="s">
        <v>871</v>
      </c>
      <c r="E503" s="52" t="s">
        <v>387</v>
      </c>
      <c r="F503" s="52" t="s">
        <v>1532</v>
      </c>
      <c r="G503" s="52" t="s">
        <v>60</v>
      </c>
      <c r="H503" s="54">
        <v>46082</v>
      </c>
      <c r="I503" s="52" t="s">
        <v>271</v>
      </c>
      <c r="J503" s="52" t="s">
        <v>314</v>
      </c>
      <c r="K503" s="52"/>
      <c r="L503" s="52"/>
      <c r="M503" s="52" t="s">
        <v>29</v>
      </c>
      <c r="N503" s="53">
        <v>-2556.1799999999998</v>
      </c>
      <c r="O503" s="53">
        <v>-2556.1799999999998</v>
      </c>
      <c r="P503" s="52" t="s">
        <v>1533</v>
      </c>
      <c r="Q503" s="52" t="s">
        <v>1533</v>
      </c>
      <c r="R503" s="55" t="s">
        <v>64</v>
      </c>
      <c r="S503" s="52" t="s">
        <v>314</v>
      </c>
    </row>
    <row r="504" spans="1:52" s="59" customFormat="1" outlineLevel="2" x14ac:dyDescent="0.45">
      <c r="A504" t="s">
        <v>17</v>
      </c>
      <c r="B504" s="52" t="s">
        <v>57</v>
      </c>
      <c r="C504" s="52" t="s">
        <v>747</v>
      </c>
      <c r="D504" s="52" t="s">
        <v>748</v>
      </c>
      <c r="E504" s="52" t="s">
        <v>387</v>
      </c>
      <c r="F504" s="52" t="s">
        <v>1251</v>
      </c>
      <c r="G504" s="52" t="s">
        <v>60</v>
      </c>
      <c r="H504" s="54">
        <v>46082</v>
      </c>
      <c r="I504" s="52" t="s">
        <v>271</v>
      </c>
      <c r="J504" s="52" t="s">
        <v>319</v>
      </c>
      <c r="K504" s="52" t="s">
        <v>1534</v>
      </c>
      <c r="L504" s="52" t="s">
        <v>1534</v>
      </c>
      <c r="M504" s="52" t="s">
        <v>29</v>
      </c>
      <c r="N504" s="53">
        <v>-2548.1999999999998</v>
      </c>
      <c r="O504" s="53">
        <v>-2548.1999999999998</v>
      </c>
      <c r="P504" s="52" t="s">
        <v>1535</v>
      </c>
      <c r="Q504" s="52" t="s">
        <v>1529</v>
      </c>
      <c r="R504" s="55" t="s">
        <v>64</v>
      </c>
      <c r="S504" s="52" t="s">
        <v>319</v>
      </c>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row>
    <row r="505" spans="1:52" outlineLevel="2" x14ac:dyDescent="0.45">
      <c r="A505" t="s">
        <v>17</v>
      </c>
      <c r="B505" s="52" t="s">
        <v>57</v>
      </c>
      <c r="C505" s="52" t="s">
        <v>758</v>
      </c>
      <c r="D505" s="52" t="s">
        <v>759</v>
      </c>
      <c r="E505" s="52" t="s">
        <v>387</v>
      </c>
      <c r="F505" s="52" t="s">
        <v>1536</v>
      </c>
      <c r="G505" s="52" t="s">
        <v>60</v>
      </c>
      <c r="H505" s="54">
        <v>46082</v>
      </c>
      <c r="I505" s="52" t="s">
        <v>271</v>
      </c>
      <c r="J505" s="52" t="s">
        <v>325</v>
      </c>
      <c r="K505" s="52" t="s">
        <v>1537</v>
      </c>
      <c r="L505" s="52" t="s">
        <v>1537</v>
      </c>
      <c r="M505" s="52" t="s">
        <v>29</v>
      </c>
      <c r="N505" s="53">
        <v>-2370.3000000000002</v>
      </c>
      <c r="O505" s="53">
        <v>-2370.3000000000002</v>
      </c>
      <c r="P505" s="52" t="s">
        <v>1538</v>
      </c>
      <c r="Q505" s="52" t="s">
        <v>1500</v>
      </c>
      <c r="R505" s="55" t="s">
        <v>64</v>
      </c>
      <c r="S505" s="52" t="s">
        <v>325</v>
      </c>
    </row>
    <row r="506" spans="1:52" outlineLevel="2" x14ac:dyDescent="0.45">
      <c r="A506" t="s">
        <v>17</v>
      </c>
      <c r="B506" s="52" t="s">
        <v>57</v>
      </c>
      <c r="C506" s="52" t="s">
        <v>376</v>
      </c>
      <c r="D506" s="52" t="s">
        <v>377</v>
      </c>
      <c r="E506" s="52" t="s">
        <v>387</v>
      </c>
      <c r="F506" s="52" t="s">
        <v>1504</v>
      </c>
      <c r="G506" s="52" t="s">
        <v>60</v>
      </c>
      <c r="H506" s="54">
        <v>46082</v>
      </c>
      <c r="I506" s="52" t="s">
        <v>271</v>
      </c>
      <c r="J506" s="52" t="s">
        <v>526</v>
      </c>
      <c r="K506" s="52" t="s">
        <v>1539</v>
      </c>
      <c r="L506" s="52" t="s">
        <v>1539</v>
      </c>
      <c r="M506" s="52" t="s">
        <v>29</v>
      </c>
      <c r="N506" s="53">
        <v>-2288.11</v>
      </c>
      <c r="O506" s="53">
        <v>-2288.11</v>
      </c>
      <c r="P506" s="52" t="s">
        <v>1374</v>
      </c>
      <c r="Q506" s="52" t="s">
        <v>1507</v>
      </c>
      <c r="R506" s="55" t="s">
        <v>64</v>
      </c>
      <c r="S506" s="52" t="s">
        <v>526</v>
      </c>
    </row>
    <row r="507" spans="1:52" outlineLevel="2" x14ac:dyDescent="0.45">
      <c r="A507" t="s">
        <v>17</v>
      </c>
      <c r="B507" s="52" t="s">
        <v>57</v>
      </c>
      <c r="C507" s="52" t="s">
        <v>785</v>
      </c>
      <c r="D507" s="52" t="s">
        <v>786</v>
      </c>
      <c r="E507" s="52" t="s">
        <v>387</v>
      </c>
      <c r="F507" s="52" t="s">
        <v>1540</v>
      </c>
      <c r="G507" s="52" t="s">
        <v>60</v>
      </c>
      <c r="H507" s="54">
        <v>46082</v>
      </c>
      <c r="I507" s="52" t="s">
        <v>271</v>
      </c>
      <c r="J507" s="52" t="s">
        <v>314</v>
      </c>
      <c r="K507" s="52" t="s">
        <v>1541</v>
      </c>
      <c r="L507" s="52" t="s">
        <v>1541</v>
      </c>
      <c r="M507" s="52" t="s">
        <v>29</v>
      </c>
      <c r="N507" s="53">
        <v>-2232.56</v>
      </c>
      <c r="O507" s="53">
        <v>-2232.56</v>
      </c>
      <c r="P507" s="52" t="s">
        <v>1542</v>
      </c>
      <c r="Q507" s="52" t="s">
        <v>1543</v>
      </c>
      <c r="R507" s="55" t="s">
        <v>64</v>
      </c>
      <c r="S507" s="52" t="s">
        <v>314</v>
      </c>
    </row>
    <row r="508" spans="1:52" outlineLevel="2" x14ac:dyDescent="0.45">
      <c r="A508" t="s">
        <v>17</v>
      </c>
      <c r="B508" s="52" t="s">
        <v>57</v>
      </c>
      <c r="C508" s="52" t="s">
        <v>774</v>
      </c>
      <c r="D508" s="52" t="s">
        <v>775</v>
      </c>
      <c r="E508" s="52" t="s">
        <v>387</v>
      </c>
      <c r="F508" s="52" t="s">
        <v>1544</v>
      </c>
      <c r="G508" s="52" t="s">
        <v>60</v>
      </c>
      <c r="H508" s="54">
        <v>46082</v>
      </c>
      <c r="I508" s="52" t="s">
        <v>271</v>
      </c>
      <c r="J508" s="52" t="s">
        <v>314</v>
      </c>
      <c r="K508" s="52" t="s">
        <v>777</v>
      </c>
      <c r="L508" s="52" t="s">
        <v>777</v>
      </c>
      <c r="M508" s="52" t="s">
        <v>29</v>
      </c>
      <c r="N508" s="53">
        <v>-2101.16</v>
      </c>
      <c r="O508" s="53">
        <v>-2101.16</v>
      </c>
      <c r="P508" s="52" t="s">
        <v>778</v>
      </c>
      <c r="Q508" s="52" t="s">
        <v>1545</v>
      </c>
      <c r="R508" s="55" t="s">
        <v>64</v>
      </c>
      <c r="S508" s="52" t="s">
        <v>314</v>
      </c>
    </row>
    <row r="509" spans="1:52" outlineLevel="2" x14ac:dyDescent="0.45">
      <c r="A509" t="s">
        <v>17</v>
      </c>
      <c r="B509" s="52" t="s">
        <v>57</v>
      </c>
      <c r="C509" s="52" t="s">
        <v>376</v>
      </c>
      <c r="D509" s="52" t="s">
        <v>377</v>
      </c>
      <c r="E509" s="52" t="s">
        <v>387</v>
      </c>
      <c r="F509" s="52" t="s">
        <v>1546</v>
      </c>
      <c r="G509" s="52" t="s">
        <v>60</v>
      </c>
      <c r="H509" s="54">
        <v>46082</v>
      </c>
      <c r="I509" s="52" t="s">
        <v>271</v>
      </c>
      <c r="J509" s="52" t="s">
        <v>314</v>
      </c>
      <c r="K509" s="52" t="s">
        <v>1362</v>
      </c>
      <c r="L509" s="52" t="s">
        <v>1362</v>
      </c>
      <c r="M509" s="52" t="s">
        <v>29</v>
      </c>
      <c r="N509" s="53">
        <v>-2096.81</v>
      </c>
      <c r="O509" s="53">
        <v>-2096.81</v>
      </c>
      <c r="P509" s="52" t="s">
        <v>1363</v>
      </c>
      <c r="Q509" s="52" t="s">
        <v>1364</v>
      </c>
      <c r="R509" s="55" t="s">
        <v>64</v>
      </c>
      <c r="S509" s="52" t="s">
        <v>314</v>
      </c>
    </row>
    <row r="510" spans="1:52" outlineLevel="2" x14ac:dyDescent="0.45">
      <c r="A510" t="s">
        <v>17</v>
      </c>
      <c r="B510" s="52" t="s">
        <v>57</v>
      </c>
      <c r="C510" s="52" t="s">
        <v>1547</v>
      </c>
      <c r="D510" s="52" t="s">
        <v>1548</v>
      </c>
      <c r="E510" s="52" t="s">
        <v>387</v>
      </c>
      <c r="F510" s="52" t="s">
        <v>1549</v>
      </c>
      <c r="G510" s="52" t="s">
        <v>60</v>
      </c>
      <c r="H510" s="54">
        <v>46082</v>
      </c>
      <c r="I510" s="52" t="s">
        <v>271</v>
      </c>
      <c r="J510" s="52" t="s">
        <v>272</v>
      </c>
      <c r="K510" s="52" t="s">
        <v>1550</v>
      </c>
      <c r="L510" s="52" t="s">
        <v>1550</v>
      </c>
      <c r="M510" s="52" t="s">
        <v>29</v>
      </c>
      <c r="N510" s="53">
        <v>-2006.19</v>
      </c>
      <c r="O510" s="53">
        <v>-2006.19</v>
      </c>
      <c r="P510" s="52" t="s">
        <v>1551</v>
      </c>
      <c r="Q510" s="52" t="s">
        <v>1552</v>
      </c>
      <c r="R510" s="55" t="s">
        <v>64</v>
      </c>
      <c r="S510" s="52" t="s">
        <v>272</v>
      </c>
    </row>
    <row r="511" spans="1:52" outlineLevel="2" x14ac:dyDescent="0.45">
      <c r="A511" t="s">
        <v>17</v>
      </c>
      <c r="B511" s="52" t="s">
        <v>57</v>
      </c>
      <c r="C511" s="52" t="s">
        <v>376</v>
      </c>
      <c r="D511" s="52" t="s">
        <v>377</v>
      </c>
      <c r="E511" s="52" t="s">
        <v>387</v>
      </c>
      <c r="F511" s="52" t="s">
        <v>994</v>
      </c>
      <c r="G511" s="52" t="s">
        <v>60</v>
      </c>
      <c r="H511" s="54">
        <v>46082</v>
      </c>
      <c r="I511" s="52" t="s">
        <v>271</v>
      </c>
      <c r="J511" s="52" t="s">
        <v>519</v>
      </c>
      <c r="K511" s="52" t="s">
        <v>1383</v>
      </c>
      <c r="L511" s="52" t="s">
        <v>1383</v>
      </c>
      <c r="M511" s="52" t="s">
        <v>29</v>
      </c>
      <c r="N511" s="53">
        <v>-2000</v>
      </c>
      <c r="O511" s="53">
        <v>-2000</v>
      </c>
      <c r="P511" s="52" t="s">
        <v>1384</v>
      </c>
      <c r="Q511" s="52" t="s">
        <v>1553</v>
      </c>
      <c r="R511" s="55" t="s">
        <v>64</v>
      </c>
      <c r="S511" s="52" t="s">
        <v>519</v>
      </c>
    </row>
    <row r="512" spans="1:52" outlineLevel="2" x14ac:dyDescent="0.45">
      <c r="A512" t="s">
        <v>17</v>
      </c>
      <c r="B512" s="52" t="s">
        <v>57</v>
      </c>
      <c r="C512" s="52" t="s">
        <v>376</v>
      </c>
      <c r="D512" s="52" t="s">
        <v>377</v>
      </c>
      <c r="E512" s="52" t="s">
        <v>387</v>
      </c>
      <c r="F512" s="52" t="s">
        <v>356</v>
      </c>
      <c r="G512" s="52" t="s">
        <v>60</v>
      </c>
      <c r="H512" s="54">
        <v>46082</v>
      </c>
      <c r="I512" s="52" t="s">
        <v>271</v>
      </c>
      <c r="J512" s="52" t="s">
        <v>526</v>
      </c>
      <c r="K512" s="52" t="s">
        <v>1373</v>
      </c>
      <c r="L512" s="52" t="s">
        <v>1373</v>
      </c>
      <c r="M512" s="52" t="s">
        <v>29</v>
      </c>
      <c r="N512" s="53">
        <v>-2000</v>
      </c>
      <c r="O512" s="53">
        <v>-2000</v>
      </c>
      <c r="P512" s="52" t="s">
        <v>1374</v>
      </c>
      <c r="Q512" s="52" t="s">
        <v>1554</v>
      </c>
      <c r="R512" s="55" t="s">
        <v>64</v>
      </c>
      <c r="S512" s="52" t="s">
        <v>526</v>
      </c>
    </row>
    <row r="513" spans="1:52" outlineLevel="2" x14ac:dyDescent="0.45">
      <c r="A513" t="s">
        <v>17</v>
      </c>
      <c r="B513" s="52" t="s">
        <v>57</v>
      </c>
      <c r="C513" s="52" t="s">
        <v>630</v>
      </c>
      <c r="D513" s="52" t="s">
        <v>631</v>
      </c>
      <c r="E513" s="52" t="s">
        <v>387</v>
      </c>
      <c r="F513" s="52" t="s">
        <v>1555</v>
      </c>
      <c r="G513" s="52" t="s">
        <v>60</v>
      </c>
      <c r="H513" s="54">
        <v>46082</v>
      </c>
      <c r="I513" s="52" t="s">
        <v>271</v>
      </c>
      <c r="J513" s="52" t="s">
        <v>314</v>
      </c>
      <c r="K513" s="52" t="s">
        <v>1417</v>
      </c>
      <c r="L513" s="52" t="s">
        <v>1417</v>
      </c>
      <c r="M513" s="52" t="s">
        <v>29</v>
      </c>
      <c r="N513" s="53">
        <v>-2000</v>
      </c>
      <c r="O513" s="53">
        <v>-2000</v>
      </c>
      <c r="P513" s="52" t="s">
        <v>1418</v>
      </c>
      <c r="Q513" s="52" t="s">
        <v>1419</v>
      </c>
      <c r="R513" s="55" t="s">
        <v>64</v>
      </c>
      <c r="S513" s="52" t="s">
        <v>314</v>
      </c>
      <c r="T513" s="59"/>
      <c r="U513" s="59"/>
      <c r="V513" s="59"/>
      <c r="W513" s="59"/>
      <c r="X513" s="59"/>
      <c r="Y513" s="59"/>
      <c r="Z513" s="59"/>
      <c r="AA513" s="59"/>
      <c r="AB513" s="59"/>
      <c r="AC513" s="59"/>
      <c r="AD513" s="59"/>
      <c r="AE513" s="59"/>
      <c r="AF513" s="59"/>
      <c r="AG513" s="59"/>
      <c r="AH513" s="59"/>
      <c r="AI513" s="59"/>
      <c r="AJ513" s="59"/>
      <c r="AK513" s="59"/>
      <c r="AL513" s="59"/>
      <c r="AM513" s="59"/>
      <c r="AN513" s="59"/>
      <c r="AO513" s="59"/>
      <c r="AP513" s="59"/>
      <c r="AQ513" s="59"/>
      <c r="AR513" s="59"/>
      <c r="AS513" s="59"/>
      <c r="AT513" s="59"/>
      <c r="AU513" s="59"/>
      <c r="AV513" s="59"/>
      <c r="AW513" s="59"/>
      <c r="AX513" s="59"/>
      <c r="AY513" s="59"/>
      <c r="AZ513" s="59"/>
    </row>
    <row r="514" spans="1:52" outlineLevel="2" x14ac:dyDescent="0.45">
      <c r="A514" t="s">
        <v>17</v>
      </c>
      <c r="B514" s="52" t="s">
        <v>57</v>
      </c>
      <c r="C514" s="52" t="s">
        <v>774</v>
      </c>
      <c r="D514" s="52" t="s">
        <v>775</v>
      </c>
      <c r="E514" s="52" t="s">
        <v>387</v>
      </c>
      <c r="F514" s="52" t="s">
        <v>1556</v>
      </c>
      <c r="G514" s="52" t="s">
        <v>60</v>
      </c>
      <c r="H514" s="54">
        <v>46082</v>
      </c>
      <c r="I514" s="52" t="s">
        <v>271</v>
      </c>
      <c r="J514" s="52" t="s">
        <v>325</v>
      </c>
      <c r="K514" s="52" t="s">
        <v>777</v>
      </c>
      <c r="L514" s="52" t="s">
        <v>777</v>
      </c>
      <c r="M514" s="52" t="s">
        <v>29</v>
      </c>
      <c r="N514" s="53">
        <v>-2000</v>
      </c>
      <c r="O514" s="53">
        <v>-2000</v>
      </c>
      <c r="P514" s="52" t="s">
        <v>778</v>
      </c>
      <c r="Q514" s="52" t="s">
        <v>1557</v>
      </c>
      <c r="R514" s="55" t="s">
        <v>64</v>
      </c>
      <c r="S514" s="52" t="s">
        <v>325</v>
      </c>
    </row>
    <row r="515" spans="1:52" outlineLevel="2" x14ac:dyDescent="0.45">
      <c r="A515" t="s">
        <v>17</v>
      </c>
      <c r="B515" s="52" t="s">
        <v>57</v>
      </c>
      <c r="C515" s="52" t="s">
        <v>774</v>
      </c>
      <c r="D515" s="52" t="s">
        <v>775</v>
      </c>
      <c r="E515" s="52" t="s">
        <v>387</v>
      </c>
      <c r="F515" s="52" t="s">
        <v>1558</v>
      </c>
      <c r="G515" s="52" t="s">
        <v>60</v>
      </c>
      <c r="H515" s="54">
        <v>46082</v>
      </c>
      <c r="I515" s="52" t="s">
        <v>271</v>
      </c>
      <c r="J515" s="52" t="s">
        <v>325</v>
      </c>
      <c r="K515" s="52" t="s">
        <v>777</v>
      </c>
      <c r="L515" s="52" t="s">
        <v>777</v>
      </c>
      <c r="M515" s="52" t="s">
        <v>29</v>
      </c>
      <c r="N515" s="53">
        <v>-1938.1</v>
      </c>
      <c r="O515" s="53">
        <v>-1938.1</v>
      </c>
      <c r="P515" s="52" t="s">
        <v>778</v>
      </c>
      <c r="Q515" s="52" t="s">
        <v>1559</v>
      </c>
      <c r="R515" s="55" t="s">
        <v>64</v>
      </c>
      <c r="S515" s="52" t="s">
        <v>325</v>
      </c>
    </row>
    <row r="516" spans="1:52" outlineLevel="2" x14ac:dyDescent="0.45">
      <c r="A516" t="s">
        <v>17</v>
      </c>
      <c r="B516" s="52" t="s">
        <v>57</v>
      </c>
      <c r="C516" s="52" t="s">
        <v>829</v>
      </c>
      <c r="D516" s="52" t="s">
        <v>830</v>
      </c>
      <c r="E516" s="52" t="s">
        <v>387</v>
      </c>
      <c r="F516" s="52" t="s">
        <v>1560</v>
      </c>
      <c r="G516" s="52" t="s">
        <v>60</v>
      </c>
      <c r="H516" s="54">
        <v>46082</v>
      </c>
      <c r="I516" s="52" t="s">
        <v>271</v>
      </c>
      <c r="J516" s="52" t="s">
        <v>306</v>
      </c>
      <c r="K516" s="52" t="s">
        <v>1561</v>
      </c>
      <c r="L516" s="52" t="s">
        <v>1562</v>
      </c>
      <c r="M516" s="52" t="s">
        <v>29</v>
      </c>
      <c r="N516" s="53">
        <v>-1808.4</v>
      </c>
      <c r="O516" s="53">
        <v>-1808.4</v>
      </c>
      <c r="P516" s="52" t="s">
        <v>834</v>
      </c>
      <c r="Q516" s="52" t="s">
        <v>1563</v>
      </c>
      <c r="R516" s="55" t="s">
        <v>64</v>
      </c>
      <c r="S516" s="52" t="s">
        <v>306</v>
      </c>
    </row>
    <row r="517" spans="1:52" outlineLevel="2" x14ac:dyDescent="0.45">
      <c r="A517" t="s">
        <v>17</v>
      </c>
      <c r="B517" s="52" t="s">
        <v>57</v>
      </c>
      <c r="C517" s="52" t="s">
        <v>376</v>
      </c>
      <c r="D517" s="52" t="s">
        <v>377</v>
      </c>
      <c r="E517" s="52" t="s">
        <v>387</v>
      </c>
      <c r="F517" s="52" t="s">
        <v>1564</v>
      </c>
      <c r="G517" s="52" t="s">
        <v>60</v>
      </c>
      <c r="H517" s="54">
        <v>46082</v>
      </c>
      <c r="I517" s="52" t="s">
        <v>271</v>
      </c>
      <c r="J517" s="52" t="s">
        <v>519</v>
      </c>
      <c r="K517" s="52" t="s">
        <v>1383</v>
      </c>
      <c r="L517" s="52" t="s">
        <v>1383</v>
      </c>
      <c r="M517" s="52" t="s">
        <v>29</v>
      </c>
      <c r="N517" s="53">
        <v>-1700</v>
      </c>
      <c r="O517" s="53">
        <v>-1700</v>
      </c>
      <c r="P517" s="52" t="s">
        <v>1384</v>
      </c>
      <c r="Q517" s="52" t="s">
        <v>1553</v>
      </c>
      <c r="R517" s="55" t="s">
        <v>64</v>
      </c>
      <c r="S517" s="52" t="s">
        <v>519</v>
      </c>
    </row>
    <row r="518" spans="1:52" outlineLevel="2" x14ac:dyDescent="0.45">
      <c r="A518" t="s">
        <v>17</v>
      </c>
      <c r="B518" s="52" t="s">
        <v>57</v>
      </c>
      <c r="C518" s="52" t="s">
        <v>805</v>
      </c>
      <c r="D518" s="52" t="s">
        <v>806</v>
      </c>
      <c r="E518" s="52" t="s">
        <v>387</v>
      </c>
      <c r="F518" s="52" t="s">
        <v>1565</v>
      </c>
      <c r="G518" s="52" t="s">
        <v>60</v>
      </c>
      <c r="H518" s="54">
        <v>46082</v>
      </c>
      <c r="I518" s="52" t="s">
        <v>271</v>
      </c>
      <c r="J518" s="52" t="s">
        <v>325</v>
      </c>
      <c r="K518" s="52" t="s">
        <v>1566</v>
      </c>
      <c r="L518" s="52" t="s">
        <v>1566</v>
      </c>
      <c r="M518" s="52" t="s">
        <v>29</v>
      </c>
      <c r="N518" s="53">
        <v>-1652</v>
      </c>
      <c r="O518" s="53">
        <v>-1652</v>
      </c>
      <c r="P518" s="52" t="s">
        <v>1567</v>
      </c>
      <c r="Q518" s="52" t="s">
        <v>1500</v>
      </c>
      <c r="R518" s="55" t="s">
        <v>64</v>
      </c>
      <c r="S518" s="52" t="s">
        <v>325</v>
      </c>
    </row>
    <row r="519" spans="1:52" outlineLevel="2" x14ac:dyDescent="0.45">
      <c r="A519" t="s">
        <v>17</v>
      </c>
      <c r="B519" s="52" t="s">
        <v>57</v>
      </c>
      <c r="C519" s="52" t="s">
        <v>774</v>
      </c>
      <c r="D519" s="52" t="s">
        <v>775</v>
      </c>
      <c r="E519" s="52" t="s">
        <v>387</v>
      </c>
      <c r="F519" s="52" t="s">
        <v>1544</v>
      </c>
      <c r="G519" s="52" t="s">
        <v>60</v>
      </c>
      <c r="H519" s="54">
        <v>46082</v>
      </c>
      <c r="I519" s="52" t="s">
        <v>271</v>
      </c>
      <c r="J519" s="52" t="s">
        <v>314</v>
      </c>
      <c r="K519" s="52" t="s">
        <v>777</v>
      </c>
      <c r="L519" s="52" t="s">
        <v>777</v>
      </c>
      <c r="M519" s="52" t="s">
        <v>29</v>
      </c>
      <c r="N519" s="53">
        <v>-1561.78</v>
      </c>
      <c r="O519" s="53">
        <v>-1561.78</v>
      </c>
      <c r="P519" s="52" t="s">
        <v>778</v>
      </c>
      <c r="Q519" s="52" t="s">
        <v>1545</v>
      </c>
      <c r="R519" s="55" t="s">
        <v>64</v>
      </c>
      <c r="S519" s="52" t="s">
        <v>314</v>
      </c>
    </row>
    <row r="520" spans="1:52" outlineLevel="2" x14ac:dyDescent="0.45">
      <c r="A520" t="s">
        <v>17</v>
      </c>
      <c r="B520" s="52" t="s">
        <v>66</v>
      </c>
      <c r="C520" s="52"/>
      <c r="D520" s="52" t="s">
        <v>1276</v>
      </c>
      <c r="E520" s="52" t="s">
        <v>387</v>
      </c>
      <c r="F520" s="52" t="s">
        <v>1568</v>
      </c>
      <c r="G520" s="52" t="s">
        <v>60</v>
      </c>
      <c r="H520" s="54">
        <v>46082</v>
      </c>
      <c r="I520" s="52" t="s">
        <v>271</v>
      </c>
      <c r="J520" s="52" t="s">
        <v>513</v>
      </c>
      <c r="K520" s="52"/>
      <c r="L520" s="52"/>
      <c r="M520" s="52" t="s">
        <v>67</v>
      </c>
      <c r="N520" s="53">
        <v>-438.49</v>
      </c>
      <c r="O520" s="53">
        <v>-1524.63</v>
      </c>
      <c r="P520" s="52" t="s">
        <v>1569</v>
      </c>
      <c r="Q520" s="52" t="s">
        <v>1569</v>
      </c>
      <c r="R520" s="55" t="s">
        <v>64</v>
      </c>
      <c r="S520" s="52" t="s">
        <v>513</v>
      </c>
    </row>
    <row r="521" spans="1:52" outlineLevel="2" x14ac:dyDescent="0.45">
      <c r="A521" t="s">
        <v>17</v>
      </c>
      <c r="B521" s="52" t="s">
        <v>57</v>
      </c>
      <c r="C521" s="52" t="s">
        <v>376</v>
      </c>
      <c r="D521" s="52" t="s">
        <v>377</v>
      </c>
      <c r="E521" s="52" t="s">
        <v>387</v>
      </c>
      <c r="F521" s="52" t="s">
        <v>491</v>
      </c>
      <c r="G521" s="52" t="s">
        <v>60</v>
      </c>
      <c r="H521" s="54">
        <v>46082</v>
      </c>
      <c r="I521" s="52" t="s">
        <v>271</v>
      </c>
      <c r="J521" s="52" t="s">
        <v>526</v>
      </c>
      <c r="K521" s="52" t="s">
        <v>1386</v>
      </c>
      <c r="L521" s="52" t="s">
        <v>1386</v>
      </c>
      <c r="M521" s="52" t="s">
        <v>29</v>
      </c>
      <c r="N521" s="53">
        <v>-1454.35</v>
      </c>
      <c r="O521" s="53">
        <v>-1454.35</v>
      </c>
      <c r="P521" s="52" t="s">
        <v>1387</v>
      </c>
      <c r="Q521" s="52" t="s">
        <v>1390</v>
      </c>
      <c r="R521" s="55" t="s">
        <v>64</v>
      </c>
      <c r="S521" s="52" t="s">
        <v>526</v>
      </c>
    </row>
    <row r="522" spans="1:52" outlineLevel="2" x14ac:dyDescent="0.45">
      <c r="A522" t="s">
        <v>17</v>
      </c>
      <c r="B522" s="52" t="s">
        <v>57</v>
      </c>
      <c r="C522" s="52" t="s">
        <v>682</v>
      </c>
      <c r="D522" s="52" t="s">
        <v>683</v>
      </c>
      <c r="E522" s="52" t="s">
        <v>387</v>
      </c>
      <c r="F522" s="52" t="s">
        <v>821</v>
      </c>
      <c r="G522" s="52" t="s">
        <v>60</v>
      </c>
      <c r="H522" s="54">
        <v>46082</v>
      </c>
      <c r="I522" s="52" t="s">
        <v>271</v>
      </c>
      <c r="J522" s="52" t="s">
        <v>1522</v>
      </c>
      <c r="K522" s="52" t="s">
        <v>1432</v>
      </c>
      <c r="L522" s="52" t="s">
        <v>1432</v>
      </c>
      <c r="M522" s="52" t="s">
        <v>29</v>
      </c>
      <c r="N522" s="53">
        <v>-1426</v>
      </c>
      <c r="O522" s="53">
        <v>-1426</v>
      </c>
      <c r="P522" s="52" t="s">
        <v>1433</v>
      </c>
      <c r="Q522" s="52" t="s">
        <v>1525</v>
      </c>
      <c r="R522" s="55" t="s">
        <v>64</v>
      </c>
      <c r="S522" s="52" t="s">
        <v>1522</v>
      </c>
    </row>
    <row r="523" spans="1:52" outlineLevel="2" x14ac:dyDescent="0.45">
      <c r="A523" t="s">
        <v>17</v>
      </c>
      <c r="B523" s="52" t="s">
        <v>57</v>
      </c>
      <c r="C523" s="52" t="s">
        <v>870</v>
      </c>
      <c r="D523" s="52" t="s">
        <v>871</v>
      </c>
      <c r="E523" s="52" t="s">
        <v>387</v>
      </c>
      <c r="F523" s="52" t="s">
        <v>1570</v>
      </c>
      <c r="G523" s="52" t="s">
        <v>60</v>
      </c>
      <c r="H523" s="54">
        <v>46082</v>
      </c>
      <c r="I523" s="52" t="s">
        <v>271</v>
      </c>
      <c r="J523" s="52" t="s">
        <v>272</v>
      </c>
      <c r="K523" s="52"/>
      <c r="L523" s="52"/>
      <c r="M523" s="52" t="s">
        <v>29</v>
      </c>
      <c r="N523" s="53">
        <v>-1341.54</v>
      </c>
      <c r="O523" s="53">
        <v>-1341.54</v>
      </c>
      <c r="P523" s="52" t="s">
        <v>1571</v>
      </c>
      <c r="Q523" s="52" t="s">
        <v>1571</v>
      </c>
      <c r="R523" s="55" t="s">
        <v>64</v>
      </c>
      <c r="S523" s="52" t="s">
        <v>272</v>
      </c>
    </row>
    <row r="524" spans="1:52" outlineLevel="2" x14ac:dyDescent="0.45">
      <c r="A524" t="s">
        <v>17</v>
      </c>
      <c r="B524" s="52" t="s">
        <v>57</v>
      </c>
      <c r="C524" s="52" t="s">
        <v>774</v>
      </c>
      <c r="D524" s="52" t="s">
        <v>775</v>
      </c>
      <c r="E524" s="52" t="s">
        <v>387</v>
      </c>
      <c r="F524" s="52" t="s">
        <v>1544</v>
      </c>
      <c r="G524" s="52" t="s">
        <v>60</v>
      </c>
      <c r="H524" s="54">
        <v>46082</v>
      </c>
      <c r="I524" s="52" t="s">
        <v>271</v>
      </c>
      <c r="J524" s="52" t="s">
        <v>314</v>
      </c>
      <c r="K524" s="52" t="s">
        <v>777</v>
      </c>
      <c r="L524" s="52" t="s">
        <v>777</v>
      </c>
      <c r="M524" s="52" t="s">
        <v>29</v>
      </c>
      <c r="N524" s="53">
        <v>-1337.06</v>
      </c>
      <c r="O524" s="53">
        <v>-1337.06</v>
      </c>
      <c r="P524" s="52" t="s">
        <v>778</v>
      </c>
      <c r="Q524" s="52" t="s">
        <v>1545</v>
      </c>
      <c r="R524" s="55" t="s">
        <v>64</v>
      </c>
      <c r="S524" s="52" t="s">
        <v>314</v>
      </c>
    </row>
    <row r="525" spans="1:52" outlineLevel="2" x14ac:dyDescent="0.45">
      <c r="A525" t="s">
        <v>17</v>
      </c>
      <c r="B525" s="52" t="s">
        <v>66</v>
      </c>
      <c r="C525" s="52"/>
      <c r="D525" s="52" t="s">
        <v>1276</v>
      </c>
      <c r="E525" s="52" t="s">
        <v>387</v>
      </c>
      <c r="F525" s="52" t="s">
        <v>1572</v>
      </c>
      <c r="G525" s="52" t="s">
        <v>60</v>
      </c>
      <c r="H525" s="54">
        <v>46082</v>
      </c>
      <c r="I525" s="52" t="s">
        <v>271</v>
      </c>
      <c r="J525" s="52" t="s">
        <v>319</v>
      </c>
      <c r="K525" s="52"/>
      <c r="L525" s="52"/>
      <c r="M525" s="52" t="s">
        <v>67</v>
      </c>
      <c r="N525" s="53">
        <v>-379.82</v>
      </c>
      <c r="O525" s="53">
        <v>-1310</v>
      </c>
      <c r="P525" s="52" t="s">
        <v>1573</v>
      </c>
      <c r="Q525" s="52" t="s">
        <v>1573</v>
      </c>
      <c r="R525" s="55" t="s">
        <v>64</v>
      </c>
      <c r="S525" s="52" t="s">
        <v>319</v>
      </c>
    </row>
    <row r="526" spans="1:52" outlineLevel="2" x14ac:dyDescent="0.45">
      <c r="A526" t="s">
        <v>17</v>
      </c>
      <c r="B526" s="52" t="s">
        <v>57</v>
      </c>
      <c r="C526" s="52" t="s">
        <v>376</v>
      </c>
      <c r="D526" s="52" t="s">
        <v>377</v>
      </c>
      <c r="E526" s="52" t="s">
        <v>387</v>
      </c>
      <c r="F526" s="52" t="s">
        <v>1074</v>
      </c>
      <c r="G526" s="52" t="s">
        <v>60</v>
      </c>
      <c r="H526" s="54">
        <v>46082</v>
      </c>
      <c r="I526" s="52" t="s">
        <v>271</v>
      </c>
      <c r="J526" s="52" t="s">
        <v>526</v>
      </c>
      <c r="K526" s="52" t="s">
        <v>1392</v>
      </c>
      <c r="L526" s="52" t="s">
        <v>1392</v>
      </c>
      <c r="M526" s="52" t="s">
        <v>29</v>
      </c>
      <c r="N526" s="53">
        <v>-1304.3399999999999</v>
      </c>
      <c r="O526" s="53">
        <v>-1304.3399999999999</v>
      </c>
      <c r="P526" s="52" t="s">
        <v>1393</v>
      </c>
      <c r="Q526" s="52" t="s">
        <v>1574</v>
      </c>
      <c r="R526" s="55" t="s">
        <v>64</v>
      </c>
      <c r="S526" s="52" t="s">
        <v>526</v>
      </c>
    </row>
    <row r="527" spans="1:52" outlineLevel="2" x14ac:dyDescent="0.45">
      <c r="A527" t="s">
        <v>17</v>
      </c>
      <c r="B527" s="52" t="s">
        <v>66</v>
      </c>
      <c r="C527" s="52"/>
      <c r="D527" s="52" t="s">
        <v>1575</v>
      </c>
      <c r="E527" s="52" t="s">
        <v>387</v>
      </c>
      <c r="F527" s="52" t="s">
        <v>1576</v>
      </c>
      <c r="G527" s="52" t="s">
        <v>60</v>
      </c>
      <c r="H527" s="54">
        <v>46082</v>
      </c>
      <c r="I527" s="52" t="s">
        <v>271</v>
      </c>
      <c r="J527" s="52" t="s">
        <v>314</v>
      </c>
      <c r="K527" s="52" t="s">
        <v>1577</v>
      </c>
      <c r="L527" s="52" t="s">
        <v>1577</v>
      </c>
      <c r="M527" s="52" t="s">
        <v>67</v>
      </c>
      <c r="N527" s="53">
        <v>-353.1</v>
      </c>
      <c r="O527" s="53">
        <v>-1230.9100000000001</v>
      </c>
      <c r="P527" s="52" t="s">
        <v>1578</v>
      </c>
      <c r="Q527" s="52" t="s">
        <v>1579</v>
      </c>
      <c r="R527" s="55" t="s">
        <v>64</v>
      </c>
      <c r="S527" s="52" t="s">
        <v>314</v>
      </c>
    </row>
    <row r="528" spans="1:52" outlineLevel="2" x14ac:dyDescent="0.45">
      <c r="A528" t="s">
        <v>17</v>
      </c>
      <c r="B528" s="52" t="s">
        <v>57</v>
      </c>
      <c r="C528" s="52" t="s">
        <v>838</v>
      </c>
      <c r="D528" s="52" t="s">
        <v>839</v>
      </c>
      <c r="E528" s="52" t="s">
        <v>387</v>
      </c>
      <c r="F528" s="52" t="s">
        <v>1580</v>
      </c>
      <c r="G528" s="52" t="s">
        <v>60</v>
      </c>
      <c r="H528" s="54">
        <v>46082</v>
      </c>
      <c r="I528" s="52" t="s">
        <v>271</v>
      </c>
      <c r="J528" s="52" t="s">
        <v>314</v>
      </c>
      <c r="K528" s="52" t="s">
        <v>1581</v>
      </c>
      <c r="L528" s="52" t="s">
        <v>1581</v>
      </c>
      <c r="M528" s="52" t="s">
        <v>29</v>
      </c>
      <c r="N528" s="53">
        <v>-1215.8499999999999</v>
      </c>
      <c r="O528" s="53">
        <v>-1215.8499999999999</v>
      </c>
      <c r="P528" s="52" t="s">
        <v>1582</v>
      </c>
      <c r="Q528" s="52" t="s">
        <v>1583</v>
      </c>
      <c r="R528" s="55" t="s">
        <v>64</v>
      </c>
      <c r="S528" s="52" t="s">
        <v>314</v>
      </c>
    </row>
    <row r="529" spans="1:52" outlineLevel="2" x14ac:dyDescent="0.45">
      <c r="A529" t="s">
        <v>17</v>
      </c>
      <c r="B529" s="52" t="s">
        <v>57</v>
      </c>
      <c r="C529" s="52" t="s">
        <v>911</v>
      </c>
      <c r="D529" s="52" t="s">
        <v>912</v>
      </c>
      <c r="E529" s="52" t="s">
        <v>387</v>
      </c>
      <c r="F529" s="52" t="s">
        <v>1584</v>
      </c>
      <c r="G529" s="52" t="s">
        <v>60</v>
      </c>
      <c r="H529" s="54">
        <v>46082</v>
      </c>
      <c r="I529" s="52" t="s">
        <v>271</v>
      </c>
      <c r="J529" s="52" t="s">
        <v>314</v>
      </c>
      <c r="K529" s="52" t="s">
        <v>1585</v>
      </c>
      <c r="L529" s="52" t="s">
        <v>1585</v>
      </c>
      <c r="M529" s="52" t="s">
        <v>29</v>
      </c>
      <c r="N529" s="53">
        <v>-1200</v>
      </c>
      <c r="O529" s="53">
        <v>-1200</v>
      </c>
      <c r="P529" s="52" t="s">
        <v>1586</v>
      </c>
      <c r="Q529" s="52" t="s">
        <v>1587</v>
      </c>
      <c r="R529" s="55" t="s">
        <v>64</v>
      </c>
      <c r="S529" s="52" t="s">
        <v>314</v>
      </c>
    </row>
    <row r="530" spans="1:52" outlineLevel="2" x14ac:dyDescent="0.45">
      <c r="A530" t="s">
        <v>17</v>
      </c>
      <c r="B530" s="52" t="s">
        <v>57</v>
      </c>
      <c r="C530" s="52" t="s">
        <v>376</v>
      </c>
      <c r="D530" s="52" t="s">
        <v>377</v>
      </c>
      <c r="E530" s="52" t="s">
        <v>387</v>
      </c>
      <c r="F530" s="52" t="s">
        <v>1588</v>
      </c>
      <c r="G530" s="52" t="s">
        <v>60</v>
      </c>
      <c r="H530" s="54">
        <v>46082</v>
      </c>
      <c r="I530" s="52" t="s">
        <v>271</v>
      </c>
      <c r="J530" s="52" t="s">
        <v>526</v>
      </c>
      <c r="K530" s="52" t="s">
        <v>1386</v>
      </c>
      <c r="L530" s="52" t="s">
        <v>1386</v>
      </c>
      <c r="M530" s="52" t="s">
        <v>29</v>
      </c>
      <c r="N530" s="53">
        <v>-1200</v>
      </c>
      <c r="O530" s="53">
        <v>-1200</v>
      </c>
      <c r="P530" s="52" t="s">
        <v>1387</v>
      </c>
      <c r="Q530" s="52" t="s">
        <v>1390</v>
      </c>
      <c r="R530" s="55" t="s">
        <v>64</v>
      </c>
      <c r="S530" s="52" t="s">
        <v>526</v>
      </c>
    </row>
    <row r="531" spans="1:52" s="59" customFormat="1" outlineLevel="2" x14ac:dyDescent="0.45">
      <c r="A531" t="s">
        <v>17</v>
      </c>
      <c r="B531" s="52" t="s">
        <v>57</v>
      </c>
      <c r="C531" s="52" t="s">
        <v>376</v>
      </c>
      <c r="D531" s="52" t="s">
        <v>377</v>
      </c>
      <c r="E531" s="52" t="s">
        <v>387</v>
      </c>
      <c r="F531" s="52" t="s">
        <v>1589</v>
      </c>
      <c r="G531" s="52" t="s">
        <v>60</v>
      </c>
      <c r="H531" s="54">
        <v>46082</v>
      </c>
      <c r="I531" s="52" t="s">
        <v>271</v>
      </c>
      <c r="J531" s="52" t="s">
        <v>314</v>
      </c>
      <c r="K531" s="52" t="s">
        <v>1378</v>
      </c>
      <c r="L531" s="52" t="s">
        <v>1378</v>
      </c>
      <c r="M531" s="52" t="s">
        <v>29</v>
      </c>
      <c r="N531" s="53">
        <v>-1200</v>
      </c>
      <c r="O531" s="53">
        <v>-1200</v>
      </c>
      <c r="P531" s="52" t="s">
        <v>1379</v>
      </c>
      <c r="Q531" s="52" t="s">
        <v>1380</v>
      </c>
      <c r="R531" s="55" t="s">
        <v>64</v>
      </c>
      <c r="S531" s="52" t="s">
        <v>314</v>
      </c>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row>
    <row r="532" spans="1:52" outlineLevel="2" x14ac:dyDescent="0.45">
      <c r="A532" t="s">
        <v>17</v>
      </c>
      <c r="B532" s="52" t="s">
        <v>57</v>
      </c>
      <c r="C532" s="52" t="s">
        <v>427</v>
      </c>
      <c r="D532" s="52" t="s">
        <v>428</v>
      </c>
      <c r="E532" s="52" t="s">
        <v>387</v>
      </c>
      <c r="F532" s="52" t="s">
        <v>1590</v>
      </c>
      <c r="G532" s="52" t="s">
        <v>60</v>
      </c>
      <c r="H532" s="54">
        <v>46082</v>
      </c>
      <c r="I532" s="52" t="s">
        <v>271</v>
      </c>
      <c r="J532" s="52" t="s">
        <v>314</v>
      </c>
      <c r="K532" s="52" t="s">
        <v>1591</v>
      </c>
      <c r="L532" s="52" t="s">
        <v>1592</v>
      </c>
      <c r="M532" s="52" t="s">
        <v>29</v>
      </c>
      <c r="N532" s="53">
        <v>-1130</v>
      </c>
      <c r="O532" s="53">
        <v>-1130</v>
      </c>
      <c r="P532" s="52" t="s">
        <v>425</v>
      </c>
      <c r="Q532" s="52" t="s">
        <v>549</v>
      </c>
      <c r="R532" s="55" t="s">
        <v>64</v>
      </c>
      <c r="S532" s="52" t="s">
        <v>314</v>
      </c>
    </row>
    <row r="533" spans="1:52" outlineLevel="2" x14ac:dyDescent="0.45">
      <c r="A533" t="s">
        <v>17</v>
      </c>
      <c r="B533" s="52" t="s">
        <v>57</v>
      </c>
      <c r="C533" s="52" t="s">
        <v>376</v>
      </c>
      <c r="D533" s="52" t="s">
        <v>377</v>
      </c>
      <c r="E533" s="52" t="s">
        <v>387</v>
      </c>
      <c r="F533" s="52" t="s">
        <v>1593</v>
      </c>
      <c r="G533" s="52" t="s">
        <v>60</v>
      </c>
      <c r="H533" s="54">
        <v>46082</v>
      </c>
      <c r="I533" s="52" t="s">
        <v>271</v>
      </c>
      <c r="J533" s="52" t="s">
        <v>526</v>
      </c>
      <c r="K533" s="52" t="s">
        <v>1392</v>
      </c>
      <c r="L533" s="52" t="s">
        <v>1392</v>
      </c>
      <c r="M533" s="52" t="s">
        <v>29</v>
      </c>
      <c r="N533" s="53">
        <v>-1078.99</v>
      </c>
      <c r="O533" s="53">
        <v>-1078.99</v>
      </c>
      <c r="P533" s="52" t="s">
        <v>1393</v>
      </c>
      <c r="Q533" s="52" t="s">
        <v>1594</v>
      </c>
      <c r="R533" s="55" t="s">
        <v>64</v>
      </c>
      <c r="S533" s="52" t="s">
        <v>526</v>
      </c>
    </row>
    <row r="534" spans="1:52" outlineLevel="2" x14ac:dyDescent="0.45">
      <c r="A534" t="s">
        <v>17</v>
      </c>
      <c r="B534" s="52" t="s">
        <v>66</v>
      </c>
      <c r="C534" s="52" t="s">
        <v>1595</v>
      </c>
      <c r="D534" s="52" t="s">
        <v>1596</v>
      </c>
      <c r="E534" s="52" t="s">
        <v>387</v>
      </c>
      <c r="F534" s="52" t="s">
        <v>1576</v>
      </c>
      <c r="G534" s="52" t="s">
        <v>60</v>
      </c>
      <c r="H534" s="54">
        <v>46082</v>
      </c>
      <c r="I534" s="52" t="s">
        <v>271</v>
      </c>
      <c r="J534" s="52" t="s">
        <v>314</v>
      </c>
      <c r="K534" s="52" t="s">
        <v>1597</v>
      </c>
      <c r="L534" s="52" t="s">
        <v>1597</v>
      </c>
      <c r="M534" s="52" t="s">
        <v>67</v>
      </c>
      <c r="N534" s="53">
        <v>-297</v>
      </c>
      <c r="O534" s="53">
        <v>-1035.3399999999999</v>
      </c>
      <c r="P534" s="52" t="s">
        <v>1578</v>
      </c>
      <c r="Q534" s="52" t="s">
        <v>1579</v>
      </c>
      <c r="R534" s="55" t="s">
        <v>64</v>
      </c>
      <c r="S534" s="52" t="s">
        <v>314</v>
      </c>
    </row>
    <row r="535" spans="1:52" outlineLevel="2" x14ac:dyDescent="0.45">
      <c r="A535" t="s">
        <v>17</v>
      </c>
      <c r="B535" s="52" t="s">
        <v>57</v>
      </c>
      <c r="C535" s="52" t="s">
        <v>376</v>
      </c>
      <c r="D535" s="52" t="s">
        <v>377</v>
      </c>
      <c r="E535" s="52" t="s">
        <v>387</v>
      </c>
      <c r="F535" s="52" t="s">
        <v>1598</v>
      </c>
      <c r="G535" s="52" t="s">
        <v>60</v>
      </c>
      <c r="H535" s="54">
        <v>46082</v>
      </c>
      <c r="I535" s="52" t="s">
        <v>271</v>
      </c>
      <c r="J535" s="52" t="s">
        <v>526</v>
      </c>
      <c r="K535" s="52" t="s">
        <v>1469</v>
      </c>
      <c r="L535" s="52" t="s">
        <v>1469</v>
      </c>
      <c r="M535" s="52" t="s">
        <v>29</v>
      </c>
      <c r="N535" s="53">
        <v>-1005.58</v>
      </c>
      <c r="O535" s="53">
        <v>-1005.58</v>
      </c>
      <c r="P535" s="52" t="s">
        <v>1379</v>
      </c>
      <c r="Q535" s="52" t="s">
        <v>1470</v>
      </c>
      <c r="R535" s="55" t="s">
        <v>64</v>
      </c>
      <c r="S535" s="52" t="s">
        <v>526</v>
      </c>
    </row>
    <row r="536" spans="1:52" outlineLevel="2" x14ac:dyDescent="0.45">
      <c r="A536" t="s">
        <v>17</v>
      </c>
      <c r="B536" s="52" t="s">
        <v>57</v>
      </c>
      <c r="C536" s="52" t="s">
        <v>376</v>
      </c>
      <c r="D536" s="52" t="s">
        <v>377</v>
      </c>
      <c r="E536" s="52" t="s">
        <v>387</v>
      </c>
      <c r="F536" s="52" t="s">
        <v>1599</v>
      </c>
      <c r="G536" s="52" t="s">
        <v>60</v>
      </c>
      <c r="H536" s="54">
        <v>46082</v>
      </c>
      <c r="I536" s="52" t="s">
        <v>271</v>
      </c>
      <c r="J536" s="52" t="s">
        <v>526</v>
      </c>
      <c r="K536" s="52" t="s">
        <v>1469</v>
      </c>
      <c r="L536" s="52" t="s">
        <v>1469</v>
      </c>
      <c r="M536" s="52" t="s">
        <v>29</v>
      </c>
      <c r="N536" s="53">
        <v>-997.6</v>
      </c>
      <c r="O536" s="53">
        <v>-997.6</v>
      </c>
      <c r="P536" s="52" t="s">
        <v>1379</v>
      </c>
      <c r="Q536" s="52" t="s">
        <v>1470</v>
      </c>
      <c r="R536" s="55" t="s">
        <v>64</v>
      </c>
      <c r="S536" s="52" t="s">
        <v>526</v>
      </c>
    </row>
    <row r="537" spans="1:52" outlineLevel="2" x14ac:dyDescent="0.45">
      <c r="A537" t="s">
        <v>17</v>
      </c>
      <c r="B537" s="52" t="s">
        <v>57</v>
      </c>
      <c r="C537" s="52" t="s">
        <v>1266</v>
      </c>
      <c r="D537" s="52" t="s">
        <v>1267</v>
      </c>
      <c r="E537" s="52" t="s">
        <v>387</v>
      </c>
      <c r="F537" s="52" t="s">
        <v>1600</v>
      </c>
      <c r="G537" s="52" t="s">
        <v>60</v>
      </c>
      <c r="H537" s="54">
        <v>46082</v>
      </c>
      <c r="I537" s="52" t="s">
        <v>271</v>
      </c>
      <c r="J537" s="52" t="s">
        <v>314</v>
      </c>
      <c r="K537" s="52" t="s">
        <v>1601</v>
      </c>
      <c r="L537" s="52" t="s">
        <v>1601</v>
      </c>
      <c r="M537" s="52" t="s">
        <v>29</v>
      </c>
      <c r="N537" s="53">
        <v>-877.74</v>
      </c>
      <c r="O537" s="53">
        <v>-877.74</v>
      </c>
      <c r="P537" s="52" t="s">
        <v>1602</v>
      </c>
      <c r="Q537" s="52" t="s">
        <v>1583</v>
      </c>
      <c r="R537" s="55" t="s">
        <v>64</v>
      </c>
      <c r="S537" s="52" t="s">
        <v>314</v>
      </c>
    </row>
    <row r="538" spans="1:52" outlineLevel="2" x14ac:dyDescent="0.45">
      <c r="A538" t="s">
        <v>17</v>
      </c>
      <c r="B538" s="52" t="s">
        <v>66</v>
      </c>
      <c r="C538" s="52"/>
      <c r="D538" s="52" t="s">
        <v>1276</v>
      </c>
      <c r="E538" s="52" t="s">
        <v>387</v>
      </c>
      <c r="F538" s="52" t="s">
        <v>1603</v>
      </c>
      <c r="G538" s="52" t="s">
        <v>60</v>
      </c>
      <c r="H538" s="54">
        <v>46082</v>
      </c>
      <c r="I538" s="52" t="s">
        <v>271</v>
      </c>
      <c r="J538" s="52" t="s">
        <v>314</v>
      </c>
      <c r="K538" s="52"/>
      <c r="L538" s="52"/>
      <c r="M538" s="52" t="s">
        <v>67</v>
      </c>
      <c r="N538" s="53">
        <v>-239.45</v>
      </c>
      <c r="O538" s="53">
        <v>-834.72</v>
      </c>
      <c r="P538" s="52" t="s">
        <v>1604</v>
      </c>
      <c r="Q538" s="52" t="s">
        <v>1604</v>
      </c>
      <c r="R538" s="55" t="s">
        <v>64</v>
      </c>
      <c r="S538" s="52" t="s">
        <v>314</v>
      </c>
    </row>
    <row r="539" spans="1:52" outlineLevel="2" x14ac:dyDescent="0.45">
      <c r="A539" t="s">
        <v>17</v>
      </c>
      <c r="B539" s="52" t="s">
        <v>66</v>
      </c>
      <c r="C539" s="52" t="s">
        <v>856</v>
      </c>
      <c r="D539" s="52" t="s">
        <v>857</v>
      </c>
      <c r="E539" s="52" t="s">
        <v>387</v>
      </c>
      <c r="F539" s="52" t="s">
        <v>1605</v>
      </c>
      <c r="G539" s="52" t="s">
        <v>60</v>
      </c>
      <c r="H539" s="54">
        <v>46082</v>
      </c>
      <c r="I539" s="52" t="s">
        <v>271</v>
      </c>
      <c r="J539" s="52" t="s">
        <v>272</v>
      </c>
      <c r="K539" s="52" t="s">
        <v>1606</v>
      </c>
      <c r="L539" s="52" t="s">
        <v>1606</v>
      </c>
      <c r="M539" s="52" t="s">
        <v>67</v>
      </c>
      <c r="N539" s="53">
        <v>-236</v>
      </c>
      <c r="O539" s="53">
        <v>-821.04</v>
      </c>
      <c r="P539" s="52" t="s">
        <v>1607</v>
      </c>
      <c r="Q539" s="52" t="s">
        <v>1608</v>
      </c>
      <c r="R539" s="55" t="s">
        <v>64</v>
      </c>
      <c r="S539" s="52" t="s">
        <v>272</v>
      </c>
    </row>
    <row r="540" spans="1:52" outlineLevel="2" x14ac:dyDescent="0.45">
      <c r="A540" t="s">
        <v>17</v>
      </c>
      <c r="B540" s="52" t="s">
        <v>57</v>
      </c>
      <c r="C540" s="52" t="s">
        <v>774</v>
      </c>
      <c r="D540" s="52" t="s">
        <v>775</v>
      </c>
      <c r="E540" s="52" t="s">
        <v>387</v>
      </c>
      <c r="F540" s="52" t="s">
        <v>1558</v>
      </c>
      <c r="G540" s="52" t="s">
        <v>60</v>
      </c>
      <c r="H540" s="54">
        <v>46082</v>
      </c>
      <c r="I540" s="52" t="s">
        <v>271</v>
      </c>
      <c r="J540" s="52" t="s">
        <v>325</v>
      </c>
      <c r="K540" s="52" t="s">
        <v>777</v>
      </c>
      <c r="L540" s="52" t="s">
        <v>777</v>
      </c>
      <c r="M540" s="52" t="s">
        <v>29</v>
      </c>
      <c r="N540" s="53">
        <v>-818.57</v>
      </c>
      <c r="O540" s="53">
        <v>-818.57</v>
      </c>
      <c r="P540" s="52" t="s">
        <v>778</v>
      </c>
      <c r="Q540" s="52" t="s">
        <v>1559</v>
      </c>
      <c r="R540" s="55" t="s">
        <v>64</v>
      </c>
      <c r="S540" s="52" t="s">
        <v>325</v>
      </c>
    </row>
    <row r="541" spans="1:52" outlineLevel="2" x14ac:dyDescent="0.45">
      <c r="A541" t="s">
        <v>17</v>
      </c>
      <c r="B541" s="52" t="s">
        <v>57</v>
      </c>
      <c r="C541" s="52" t="s">
        <v>1609</v>
      </c>
      <c r="D541" s="52" t="s">
        <v>1610</v>
      </c>
      <c r="E541" s="52" t="s">
        <v>387</v>
      </c>
      <c r="F541" s="52" t="s">
        <v>1611</v>
      </c>
      <c r="G541" s="52" t="s">
        <v>60</v>
      </c>
      <c r="H541" s="54">
        <v>46082</v>
      </c>
      <c r="I541" s="52" t="s">
        <v>271</v>
      </c>
      <c r="J541" s="52" t="s">
        <v>314</v>
      </c>
      <c r="K541" s="52" t="s">
        <v>1612</v>
      </c>
      <c r="L541" s="52" t="s">
        <v>1612</v>
      </c>
      <c r="M541" s="52" t="s">
        <v>29</v>
      </c>
      <c r="N541" s="53">
        <v>-767</v>
      </c>
      <c r="O541" s="53">
        <v>-767</v>
      </c>
      <c r="P541" s="52" t="s">
        <v>1613</v>
      </c>
      <c r="Q541" s="52" t="s">
        <v>1614</v>
      </c>
      <c r="R541" s="55" t="s">
        <v>64</v>
      </c>
      <c r="S541" s="52" t="s">
        <v>314</v>
      </c>
    </row>
    <row r="542" spans="1:52" outlineLevel="2" x14ac:dyDescent="0.45">
      <c r="A542" t="s">
        <v>17</v>
      </c>
      <c r="B542" s="52" t="s">
        <v>57</v>
      </c>
      <c r="C542" s="52" t="s">
        <v>371</v>
      </c>
      <c r="D542" s="52" t="s">
        <v>372</v>
      </c>
      <c r="E542" s="52" t="s">
        <v>387</v>
      </c>
      <c r="F542" s="52" t="s">
        <v>1615</v>
      </c>
      <c r="G542" s="52" t="s">
        <v>60</v>
      </c>
      <c r="H542" s="54">
        <v>46082</v>
      </c>
      <c r="I542" s="52" t="s">
        <v>271</v>
      </c>
      <c r="J542" s="52" t="s">
        <v>323</v>
      </c>
      <c r="K542" s="52" t="s">
        <v>1616</v>
      </c>
      <c r="L542" s="52" t="s">
        <v>1616</v>
      </c>
      <c r="M542" s="52" t="s">
        <v>29</v>
      </c>
      <c r="N542" s="53">
        <v>-680</v>
      </c>
      <c r="O542" s="53">
        <v>-680</v>
      </c>
      <c r="P542" s="52" t="s">
        <v>1617</v>
      </c>
      <c r="Q542" s="52" t="s">
        <v>1618</v>
      </c>
      <c r="R542" s="55" t="s">
        <v>64</v>
      </c>
      <c r="S542" s="52" t="s">
        <v>323</v>
      </c>
    </row>
    <row r="543" spans="1:52" outlineLevel="2" x14ac:dyDescent="0.45">
      <c r="A543" t="s">
        <v>17</v>
      </c>
      <c r="B543" s="52" t="s">
        <v>57</v>
      </c>
      <c r="C543" s="52" t="s">
        <v>876</v>
      </c>
      <c r="D543" s="52" t="s">
        <v>877</v>
      </c>
      <c r="E543" s="52" t="s">
        <v>387</v>
      </c>
      <c r="F543" s="52" t="s">
        <v>1619</v>
      </c>
      <c r="G543" s="52" t="s">
        <v>60</v>
      </c>
      <c r="H543" s="54">
        <v>46082</v>
      </c>
      <c r="I543" s="52" t="s">
        <v>271</v>
      </c>
      <c r="J543" s="52" t="s">
        <v>314</v>
      </c>
      <c r="K543" s="52" t="s">
        <v>1620</v>
      </c>
      <c r="L543" s="52" t="s">
        <v>1620</v>
      </c>
      <c r="M543" s="52" t="s">
        <v>29</v>
      </c>
      <c r="N543" s="53">
        <v>-634.42999999999995</v>
      </c>
      <c r="O543" s="53">
        <v>-634.42999999999995</v>
      </c>
      <c r="P543" s="52" t="s">
        <v>1621</v>
      </c>
      <c r="Q543" s="52" t="s">
        <v>1583</v>
      </c>
      <c r="R543" s="55" t="s">
        <v>64</v>
      </c>
      <c r="S543" s="52" t="s">
        <v>314</v>
      </c>
    </row>
    <row r="544" spans="1:52" outlineLevel="2" x14ac:dyDescent="0.45">
      <c r="A544" t="s">
        <v>17</v>
      </c>
      <c r="B544" s="52" t="s">
        <v>57</v>
      </c>
      <c r="C544" s="52" t="s">
        <v>870</v>
      </c>
      <c r="D544" s="52" t="s">
        <v>871</v>
      </c>
      <c r="E544" s="52" t="s">
        <v>387</v>
      </c>
      <c r="F544" s="52" t="s">
        <v>1622</v>
      </c>
      <c r="G544" s="52" t="s">
        <v>60</v>
      </c>
      <c r="H544" s="54">
        <v>46082</v>
      </c>
      <c r="I544" s="52" t="s">
        <v>271</v>
      </c>
      <c r="J544" s="52" t="s">
        <v>314</v>
      </c>
      <c r="K544" s="52"/>
      <c r="L544" s="52"/>
      <c r="M544" s="52" t="s">
        <v>29</v>
      </c>
      <c r="N544" s="53">
        <v>-546.16</v>
      </c>
      <c r="O544" s="53">
        <v>-546.16</v>
      </c>
      <c r="P544" s="52" t="s">
        <v>1533</v>
      </c>
      <c r="Q544" s="52" t="s">
        <v>1533</v>
      </c>
      <c r="R544" s="55" t="s">
        <v>64</v>
      </c>
      <c r="S544" s="52" t="s">
        <v>314</v>
      </c>
    </row>
    <row r="545" spans="1:19" outlineLevel="2" x14ac:dyDescent="0.45">
      <c r="A545" t="s">
        <v>17</v>
      </c>
      <c r="B545" s="52" t="s">
        <v>57</v>
      </c>
      <c r="C545" s="52" t="s">
        <v>1304</v>
      </c>
      <c r="D545" s="52" t="s">
        <v>1305</v>
      </c>
      <c r="E545" s="52" t="s">
        <v>387</v>
      </c>
      <c r="F545" s="52" t="s">
        <v>1623</v>
      </c>
      <c r="G545" s="52" t="s">
        <v>60</v>
      </c>
      <c r="H545" s="54">
        <v>46082</v>
      </c>
      <c r="I545" s="52" t="s">
        <v>271</v>
      </c>
      <c r="J545" s="52" t="s">
        <v>513</v>
      </c>
      <c r="K545" s="52" t="s">
        <v>1624</v>
      </c>
      <c r="L545" s="52" t="s">
        <v>1624</v>
      </c>
      <c r="M545" s="52" t="s">
        <v>29</v>
      </c>
      <c r="N545" s="53">
        <v>-499</v>
      </c>
      <c r="O545" s="53">
        <v>-499</v>
      </c>
      <c r="P545" s="52" t="s">
        <v>1625</v>
      </c>
      <c r="Q545" s="52" t="s">
        <v>1626</v>
      </c>
      <c r="R545" s="55" t="s">
        <v>64</v>
      </c>
      <c r="S545" s="52" t="s">
        <v>513</v>
      </c>
    </row>
    <row r="546" spans="1:19" outlineLevel="2" x14ac:dyDescent="0.45">
      <c r="A546" t="s">
        <v>17</v>
      </c>
      <c r="B546" s="52" t="s">
        <v>57</v>
      </c>
      <c r="C546" s="52" t="s">
        <v>785</v>
      </c>
      <c r="D546" s="52" t="s">
        <v>786</v>
      </c>
      <c r="E546" s="52" t="s">
        <v>387</v>
      </c>
      <c r="F546" s="52" t="s">
        <v>819</v>
      </c>
      <c r="G546" s="52" t="s">
        <v>60</v>
      </c>
      <c r="H546" s="54">
        <v>46082</v>
      </c>
      <c r="I546" s="52" t="s">
        <v>271</v>
      </c>
      <c r="J546" s="52" t="s">
        <v>1522</v>
      </c>
      <c r="K546" s="52" t="s">
        <v>1207</v>
      </c>
      <c r="L546" s="52" t="s">
        <v>1207</v>
      </c>
      <c r="M546" s="52" t="s">
        <v>29</v>
      </c>
      <c r="N546" s="53">
        <v>-305</v>
      </c>
      <c r="O546" s="53">
        <v>-305</v>
      </c>
      <c r="P546" s="52" t="s">
        <v>1208</v>
      </c>
      <c r="Q546" s="52" t="s">
        <v>1525</v>
      </c>
      <c r="R546" s="55" t="s">
        <v>64</v>
      </c>
      <c r="S546" s="52" t="s">
        <v>1522</v>
      </c>
    </row>
    <row r="547" spans="1:19" outlineLevel="2" x14ac:dyDescent="0.45">
      <c r="A547" t="s">
        <v>17</v>
      </c>
      <c r="B547" s="52" t="s">
        <v>57</v>
      </c>
      <c r="C547" s="52" t="s">
        <v>1547</v>
      </c>
      <c r="D547" s="52" t="s">
        <v>1548</v>
      </c>
      <c r="E547" s="52" t="s">
        <v>387</v>
      </c>
      <c r="F547" s="52" t="s">
        <v>882</v>
      </c>
      <c r="G547" s="52" t="s">
        <v>60</v>
      </c>
      <c r="H547" s="54">
        <v>46082</v>
      </c>
      <c r="I547" s="52" t="s">
        <v>271</v>
      </c>
      <c r="J547" s="52" t="s">
        <v>1522</v>
      </c>
      <c r="K547" s="52" t="s">
        <v>1550</v>
      </c>
      <c r="L547" s="52" t="s">
        <v>1550</v>
      </c>
      <c r="M547" s="52" t="s">
        <v>29</v>
      </c>
      <c r="N547" s="53">
        <v>-274</v>
      </c>
      <c r="O547" s="53">
        <v>-274</v>
      </c>
      <c r="P547" s="52" t="s">
        <v>1551</v>
      </c>
      <c r="Q547" s="52" t="s">
        <v>1525</v>
      </c>
      <c r="R547" s="55" t="s">
        <v>64</v>
      </c>
      <c r="S547" s="52" t="s">
        <v>1522</v>
      </c>
    </row>
    <row r="548" spans="1:19" outlineLevel="2" x14ac:dyDescent="0.45">
      <c r="A548" t="s">
        <v>17</v>
      </c>
      <c r="B548" s="52" t="s">
        <v>57</v>
      </c>
      <c r="C548" s="52" t="s">
        <v>774</v>
      </c>
      <c r="D548" s="52" t="s">
        <v>775</v>
      </c>
      <c r="E548" s="52" t="s">
        <v>387</v>
      </c>
      <c r="F548" s="52" t="s">
        <v>1558</v>
      </c>
      <c r="G548" s="52" t="s">
        <v>60</v>
      </c>
      <c r="H548" s="54">
        <v>46082</v>
      </c>
      <c r="I548" s="52" t="s">
        <v>271</v>
      </c>
      <c r="J548" s="52" t="s">
        <v>325</v>
      </c>
      <c r="K548" s="52" t="s">
        <v>777</v>
      </c>
      <c r="L548" s="52" t="s">
        <v>777</v>
      </c>
      <c r="M548" s="52" t="s">
        <v>29</v>
      </c>
      <c r="N548" s="53">
        <v>-243.33</v>
      </c>
      <c r="O548" s="53">
        <v>-243.33</v>
      </c>
      <c r="P548" s="52" t="s">
        <v>778</v>
      </c>
      <c r="Q548" s="52" t="s">
        <v>1559</v>
      </c>
      <c r="R548" s="55" t="s">
        <v>64</v>
      </c>
      <c r="S548" s="52" t="s">
        <v>325</v>
      </c>
    </row>
    <row r="549" spans="1:19" outlineLevel="2" x14ac:dyDescent="0.45">
      <c r="A549" t="s">
        <v>17</v>
      </c>
      <c r="B549" s="52" t="s">
        <v>66</v>
      </c>
      <c r="C549" s="52" t="s">
        <v>1627</v>
      </c>
      <c r="D549" s="52" t="s">
        <v>1628</v>
      </c>
      <c r="E549" s="52" t="s">
        <v>387</v>
      </c>
      <c r="F549" s="52" t="s">
        <v>1629</v>
      </c>
      <c r="G549" s="52" t="s">
        <v>60</v>
      </c>
      <c r="H549" s="54">
        <v>46082</v>
      </c>
      <c r="I549" s="52" t="s">
        <v>271</v>
      </c>
      <c r="J549" s="52" t="s">
        <v>314</v>
      </c>
      <c r="K549" s="52" t="s">
        <v>1630</v>
      </c>
      <c r="L549" s="52" t="s">
        <v>1630</v>
      </c>
      <c r="M549" s="52" t="s">
        <v>67</v>
      </c>
      <c r="N549" s="53">
        <v>-59</v>
      </c>
      <c r="O549" s="53">
        <v>-205.67</v>
      </c>
      <c r="P549" s="52" t="s">
        <v>1631</v>
      </c>
      <c r="Q549" s="52" t="s">
        <v>1632</v>
      </c>
      <c r="R549" s="55" t="s">
        <v>64</v>
      </c>
      <c r="S549" s="52" t="s">
        <v>314</v>
      </c>
    </row>
    <row r="550" spans="1:19" outlineLevel="2" x14ac:dyDescent="0.45">
      <c r="A550" t="s">
        <v>17</v>
      </c>
      <c r="B550" s="52" t="s">
        <v>57</v>
      </c>
      <c r="C550" s="52" t="s">
        <v>376</v>
      </c>
      <c r="D550" s="52" t="s">
        <v>377</v>
      </c>
      <c r="E550" s="52" t="s">
        <v>387</v>
      </c>
      <c r="F550" s="52" t="s">
        <v>1342</v>
      </c>
      <c r="G550" s="52" t="s">
        <v>60</v>
      </c>
      <c r="H550" s="54">
        <v>46082</v>
      </c>
      <c r="I550" s="52" t="s">
        <v>271</v>
      </c>
      <c r="J550" s="52" t="s">
        <v>526</v>
      </c>
      <c r="K550" s="52" t="s">
        <v>1633</v>
      </c>
      <c r="L550" s="52" t="s">
        <v>1633</v>
      </c>
      <c r="M550" s="52" t="s">
        <v>29</v>
      </c>
      <c r="N550" s="53">
        <v>-199.55</v>
      </c>
      <c r="O550" s="53">
        <v>-199.55</v>
      </c>
      <c r="P550" s="52" t="s">
        <v>1393</v>
      </c>
      <c r="Q550" s="52" t="s">
        <v>1634</v>
      </c>
      <c r="R550" s="55" t="s">
        <v>64</v>
      </c>
      <c r="S550" s="52" t="s">
        <v>526</v>
      </c>
    </row>
    <row r="551" spans="1:19" outlineLevel="2" x14ac:dyDescent="0.45">
      <c r="A551" t="s">
        <v>17</v>
      </c>
      <c r="B551" s="52" t="s">
        <v>57</v>
      </c>
      <c r="C551" s="52" t="s">
        <v>376</v>
      </c>
      <c r="D551" s="52" t="s">
        <v>377</v>
      </c>
      <c r="E551" s="52" t="s">
        <v>387</v>
      </c>
      <c r="F551" s="52" t="s">
        <v>1635</v>
      </c>
      <c r="G551" s="52" t="s">
        <v>60</v>
      </c>
      <c r="H551" s="54">
        <v>46082</v>
      </c>
      <c r="I551" s="52" t="s">
        <v>271</v>
      </c>
      <c r="J551" s="52" t="s">
        <v>314</v>
      </c>
      <c r="K551" s="52" t="s">
        <v>1396</v>
      </c>
      <c r="L551" s="52" t="s">
        <v>1396</v>
      </c>
      <c r="M551" s="52" t="s">
        <v>29</v>
      </c>
      <c r="N551" s="53">
        <v>-188.23</v>
      </c>
      <c r="O551" s="53">
        <v>-188.23</v>
      </c>
      <c r="P551" s="52" t="s">
        <v>1379</v>
      </c>
      <c r="Q551" s="52" t="s">
        <v>1636</v>
      </c>
      <c r="R551" s="55" t="s">
        <v>64</v>
      </c>
      <c r="S551" s="52" t="s">
        <v>314</v>
      </c>
    </row>
    <row r="552" spans="1:19" outlineLevel="2" x14ac:dyDescent="0.45">
      <c r="A552" t="s">
        <v>17</v>
      </c>
      <c r="B552" s="52" t="s">
        <v>57</v>
      </c>
      <c r="C552" s="52" t="s">
        <v>349</v>
      </c>
      <c r="D552" s="52" t="s">
        <v>350</v>
      </c>
      <c r="E552" s="52" t="s">
        <v>387</v>
      </c>
      <c r="F552" s="52" t="s">
        <v>1637</v>
      </c>
      <c r="G552" s="52" t="s">
        <v>60</v>
      </c>
      <c r="H552" s="54">
        <v>46082</v>
      </c>
      <c r="I552" s="52" t="s">
        <v>271</v>
      </c>
      <c r="J552" s="52" t="s">
        <v>383</v>
      </c>
      <c r="K552" s="52" t="s">
        <v>1638</v>
      </c>
      <c r="L552" s="52" t="s">
        <v>1638</v>
      </c>
      <c r="M552" s="52" t="s">
        <v>29</v>
      </c>
      <c r="N552" s="53">
        <v>-160.69999999999999</v>
      </c>
      <c r="O552" s="53">
        <v>-160.69999999999999</v>
      </c>
      <c r="P552" s="52" t="s">
        <v>1639</v>
      </c>
      <c r="Q552" s="52" t="s">
        <v>1640</v>
      </c>
      <c r="R552" s="55" t="s">
        <v>64</v>
      </c>
      <c r="S552" s="52" t="s">
        <v>383</v>
      </c>
    </row>
    <row r="553" spans="1:19" outlineLevel="2" x14ac:dyDescent="0.45">
      <c r="A553" t="s">
        <v>17</v>
      </c>
      <c r="B553" s="52" t="s">
        <v>66</v>
      </c>
      <c r="C553" s="52" t="s">
        <v>349</v>
      </c>
      <c r="D553" s="52" t="s">
        <v>350</v>
      </c>
      <c r="E553" s="52" t="s">
        <v>387</v>
      </c>
      <c r="F553" s="52" t="s">
        <v>1641</v>
      </c>
      <c r="G553" s="52" t="s">
        <v>60</v>
      </c>
      <c r="H553" s="54">
        <v>46082</v>
      </c>
      <c r="I553" s="52" t="s">
        <v>271</v>
      </c>
      <c r="J553" s="52" t="s">
        <v>298</v>
      </c>
      <c r="K553" s="52" t="s">
        <v>1642</v>
      </c>
      <c r="L553" s="52" t="s">
        <v>1642</v>
      </c>
      <c r="M553" s="52" t="s">
        <v>67</v>
      </c>
      <c r="N553" s="53">
        <v>-30</v>
      </c>
      <c r="O553" s="53">
        <v>-102.24</v>
      </c>
      <c r="P553" s="52" t="s">
        <v>1643</v>
      </c>
      <c r="Q553" s="52" t="s">
        <v>1644</v>
      </c>
      <c r="R553" s="55" t="s">
        <v>64</v>
      </c>
      <c r="S553" s="52" t="s">
        <v>298</v>
      </c>
    </row>
    <row r="554" spans="1:19" outlineLevel="2" x14ac:dyDescent="0.45">
      <c r="A554" t="s">
        <v>17</v>
      </c>
      <c r="B554" s="52" t="s">
        <v>57</v>
      </c>
      <c r="C554" s="52" t="s">
        <v>1645</v>
      </c>
      <c r="D554" s="52" t="s">
        <v>1646</v>
      </c>
      <c r="E554" s="52" t="s">
        <v>387</v>
      </c>
      <c r="F554" s="52" t="s">
        <v>1647</v>
      </c>
      <c r="G554" s="52" t="s">
        <v>60</v>
      </c>
      <c r="H554" s="54">
        <v>46082</v>
      </c>
      <c r="I554" s="52" t="s">
        <v>271</v>
      </c>
      <c r="J554" s="52" t="s">
        <v>298</v>
      </c>
      <c r="K554" s="52"/>
      <c r="L554" s="52"/>
      <c r="M554" s="52" t="s">
        <v>29</v>
      </c>
      <c r="N554" s="53">
        <v>-99.4</v>
      </c>
      <c r="O554" s="53">
        <v>-99.4</v>
      </c>
      <c r="P554" s="52" t="s">
        <v>1648</v>
      </c>
      <c r="Q554" s="52" t="s">
        <v>1648</v>
      </c>
      <c r="R554" s="55" t="s">
        <v>64</v>
      </c>
      <c r="S554" s="52" t="s">
        <v>298</v>
      </c>
    </row>
    <row r="555" spans="1:19" outlineLevel="2" x14ac:dyDescent="0.45">
      <c r="A555" t="s">
        <v>17</v>
      </c>
      <c r="B555" s="52" t="s">
        <v>57</v>
      </c>
      <c r="C555" s="52" t="s">
        <v>349</v>
      </c>
      <c r="D555" s="52" t="s">
        <v>350</v>
      </c>
      <c r="E555" s="52" t="s">
        <v>387</v>
      </c>
      <c r="F555" s="52" t="s">
        <v>1649</v>
      </c>
      <c r="G555" s="52" t="s">
        <v>60</v>
      </c>
      <c r="H555" s="54">
        <v>46082</v>
      </c>
      <c r="I555" s="52" t="s">
        <v>271</v>
      </c>
      <c r="J555" s="52" t="s">
        <v>526</v>
      </c>
      <c r="K555" s="52" t="s">
        <v>1650</v>
      </c>
      <c r="L555" s="52" t="s">
        <v>1650</v>
      </c>
      <c r="M555" s="52" t="s">
        <v>29</v>
      </c>
      <c r="N555" s="53">
        <v>-50</v>
      </c>
      <c r="O555" s="53">
        <v>-50</v>
      </c>
      <c r="P555" s="52" t="s">
        <v>1651</v>
      </c>
      <c r="Q555" s="52" t="s">
        <v>1652</v>
      </c>
      <c r="R555" s="52" t="s">
        <v>64</v>
      </c>
      <c r="S555" s="52" t="s">
        <v>526</v>
      </c>
    </row>
    <row r="556" spans="1:19" outlineLevel="2" x14ac:dyDescent="0.45">
      <c r="A556" t="s">
        <v>17</v>
      </c>
      <c r="B556" s="52" t="s">
        <v>57</v>
      </c>
      <c r="C556" s="52" t="s">
        <v>349</v>
      </c>
      <c r="D556" s="52" t="s">
        <v>350</v>
      </c>
      <c r="E556" s="52" t="s">
        <v>387</v>
      </c>
      <c r="F556" s="52" t="s">
        <v>1653</v>
      </c>
      <c r="G556" s="52" t="s">
        <v>60</v>
      </c>
      <c r="H556" s="54">
        <v>46082</v>
      </c>
      <c r="I556" s="52" t="s">
        <v>271</v>
      </c>
      <c r="J556" s="52" t="s">
        <v>383</v>
      </c>
      <c r="K556" s="52" t="s">
        <v>1654</v>
      </c>
      <c r="L556" s="52" t="s">
        <v>1654</v>
      </c>
      <c r="M556" s="52" t="s">
        <v>29</v>
      </c>
      <c r="N556" s="53">
        <v>-50</v>
      </c>
      <c r="O556" s="53">
        <v>-50</v>
      </c>
      <c r="P556" s="52" t="s">
        <v>1655</v>
      </c>
      <c r="Q556" s="52" t="s">
        <v>1656</v>
      </c>
      <c r="R556" s="52" t="s">
        <v>64</v>
      </c>
      <c r="S556" s="52" t="s">
        <v>383</v>
      </c>
    </row>
    <row r="557" spans="1:19" outlineLevel="2" x14ac:dyDescent="0.45">
      <c r="A557" t="s">
        <v>17</v>
      </c>
      <c r="B557" s="52" t="s">
        <v>66</v>
      </c>
      <c r="C557" s="52" t="s">
        <v>349</v>
      </c>
      <c r="D557" s="52" t="s">
        <v>350</v>
      </c>
      <c r="E557" s="52" t="s">
        <v>387</v>
      </c>
      <c r="F557" s="52" t="s">
        <v>1657</v>
      </c>
      <c r="G557" s="52" t="s">
        <v>60</v>
      </c>
      <c r="H557" s="54">
        <v>46082</v>
      </c>
      <c r="I557" s="52" t="s">
        <v>271</v>
      </c>
      <c r="J557" s="52" t="s">
        <v>383</v>
      </c>
      <c r="K557" s="52" t="s">
        <v>1658</v>
      </c>
      <c r="L557" s="52" t="s">
        <v>1658</v>
      </c>
      <c r="M557" s="52" t="s">
        <v>67</v>
      </c>
      <c r="N557" s="53">
        <v>-14</v>
      </c>
      <c r="O557" s="53">
        <v>-48.93</v>
      </c>
      <c r="P557" s="52" t="s">
        <v>1659</v>
      </c>
      <c r="Q557" s="52" t="s">
        <v>1644</v>
      </c>
      <c r="R557" s="52" t="s">
        <v>64</v>
      </c>
      <c r="S557" s="52" t="s">
        <v>383</v>
      </c>
    </row>
    <row r="558" spans="1:19" outlineLevel="2" x14ac:dyDescent="0.45">
      <c r="A558" t="s">
        <v>17</v>
      </c>
      <c r="B558" s="52" t="s">
        <v>57</v>
      </c>
      <c r="C558" s="52" t="s">
        <v>349</v>
      </c>
      <c r="D558" s="52" t="s">
        <v>350</v>
      </c>
      <c r="E558" s="52" t="s">
        <v>387</v>
      </c>
      <c r="F558" s="52" t="s">
        <v>1176</v>
      </c>
      <c r="G558" s="52" t="s">
        <v>60</v>
      </c>
      <c r="H558" s="54">
        <v>46082</v>
      </c>
      <c r="I558" s="52" t="s">
        <v>271</v>
      </c>
      <c r="J558" s="52" t="s">
        <v>526</v>
      </c>
      <c r="K558" s="52" t="s">
        <v>1660</v>
      </c>
      <c r="L558" s="52" t="s">
        <v>1660</v>
      </c>
      <c r="M558" s="52" t="s">
        <v>29</v>
      </c>
      <c r="N558" s="53">
        <v>-48</v>
      </c>
      <c r="O558" s="53">
        <v>-48</v>
      </c>
      <c r="P558" s="52" t="s">
        <v>1661</v>
      </c>
      <c r="Q558" s="52" t="s">
        <v>1652</v>
      </c>
      <c r="R558" s="52" t="s">
        <v>64</v>
      </c>
      <c r="S558" s="52" t="s">
        <v>526</v>
      </c>
    </row>
    <row r="559" spans="1:19" outlineLevel="2" x14ac:dyDescent="0.45">
      <c r="A559" t="s">
        <v>17</v>
      </c>
      <c r="B559" s="52" t="s">
        <v>57</v>
      </c>
      <c r="C559" s="52" t="s">
        <v>349</v>
      </c>
      <c r="D559" s="52" t="s">
        <v>350</v>
      </c>
      <c r="E559" s="52" t="s">
        <v>387</v>
      </c>
      <c r="F559" s="52" t="s">
        <v>1662</v>
      </c>
      <c r="G559" s="52" t="s">
        <v>60</v>
      </c>
      <c r="H559" s="54">
        <v>46082</v>
      </c>
      <c r="I559" s="52" t="s">
        <v>271</v>
      </c>
      <c r="J559" s="52" t="s">
        <v>314</v>
      </c>
      <c r="K559" s="52" t="s">
        <v>1663</v>
      </c>
      <c r="L559" s="52" t="s">
        <v>1663</v>
      </c>
      <c r="M559" s="52" t="s">
        <v>29</v>
      </c>
      <c r="N559" s="53">
        <v>-48</v>
      </c>
      <c r="O559" s="53">
        <v>-48</v>
      </c>
      <c r="P559" s="52" t="s">
        <v>1664</v>
      </c>
      <c r="Q559" s="52" t="s">
        <v>1652</v>
      </c>
      <c r="R559" s="52" t="s">
        <v>64</v>
      </c>
      <c r="S559" s="52" t="s">
        <v>314</v>
      </c>
    </row>
    <row r="560" spans="1:19" outlineLevel="2" x14ac:dyDescent="0.45">
      <c r="A560" t="s">
        <v>17</v>
      </c>
      <c r="B560" s="52" t="s">
        <v>57</v>
      </c>
      <c r="C560" s="52" t="s">
        <v>349</v>
      </c>
      <c r="D560" s="52" t="s">
        <v>350</v>
      </c>
      <c r="E560" s="52" t="s">
        <v>387</v>
      </c>
      <c r="F560" s="52" t="s">
        <v>1162</v>
      </c>
      <c r="G560" s="52" t="s">
        <v>60</v>
      </c>
      <c r="H560" s="54">
        <v>46082</v>
      </c>
      <c r="I560" s="52" t="s">
        <v>271</v>
      </c>
      <c r="J560" s="52" t="s">
        <v>383</v>
      </c>
      <c r="K560" s="52" t="s">
        <v>1665</v>
      </c>
      <c r="L560" s="52" t="s">
        <v>1665</v>
      </c>
      <c r="M560" s="52" t="s">
        <v>29</v>
      </c>
      <c r="N560" s="53">
        <v>-40</v>
      </c>
      <c r="O560" s="53">
        <v>-40</v>
      </c>
      <c r="P560" s="52" t="s">
        <v>1666</v>
      </c>
      <c r="Q560" s="52" t="s">
        <v>1656</v>
      </c>
      <c r="R560" s="52" t="s">
        <v>64</v>
      </c>
      <c r="S560" s="52" t="s">
        <v>383</v>
      </c>
    </row>
    <row r="561" spans="1:19" outlineLevel="2" x14ac:dyDescent="0.45">
      <c r="A561" t="s">
        <v>17</v>
      </c>
      <c r="B561" s="52" t="s">
        <v>57</v>
      </c>
      <c r="C561" s="52" t="s">
        <v>349</v>
      </c>
      <c r="D561" s="52" t="s">
        <v>350</v>
      </c>
      <c r="E561" s="52" t="s">
        <v>387</v>
      </c>
      <c r="F561" s="52" t="s">
        <v>1667</v>
      </c>
      <c r="G561" s="52" t="s">
        <v>60</v>
      </c>
      <c r="H561" s="54">
        <v>46082</v>
      </c>
      <c r="I561" s="52" t="s">
        <v>271</v>
      </c>
      <c r="J561" s="52" t="s">
        <v>519</v>
      </c>
      <c r="K561" s="52" t="s">
        <v>1668</v>
      </c>
      <c r="L561" s="52" t="s">
        <v>1668</v>
      </c>
      <c r="M561" s="52" t="s">
        <v>29</v>
      </c>
      <c r="N561" s="53">
        <v>-35.700000000000003</v>
      </c>
      <c r="O561" s="53">
        <v>-35.700000000000003</v>
      </c>
      <c r="P561" s="52" t="s">
        <v>1002</v>
      </c>
      <c r="Q561" s="52" t="s">
        <v>1669</v>
      </c>
      <c r="R561" s="52" t="s">
        <v>64</v>
      </c>
      <c r="S561" s="52" t="s">
        <v>519</v>
      </c>
    </row>
    <row r="562" spans="1:19" outlineLevel="2" x14ac:dyDescent="0.45">
      <c r="A562" t="s">
        <v>17</v>
      </c>
      <c r="B562" s="52" t="s">
        <v>66</v>
      </c>
      <c r="C562" s="52" t="s">
        <v>349</v>
      </c>
      <c r="D562" s="52" t="s">
        <v>350</v>
      </c>
      <c r="E562" s="52" t="s">
        <v>387</v>
      </c>
      <c r="F562" s="52" t="s">
        <v>1670</v>
      </c>
      <c r="G562" s="52" t="s">
        <v>60</v>
      </c>
      <c r="H562" s="54">
        <v>46082</v>
      </c>
      <c r="I562" s="52" t="s">
        <v>271</v>
      </c>
      <c r="J562" s="52" t="s">
        <v>314</v>
      </c>
      <c r="K562" s="52" t="s">
        <v>1671</v>
      </c>
      <c r="L562" s="52" t="s">
        <v>1671</v>
      </c>
      <c r="M562" s="52" t="s">
        <v>67</v>
      </c>
      <c r="N562" s="53">
        <v>-9.6</v>
      </c>
      <c r="O562" s="53">
        <v>-33.47</v>
      </c>
      <c r="P562" s="52" t="s">
        <v>1672</v>
      </c>
      <c r="Q562" s="52" t="s">
        <v>1673</v>
      </c>
      <c r="R562" s="52" t="s">
        <v>64</v>
      </c>
      <c r="S562" s="52" t="s">
        <v>314</v>
      </c>
    </row>
    <row r="563" spans="1:19" outlineLevel="2" x14ac:dyDescent="0.45">
      <c r="A563" t="s">
        <v>17</v>
      </c>
      <c r="B563" s="52" t="s">
        <v>57</v>
      </c>
      <c r="C563" s="52" t="s">
        <v>349</v>
      </c>
      <c r="D563" s="52" t="s">
        <v>350</v>
      </c>
      <c r="E563" s="52" t="s">
        <v>387</v>
      </c>
      <c r="F563" s="52" t="s">
        <v>467</v>
      </c>
      <c r="G563" s="52" t="s">
        <v>60</v>
      </c>
      <c r="H563" s="54">
        <v>46082</v>
      </c>
      <c r="I563" s="52" t="s">
        <v>271</v>
      </c>
      <c r="J563" s="52" t="s">
        <v>314</v>
      </c>
      <c r="K563" s="52" t="s">
        <v>1674</v>
      </c>
      <c r="L563" s="52" t="s">
        <v>1674</v>
      </c>
      <c r="M563" s="52" t="s">
        <v>29</v>
      </c>
      <c r="N563" s="53">
        <v>-30</v>
      </c>
      <c r="O563" s="53">
        <v>-30</v>
      </c>
      <c r="P563" s="52" t="s">
        <v>1675</v>
      </c>
      <c r="Q563" s="52" t="s">
        <v>1652</v>
      </c>
      <c r="R563" s="52" t="s">
        <v>64</v>
      </c>
      <c r="S563" s="52" t="s">
        <v>314</v>
      </c>
    </row>
    <row r="564" spans="1:19" outlineLevel="2" x14ac:dyDescent="0.45">
      <c r="A564" t="s">
        <v>17</v>
      </c>
      <c r="B564" s="52" t="s">
        <v>57</v>
      </c>
      <c r="C564" s="52" t="s">
        <v>349</v>
      </c>
      <c r="D564" s="52" t="s">
        <v>350</v>
      </c>
      <c r="E564" s="52" t="s">
        <v>387</v>
      </c>
      <c r="F564" s="52" t="s">
        <v>1152</v>
      </c>
      <c r="G564" s="52" t="s">
        <v>60</v>
      </c>
      <c r="H564" s="54">
        <v>46082</v>
      </c>
      <c r="I564" s="52" t="s">
        <v>271</v>
      </c>
      <c r="J564" s="52" t="s">
        <v>314</v>
      </c>
      <c r="K564" s="52" t="s">
        <v>1663</v>
      </c>
      <c r="L564" s="52" t="s">
        <v>1663</v>
      </c>
      <c r="M564" s="52" t="s">
        <v>29</v>
      </c>
      <c r="N564" s="53">
        <v>-30</v>
      </c>
      <c r="O564" s="53">
        <v>-30</v>
      </c>
      <c r="P564" s="52" t="s">
        <v>1664</v>
      </c>
      <c r="Q564" s="52" t="s">
        <v>1652</v>
      </c>
      <c r="R564" s="52" t="s">
        <v>64</v>
      </c>
      <c r="S564" s="52" t="s">
        <v>314</v>
      </c>
    </row>
    <row r="565" spans="1:19" outlineLevel="2" x14ac:dyDescent="0.45">
      <c r="A565" t="s">
        <v>17</v>
      </c>
      <c r="B565" s="52" t="s">
        <v>57</v>
      </c>
      <c r="C565" s="52" t="s">
        <v>349</v>
      </c>
      <c r="D565" s="52" t="s">
        <v>350</v>
      </c>
      <c r="E565" s="52" t="s">
        <v>387</v>
      </c>
      <c r="F565" s="52" t="s">
        <v>1676</v>
      </c>
      <c r="G565" s="52" t="s">
        <v>60</v>
      </c>
      <c r="H565" s="54">
        <v>46082</v>
      </c>
      <c r="I565" s="52" t="s">
        <v>271</v>
      </c>
      <c r="J565" s="52" t="s">
        <v>335</v>
      </c>
      <c r="K565" s="52" t="s">
        <v>1327</v>
      </c>
      <c r="L565" s="52" t="s">
        <v>1327</v>
      </c>
      <c r="M565" s="52" t="s">
        <v>29</v>
      </c>
      <c r="N565" s="53">
        <v>-25.95</v>
      </c>
      <c r="O565" s="53">
        <v>-25.95</v>
      </c>
      <c r="P565" s="52" t="s">
        <v>1328</v>
      </c>
      <c r="Q565" s="52" t="s">
        <v>1677</v>
      </c>
      <c r="R565" s="52" t="s">
        <v>64</v>
      </c>
      <c r="S565" s="52" t="s">
        <v>335</v>
      </c>
    </row>
    <row r="566" spans="1:19" outlineLevel="2" x14ac:dyDescent="0.45">
      <c r="A566" t="s">
        <v>17</v>
      </c>
      <c r="B566" s="52" t="s">
        <v>57</v>
      </c>
      <c r="C566" s="52" t="s">
        <v>349</v>
      </c>
      <c r="D566" s="52" t="s">
        <v>350</v>
      </c>
      <c r="E566" s="52" t="s">
        <v>387</v>
      </c>
      <c r="F566" s="52" t="s">
        <v>1094</v>
      </c>
      <c r="G566" s="52" t="s">
        <v>60</v>
      </c>
      <c r="H566" s="54">
        <v>46082</v>
      </c>
      <c r="I566" s="52" t="s">
        <v>271</v>
      </c>
      <c r="J566" s="52" t="s">
        <v>314</v>
      </c>
      <c r="K566" s="52" t="s">
        <v>1663</v>
      </c>
      <c r="L566" s="52" t="s">
        <v>1663</v>
      </c>
      <c r="M566" s="52" t="s">
        <v>29</v>
      </c>
      <c r="N566" s="53">
        <v>-25.5</v>
      </c>
      <c r="O566" s="53">
        <v>-25.5</v>
      </c>
      <c r="P566" s="52" t="s">
        <v>1664</v>
      </c>
      <c r="Q566" s="52" t="s">
        <v>1652</v>
      </c>
      <c r="R566" s="52" t="s">
        <v>64</v>
      </c>
      <c r="S566" s="52" t="s">
        <v>314</v>
      </c>
    </row>
    <row r="567" spans="1:19" outlineLevel="2" x14ac:dyDescent="0.45">
      <c r="A567" t="s">
        <v>17</v>
      </c>
      <c r="B567" s="52" t="s">
        <v>57</v>
      </c>
      <c r="C567" s="52" t="s">
        <v>349</v>
      </c>
      <c r="D567" s="52" t="s">
        <v>350</v>
      </c>
      <c r="E567" s="52" t="s">
        <v>387</v>
      </c>
      <c r="F567" s="52" t="s">
        <v>1189</v>
      </c>
      <c r="G567" s="52" t="s">
        <v>60</v>
      </c>
      <c r="H567" s="54">
        <v>46082</v>
      </c>
      <c r="I567" s="52" t="s">
        <v>271</v>
      </c>
      <c r="J567" s="52" t="s">
        <v>526</v>
      </c>
      <c r="K567" s="52" t="s">
        <v>1660</v>
      </c>
      <c r="L567" s="52" t="s">
        <v>1660</v>
      </c>
      <c r="M567" s="52" t="s">
        <v>29</v>
      </c>
      <c r="N567" s="53">
        <v>-24</v>
      </c>
      <c r="O567" s="53">
        <v>-24</v>
      </c>
      <c r="P567" s="52" t="s">
        <v>1661</v>
      </c>
      <c r="Q567" s="52" t="s">
        <v>1652</v>
      </c>
      <c r="R567" s="52" t="s">
        <v>64</v>
      </c>
      <c r="S567" s="52" t="s">
        <v>526</v>
      </c>
    </row>
    <row r="568" spans="1:19" outlineLevel="2" x14ac:dyDescent="0.45">
      <c r="A568" t="s">
        <v>17</v>
      </c>
      <c r="B568" s="52" t="s">
        <v>57</v>
      </c>
      <c r="C568" s="52" t="s">
        <v>349</v>
      </c>
      <c r="D568" s="52" t="s">
        <v>350</v>
      </c>
      <c r="E568" s="52" t="s">
        <v>387</v>
      </c>
      <c r="F568" s="52" t="s">
        <v>1678</v>
      </c>
      <c r="G568" s="52" t="s">
        <v>60</v>
      </c>
      <c r="H568" s="54">
        <v>46082</v>
      </c>
      <c r="I568" s="52" t="s">
        <v>271</v>
      </c>
      <c r="J568" s="52" t="s">
        <v>314</v>
      </c>
      <c r="K568" s="52" t="s">
        <v>1663</v>
      </c>
      <c r="L568" s="52" t="s">
        <v>1663</v>
      </c>
      <c r="M568" s="52" t="s">
        <v>29</v>
      </c>
      <c r="N568" s="53">
        <v>-24</v>
      </c>
      <c r="O568" s="53">
        <v>-24</v>
      </c>
      <c r="P568" s="52" t="s">
        <v>1664</v>
      </c>
      <c r="Q568" s="52" t="s">
        <v>1652</v>
      </c>
      <c r="R568" s="52" t="s">
        <v>64</v>
      </c>
      <c r="S568" s="52" t="s">
        <v>314</v>
      </c>
    </row>
    <row r="569" spans="1:19" outlineLevel="2" x14ac:dyDescent="0.45">
      <c r="A569" t="s">
        <v>17</v>
      </c>
      <c r="B569" s="52" t="s">
        <v>66</v>
      </c>
      <c r="C569" s="52" t="s">
        <v>349</v>
      </c>
      <c r="D569" s="52" t="s">
        <v>350</v>
      </c>
      <c r="E569" s="52" t="s">
        <v>387</v>
      </c>
      <c r="F569" s="52" t="s">
        <v>1679</v>
      </c>
      <c r="G569" s="52" t="s">
        <v>60</v>
      </c>
      <c r="H569" s="54">
        <v>46082</v>
      </c>
      <c r="I569" s="52" t="s">
        <v>271</v>
      </c>
      <c r="J569" s="52" t="s">
        <v>314</v>
      </c>
      <c r="K569" s="52" t="s">
        <v>1680</v>
      </c>
      <c r="L569" s="52" t="s">
        <v>1680</v>
      </c>
      <c r="M569" s="52" t="s">
        <v>67</v>
      </c>
      <c r="N569" s="53">
        <v>-1.53</v>
      </c>
      <c r="O569" s="53">
        <v>-5.33</v>
      </c>
      <c r="P569" s="52" t="s">
        <v>1681</v>
      </c>
      <c r="Q569" s="52" t="s">
        <v>1644</v>
      </c>
      <c r="R569" s="52" t="s">
        <v>64</v>
      </c>
      <c r="S569" s="52" t="s">
        <v>314</v>
      </c>
    </row>
    <row r="570" spans="1:19" outlineLevel="2" x14ac:dyDescent="0.45">
      <c r="A570" t="s">
        <v>17</v>
      </c>
      <c r="B570" s="52" t="s">
        <v>66</v>
      </c>
      <c r="C570" s="52" t="s">
        <v>349</v>
      </c>
      <c r="D570" s="52" t="s">
        <v>350</v>
      </c>
      <c r="E570" s="52" t="s">
        <v>387</v>
      </c>
      <c r="F570" s="52" t="s">
        <v>1682</v>
      </c>
      <c r="G570" s="52" t="s">
        <v>60</v>
      </c>
      <c r="H570" s="54">
        <v>46082</v>
      </c>
      <c r="I570" s="52" t="s">
        <v>271</v>
      </c>
      <c r="J570" s="52" t="s">
        <v>314</v>
      </c>
      <c r="K570" s="52" t="s">
        <v>1680</v>
      </c>
      <c r="L570" s="52" t="s">
        <v>1680</v>
      </c>
      <c r="M570" s="52" t="s">
        <v>67</v>
      </c>
      <c r="N570" s="53">
        <v>-1.53</v>
      </c>
      <c r="O570" s="53">
        <v>-5.33</v>
      </c>
      <c r="P570" s="52" t="s">
        <v>1681</v>
      </c>
      <c r="Q570" s="52" t="s">
        <v>1644</v>
      </c>
      <c r="R570" s="52" t="s">
        <v>64</v>
      </c>
      <c r="S570" s="52" t="s">
        <v>314</v>
      </c>
    </row>
    <row r="571" spans="1:19" outlineLevel="2" x14ac:dyDescent="0.45">
      <c r="A571" t="s">
        <v>17</v>
      </c>
      <c r="B571" s="52" t="s">
        <v>66</v>
      </c>
      <c r="C571" s="52" t="s">
        <v>349</v>
      </c>
      <c r="D571" s="52" t="s">
        <v>350</v>
      </c>
      <c r="E571" s="52" t="s">
        <v>387</v>
      </c>
      <c r="F571" s="52" t="s">
        <v>1683</v>
      </c>
      <c r="G571" s="52" t="s">
        <v>60</v>
      </c>
      <c r="H571" s="54">
        <v>46082</v>
      </c>
      <c r="I571" s="52" t="s">
        <v>271</v>
      </c>
      <c r="J571" s="52" t="s">
        <v>314</v>
      </c>
      <c r="K571" s="52" t="s">
        <v>1680</v>
      </c>
      <c r="L571" s="52" t="s">
        <v>1680</v>
      </c>
      <c r="M571" s="52" t="s">
        <v>67</v>
      </c>
      <c r="N571" s="53">
        <v>-1.53</v>
      </c>
      <c r="O571" s="53">
        <v>-5.33</v>
      </c>
      <c r="P571" s="52" t="s">
        <v>1681</v>
      </c>
      <c r="Q571" s="52" t="s">
        <v>1644</v>
      </c>
      <c r="R571" s="52" t="s">
        <v>64</v>
      </c>
      <c r="S571" s="52" t="s">
        <v>314</v>
      </c>
    </row>
    <row r="572" spans="1:19" outlineLevel="2" x14ac:dyDescent="0.45">
      <c r="A572" t="s">
        <v>17</v>
      </c>
      <c r="B572" s="52" t="s">
        <v>66</v>
      </c>
      <c r="C572" s="52" t="s">
        <v>349</v>
      </c>
      <c r="D572" s="52" t="s">
        <v>350</v>
      </c>
      <c r="E572" s="52" t="s">
        <v>387</v>
      </c>
      <c r="F572" s="52" t="s">
        <v>1684</v>
      </c>
      <c r="G572" s="52" t="s">
        <v>60</v>
      </c>
      <c r="H572" s="54">
        <v>46082</v>
      </c>
      <c r="I572" s="52" t="s">
        <v>271</v>
      </c>
      <c r="J572" s="52" t="s">
        <v>314</v>
      </c>
      <c r="K572" s="52" t="s">
        <v>1680</v>
      </c>
      <c r="L572" s="52" t="s">
        <v>1680</v>
      </c>
      <c r="M572" s="52" t="s">
        <v>67</v>
      </c>
      <c r="N572" s="53">
        <v>-1.53</v>
      </c>
      <c r="O572" s="53">
        <v>-5.33</v>
      </c>
      <c r="P572" s="52" t="s">
        <v>1681</v>
      </c>
      <c r="Q572" s="52" t="s">
        <v>1644</v>
      </c>
      <c r="R572" s="52" t="s">
        <v>64</v>
      </c>
      <c r="S572" s="52" t="s">
        <v>314</v>
      </c>
    </row>
    <row r="573" spans="1:19" outlineLevel="2" x14ac:dyDescent="0.45">
      <c r="A573" t="s">
        <v>17</v>
      </c>
      <c r="B573" s="52" t="s">
        <v>66</v>
      </c>
      <c r="C573" s="52" t="s">
        <v>349</v>
      </c>
      <c r="D573" s="52" t="s">
        <v>350</v>
      </c>
      <c r="E573" s="52" t="s">
        <v>387</v>
      </c>
      <c r="F573" s="52" t="s">
        <v>1685</v>
      </c>
      <c r="G573" s="52" t="s">
        <v>60</v>
      </c>
      <c r="H573" s="54">
        <v>46082</v>
      </c>
      <c r="I573" s="52" t="s">
        <v>271</v>
      </c>
      <c r="J573" s="52" t="s">
        <v>513</v>
      </c>
      <c r="K573" s="52" t="s">
        <v>1686</v>
      </c>
      <c r="L573" s="52" t="s">
        <v>1686</v>
      </c>
      <c r="M573" s="52" t="s">
        <v>67</v>
      </c>
      <c r="N573" s="53">
        <v>-1.53</v>
      </c>
      <c r="O573" s="53">
        <v>-5.32</v>
      </c>
      <c r="P573" s="52" t="s">
        <v>1687</v>
      </c>
      <c r="Q573" s="52" t="s">
        <v>1644</v>
      </c>
      <c r="R573" s="52" t="s">
        <v>64</v>
      </c>
      <c r="S573" s="52" t="s">
        <v>513</v>
      </c>
    </row>
    <row r="574" spans="1:19" outlineLevel="2" x14ac:dyDescent="0.45">
      <c r="A574" t="s">
        <v>17</v>
      </c>
      <c r="B574" s="52" t="s">
        <v>66</v>
      </c>
      <c r="C574" s="52" t="s">
        <v>349</v>
      </c>
      <c r="D574" s="52" t="s">
        <v>350</v>
      </c>
      <c r="E574" s="52" t="s">
        <v>387</v>
      </c>
      <c r="F574" s="52" t="s">
        <v>1688</v>
      </c>
      <c r="G574" s="52" t="s">
        <v>60</v>
      </c>
      <c r="H574" s="54">
        <v>46082</v>
      </c>
      <c r="I574" s="52" t="s">
        <v>271</v>
      </c>
      <c r="J574" s="52" t="s">
        <v>272</v>
      </c>
      <c r="K574" s="52" t="s">
        <v>1689</v>
      </c>
      <c r="L574" s="52" t="s">
        <v>1689</v>
      </c>
      <c r="M574" s="52" t="s">
        <v>67</v>
      </c>
      <c r="N574" s="53">
        <v>-1.53</v>
      </c>
      <c r="O574" s="53">
        <v>-5.32</v>
      </c>
      <c r="P574" s="52" t="s">
        <v>1690</v>
      </c>
      <c r="Q574" s="52" t="s">
        <v>1644</v>
      </c>
      <c r="R574" s="52" t="s">
        <v>64</v>
      </c>
      <c r="S574" s="52" t="s">
        <v>272</v>
      </c>
    </row>
    <row r="575" spans="1:19" outlineLevel="2" x14ac:dyDescent="0.45">
      <c r="A575" t="s">
        <v>17</v>
      </c>
      <c r="B575" s="52" t="s">
        <v>66</v>
      </c>
      <c r="C575" s="52" t="s">
        <v>349</v>
      </c>
      <c r="D575" s="52" t="s">
        <v>350</v>
      </c>
      <c r="E575" s="52" t="s">
        <v>387</v>
      </c>
      <c r="F575" s="52" t="s">
        <v>1691</v>
      </c>
      <c r="G575" s="52" t="s">
        <v>60</v>
      </c>
      <c r="H575" s="54">
        <v>46082</v>
      </c>
      <c r="I575" s="52" t="s">
        <v>271</v>
      </c>
      <c r="J575" s="52" t="s">
        <v>272</v>
      </c>
      <c r="K575" s="52" t="s">
        <v>1689</v>
      </c>
      <c r="L575" s="52" t="s">
        <v>1689</v>
      </c>
      <c r="M575" s="52" t="s">
        <v>67</v>
      </c>
      <c r="N575" s="53">
        <v>-1.53</v>
      </c>
      <c r="O575" s="53">
        <v>-5.32</v>
      </c>
      <c r="P575" s="52" t="s">
        <v>1690</v>
      </c>
      <c r="Q575" s="52" t="s">
        <v>1644</v>
      </c>
      <c r="R575" s="52" t="s">
        <v>64</v>
      </c>
      <c r="S575" s="52" t="s">
        <v>272</v>
      </c>
    </row>
    <row r="576" spans="1:19" outlineLevel="2" x14ac:dyDescent="0.45">
      <c r="A576" t="s">
        <v>17</v>
      </c>
      <c r="B576" s="52" t="s">
        <v>66</v>
      </c>
      <c r="C576" s="52" t="s">
        <v>349</v>
      </c>
      <c r="D576" s="52" t="s">
        <v>350</v>
      </c>
      <c r="E576" s="52" t="s">
        <v>387</v>
      </c>
      <c r="F576" s="52" t="s">
        <v>1692</v>
      </c>
      <c r="G576" s="52" t="s">
        <v>60</v>
      </c>
      <c r="H576" s="54">
        <v>46082</v>
      </c>
      <c r="I576" s="52" t="s">
        <v>271</v>
      </c>
      <c r="J576" s="52" t="s">
        <v>272</v>
      </c>
      <c r="K576" s="52" t="s">
        <v>1689</v>
      </c>
      <c r="L576" s="52" t="s">
        <v>1689</v>
      </c>
      <c r="M576" s="52" t="s">
        <v>67</v>
      </c>
      <c r="N576" s="53">
        <v>-1.53</v>
      </c>
      <c r="O576" s="53">
        <v>-5.32</v>
      </c>
      <c r="P576" s="52" t="s">
        <v>1690</v>
      </c>
      <c r="Q576" s="52" t="s">
        <v>1644</v>
      </c>
      <c r="R576" s="52" t="s">
        <v>64</v>
      </c>
      <c r="S576" s="52" t="s">
        <v>272</v>
      </c>
    </row>
    <row r="577" spans="1:19" outlineLevel="2" x14ac:dyDescent="0.45">
      <c r="A577" t="s">
        <v>17</v>
      </c>
      <c r="B577" s="52" t="s">
        <v>66</v>
      </c>
      <c r="C577" s="52" t="s">
        <v>349</v>
      </c>
      <c r="D577" s="52" t="s">
        <v>350</v>
      </c>
      <c r="E577" s="52" t="s">
        <v>387</v>
      </c>
      <c r="F577" s="52" t="s">
        <v>1693</v>
      </c>
      <c r="G577" s="52" t="s">
        <v>60</v>
      </c>
      <c r="H577" s="54">
        <v>46082</v>
      </c>
      <c r="I577" s="52" t="s">
        <v>271</v>
      </c>
      <c r="J577" s="52" t="s">
        <v>272</v>
      </c>
      <c r="K577" s="52" t="s">
        <v>1689</v>
      </c>
      <c r="L577" s="52" t="s">
        <v>1689</v>
      </c>
      <c r="M577" s="52" t="s">
        <v>67</v>
      </c>
      <c r="N577" s="53">
        <v>-1.53</v>
      </c>
      <c r="O577" s="53">
        <v>-5.32</v>
      </c>
      <c r="P577" s="52" t="s">
        <v>1690</v>
      </c>
      <c r="Q577" s="52" t="s">
        <v>1644</v>
      </c>
      <c r="R577" s="52" t="s">
        <v>64</v>
      </c>
      <c r="S577" s="52" t="s">
        <v>272</v>
      </c>
    </row>
    <row r="578" spans="1:19" outlineLevel="2" x14ac:dyDescent="0.45">
      <c r="A578" t="s">
        <v>17</v>
      </c>
      <c r="B578" s="52" t="s">
        <v>66</v>
      </c>
      <c r="C578" s="52" t="s">
        <v>349</v>
      </c>
      <c r="D578" s="52" t="s">
        <v>350</v>
      </c>
      <c r="E578" s="52" t="s">
        <v>387</v>
      </c>
      <c r="F578" s="52" t="s">
        <v>1694</v>
      </c>
      <c r="G578" s="52" t="s">
        <v>60</v>
      </c>
      <c r="H578" s="54">
        <v>46082</v>
      </c>
      <c r="I578" s="52" t="s">
        <v>271</v>
      </c>
      <c r="J578" s="52" t="s">
        <v>319</v>
      </c>
      <c r="K578" s="52" t="s">
        <v>1695</v>
      </c>
      <c r="L578" s="52" t="s">
        <v>1695</v>
      </c>
      <c r="M578" s="52" t="s">
        <v>67</v>
      </c>
      <c r="N578" s="53">
        <v>-1.53</v>
      </c>
      <c r="O578" s="53">
        <v>-5.28</v>
      </c>
      <c r="P578" s="52" t="s">
        <v>1696</v>
      </c>
      <c r="Q578" s="52" t="s">
        <v>1644</v>
      </c>
      <c r="R578" s="52" t="s">
        <v>64</v>
      </c>
      <c r="S578" s="52" t="s">
        <v>319</v>
      </c>
    </row>
    <row r="579" spans="1:19" outlineLevel="2" x14ac:dyDescent="0.45">
      <c r="A579" t="s">
        <v>17</v>
      </c>
      <c r="B579" s="52" t="s">
        <v>66</v>
      </c>
      <c r="C579" s="52" t="s">
        <v>349</v>
      </c>
      <c r="D579" s="52" t="s">
        <v>350</v>
      </c>
      <c r="E579" s="52" t="s">
        <v>387</v>
      </c>
      <c r="F579" s="52" t="s">
        <v>1697</v>
      </c>
      <c r="G579" s="52" t="s">
        <v>60</v>
      </c>
      <c r="H579" s="54">
        <v>46082</v>
      </c>
      <c r="I579" s="52" t="s">
        <v>271</v>
      </c>
      <c r="J579" s="52" t="s">
        <v>323</v>
      </c>
      <c r="K579" s="52" t="s">
        <v>1698</v>
      </c>
      <c r="L579" s="52" t="s">
        <v>1698</v>
      </c>
      <c r="M579" s="52" t="s">
        <v>67</v>
      </c>
      <c r="N579" s="53">
        <v>-1.53</v>
      </c>
      <c r="O579" s="53">
        <v>-5.24</v>
      </c>
      <c r="P579" s="52" t="s">
        <v>1699</v>
      </c>
      <c r="Q579" s="52" t="s">
        <v>1644</v>
      </c>
      <c r="R579" s="52" t="s">
        <v>64</v>
      </c>
      <c r="S579" s="52" t="s">
        <v>323</v>
      </c>
    </row>
    <row r="580" spans="1:19" outlineLevel="2" x14ac:dyDescent="0.45">
      <c r="A580" t="s">
        <v>17</v>
      </c>
      <c r="B580" s="52" t="s">
        <v>66</v>
      </c>
      <c r="C580" s="52" t="s">
        <v>349</v>
      </c>
      <c r="D580" s="52" t="s">
        <v>350</v>
      </c>
      <c r="E580" s="52" t="s">
        <v>387</v>
      </c>
      <c r="F580" s="52" t="s">
        <v>1700</v>
      </c>
      <c r="G580" s="52" t="s">
        <v>60</v>
      </c>
      <c r="H580" s="54">
        <v>46082</v>
      </c>
      <c r="I580" s="52" t="s">
        <v>271</v>
      </c>
      <c r="J580" s="52" t="s">
        <v>1368</v>
      </c>
      <c r="K580" s="52" t="s">
        <v>1701</v>
      </c>
      <c r="L580" s="52" t="s">
        <v>1701</v>
      </c>
      <c r="M580" s="52" t="s">
        <v>67</v>
      </c>
      <c r="N580" s="53">
        <v>-1.53</v>
      </c>
      <c r="O580" s="53">
        <v>-5.23</v>
      </c>
      <c r="P580" s="52" t="s">
        <v>1702</v>
      </c>
      <c r="Q580" s="52" t="s">
        <v>1644</v>
      </c>
      <c r="R580" s="52" t="s">
        <v>64</v>
      </c>
      <c r="S580" s="52" t="s">
        <v>1368</v>
      </c>
    </row>
    <row r="581" spans="1:19" outlineLevel="2" x14ac:dyDescent="0.45">
      <c r="A581" t="s">
        <v>17</v>
      </c>
      <c r="B581" s="52" t="s">
        <v>66</v>
      </c>
      <c r="C581" s="52" t="s">
        <v>349</v>
      </c>
      <c r="D581" s="52" t="s">
        <v>350</v>
      </c>
      <c r="E581" s="52" t="s">
        <v>387</v>
      </c>
      <c r="F581" s="52" t="s">
        <v>1703</v>
      </c>
      <c r="G581" s="52" t="s">
        <v>60</v>
      </c>
      <c r="H581" s="54">
        <v>46082</v>
      </c>
      <c r="I581" s="52" t="s">
        <v>271</v>
      </c>
      <c r="J581" s="52" t="s">
        <v>526</v>
      </c>
      <c r="K581" s="52" t="s">
        <v>1704</v>
      </c>
      <c r="L581" s="52" t="s">
        <v>1704</v>
      </c>
      <c r="M581" s="52" t="s">
        <v>67</v>
      </c>
      <c r="N581" s="53">
        <v>-1.53</v>
      </c>
      <c r="O581" s="53">
        <v>-5.22</v>
      </c>
      <c r="P581" s="52" t="s">
        <v>1705</v>
      </c>
      <c r="Q581" s="52" t="s">
        <v>1644</v>
      </c>
      <c r="R581" s="52" t="s">
        <v>64</v>
      </c>
      <c r="S581" s="52" t="s">
        <v>526</v>
      </c>
    </row>
    <row r="582" spans="1:19" outlineLevel="2" x14ac:dyDescent="0.45">
      <c r="A582" t="s">
        <v>17</v>
      </c>
      <c r="B582" s="52" t="s">
        <v>66</v>
      </c>
      <c r="C582" s="52" t="s">
        <v>349</v>
      </c>
      <c r="D582" s="52" t="s">
        <v>350</v>
      </c>
      <c r="E582" s="52" t="s">
        <v>387</v>
      </c>
      <c r="F582" s="52" t="s">
        <v>1706</v>
      </c>
      <c r="G582" s="52" t="s">
        <v>60</v>
      </c>
      <c r="H582" s="54">
        <v>46082</v>
      </c>
      <c r="I582" s="52" t="s">
        <v>271</v>
      </c>
      <c r="J582" s="52" t="s">
        <v>526</v>
      </c>
      <c r="K582" s="52" t="s">
        <v>1704</v>
      </c>
      <c r="L582" s="52" t="s">
        <v>1704</v>
      </c>
      <c r="M582" s="52" t="s">
        <v>67</v>
      </c>
      <c r="N582" s="53">
        <v>-1.53</v>
      </c>
      <c r="O582" s="53">
        <v>-5.22</v>
      </c>
      <c r="P582" s="52" t="s">
        <v>1705</v>
      </c>
      <c r="Q582" s="52" t="s">
        <v>1644</v>
      </c>
      <c r="R582" s="52" t="s">
        <v>64</v>
      </c>
      <c r="S582" s="52" t="s">
        <v>526</v>
      </c>
    </row>
    <row r="583" spans="1:19" outlineLevel="2" x14ac:dyDescent="0.45">
      <c r="A583" t="s">
        <v>17</v>
      </c>
      <c r="B583" s="52" t="s">
        <v>66</v>
      </c>
      <c r="C583" s="52" t="s">
        <v>349</v>
      </c>
      <c r="D583" s="52" t="s">
        <v>350</v>
      </c>
      <c r="E583" s="52" t="s">
        <v>387</v>
      </c>
      <c r="F583" s="52" t="s">
        <v>1707</v>
      </c>
      <c r="G583" s="52" t="s">
        <v>60</v>
      </c>
      <c r="H583" s="54">
        <v>46082</v>
      </c>
      <c r="I583" s="52" t="s">
        <v>271</v>
      </c>
      <c r="J583" s="52" t="s">
        <v>526</v>
      </c>
      <c r="K583" s="52" t="s">
        <v>1704</v>
      </c>
      <c r="L583" s="52" t="s">
        <v>1704</v>
      </c>
      <c r="M583" s="52" t="s">
        <v>67</v>
      </c>
      <c r="N583" s="53">
        <v>-1.53</v>
      </c>
      <c r="O583" s="53">
        <v>-5.22</v>
      </c>
      <c r="P583" s="52" t="s">
        <v>1705</v>
      </c>
      <c r="Q583" s="52" t="s">
        <v>1644</v>
      </c>
      <c r="R583" s="52" t="s">
        <v>64</v>
      </c>
      <c r="S583" s="52" t="s">
        <v>526</v>
      </c>
    </row>
    <row r="584" spans="1:19" outlineLevel="2" x14ac:dyDescent="0.45">
      <c r="A584" t="s">
        <v>17</v>
      </c>
      <c r="B584" s="52" t="s">
        <v>66</v>
      </c>
      <c r="C584" s="52" t="s">
        <v>349</v>
      </c>
      <c r="D584" s="52" t="s">
        <v>350</v>
      </c>
      <c r="E584" s="52" t="s">
        <v>387</v>
      </c>
      <c r="F584" s="52" t="s">
        <v>1708</v>
      </c>
      <c r="G584" s="52" t="s">
        <v>60</v>
      </c>
      <c r="H584" s="54">
        <v>46082</v>
      </c>
      <c r="I584" s="52" t="s">
        <v>271</v>
      </c>
      <c r="J584" s="52" t="s">
        <v>526</v>
      </c>
      <c r="K584" s="52" t="s">
        <v>1704</v>
      </c>
      <c r="L584" s="52" t="s">
        <v>1704</v>
      </c>
      <c r="M584" s="52" t="s">
        <v>67</v>
      </c>
      <c r="N584" s="53">
        <v>-1.53</v>
      </c>
      <c r="O584" s="53">
        <v>-5.22</v>
      </c>
      <c r="P584" s="52" t="s">
        <v>1705</v>
      </c>
      <c r="Q584" s="52" t="s">
        <v>1644</v>
      </c>
      <c r="R584" s="52" t="s">
        <v>64</v>
      </c>
      <c r="S584" s="52" t="s">
        <v>526</v>
      </c>
    </row>
    <row r="585" spans="1:19" outlineLevel="2" x14ac:dyDescent="0.45">
      <c r="A585" t="s">
        <v>17</v>
      </c>
      <c r="B585" s="52" t="s">
        <v>66</v>
      </c>
      <c r="C585" s="52" t="s">
        <v>349</v>
      </c>
      <c r="D585" s="52" t="s">
        <v>350</v>
      </c>
      <c r="E585" s="52" t="s">
        <v>387</v>
      </c>
      <c r="F585" s="52" t="s">
        <v>1709</v>
      </c>
      <c r="G585" s="52" t="s">
        <v>60</v>
      </c>
      <c r="H585" s="54">
        <v>46082</v>
      </c>
      <c r="I585" s="52" t="s">
        <v>271</v>
      </c>
      <c r="J585" s="52" t="s">
        <v>298</v>
      </c>
      <c r="K585" s="52" t="s">
        <v>1710</v>
      </c>
      <c r="L585" s="52" t="s">
        <v>1710</v>
      </c>
      <c r="M585" s="52" t="s">
        <v>67</v>
      </c>
      <c r="N585" s="53">
        <v>-1.53</v>
      </c>
      <c r="O585" s="53">
        <v>-5.21</v>
      </c>
      <c r="P585" s="52" t="s">
        <v>1711</v>
      </c>
      <c r="Q585" s="52" t="s">
        <v>1644</v>
      </c>
      <c r="R585" s="52" t="s">
        <v>64</v>
      </c>
      <c r="S585" s="52" t="s">
        <v>298</v>
      </c>
    </row>
    <row r="586" spans="1:19" outlineLevel="2" x14ac:dyDescent="0.45">
      <c r="A586" t="s">
        <v>17</v>
      </c>
      <c r="B586" s="52" t="s">
        <v>66</v>
      </c>
      <c r="C586" s="52" t="s">
        <v>349</v>
      </c>
      <c r="D586" s="52" t="s">
        <v>350</v>
      </c>
      <c r="E586" s="52" t="s">
        <v>387</v>
      </c>
      <c r="F586" s="52" t="s">
        <v>1712</v>
      </c>
      <c r="G586" s="52" t="s">
        <v>60</v>
      </c>
      <c r="H586" s="54">
        <v>46082</v>
      </c>
      <c r="I586" s="52" t="s">
        <v>271</v>
      </c>
      <c r="J586" s="52" t="s">
        <v>519</v>
      </c>
      <c r="K586" s="52" t="s">
        <v>1713</v>
      </c>
      <c r="L586" s="52" t="s">
        <v>1713</v>
      </c>
      <c r="M586" s="52" t="s">
        <v>67</v>
      </c>
      <c r="N586" s="53">
        <v>-1.53</v>
      </c>
      <c r="O586" s="53">
        <v>-5.14</v>
      </c>
      <c r="P586" s="52" t="s">
        <v>1714</v>
      </c>
      <c r="Q586" s="52" t="s">
        <v>1644</v>
      </c>
      <c r="R586" s="52" t="s">
        <v>64</v>
      </c>
      <c r="S586" s="52" t="s">
        <v>519</v>
      </c>
    </row>
    <row r="587" spans="1:19" outlineLevel="2" x14ac:dyDescent="0.45">
      <c r="A587" t="s">
        <v>17</v>
      </c>
      <c r="B587" s="52" t="s">
        <v>66</v>
      </c>
      <c r="C587" s="52" t="s">
        <v>349</v>
      </c>
      <c r="D587" s="52" t="s">
        <v>350</v>
      </c>
      <c r="E587" s="52" t="s">
        <v>387</v>
      </c>
      <c r="F587" s="52" t="s">
        <v>1715</v>
      </c>
      <c r="G587" s="52" t="s">
        <v>60</v>
      </c>
      <c r="H587" s="54">
        <v>46082</v>
      </c>
      <c r="I587" s="52" t="s">
        <v>271</v>
      </c>
      <c r="J587" s="52" t="s">
        <v>519</v>
      </c>
      <c r="K587" s="52" t="s">
        <v>1713</v>
      </c>
      <c r="L587" s="52" t="s">
        <v>1713</v>
      </c>
      <c r="M587" s="52" t="s">
        <v>67</v>
      </c>
      <c r="N587" s="53">
        <v>-1.53</v>
      </c>
      <c r="O587" s="53">
        <v>-5.14</v>
      </c>
      <c r="P587" s="52" t="s">
        <v>1714</v>
      </c>
      <c r="Q587" s="52" t="s">
        <v>1644</v>
      </c>
      <c r="R587" s="52" t="s">
        <v>64</v>
      </c>
      <c r="S587" s="52" t="s">
        <v>519</v>
      </c>
    </row>
    <row r="588" spans="1:19" outlineLevel="2" x14ac:dyDescent="0.45">
      <c r="A588" t="s">
        <v>17</v>
      </c>
      <c r="B588" s="52" t="s">
        <v>66</v>
      </c>
      <c r="C588" s="52" t="s">
        <v>349</v>
      </c>
      <c r="D588" s="52" t="s">
        <v>350</v>
      </c>
      <c r="E588" s="52" t="s">
        <v>387</v>
      </c>
      <c r="F588" s="52" t="s">
        <v>1716</v>
      </c>
      <c r="G588" s="52" t="s">
        <v>60</v>
      </c>
      <c r="H588" s="54">
        <v>46082</v>
      </c>
      <c r="I588" s="52" t="s">
        <v>271</v>
      </c>
      <c r="J588" s="52" t="s">
        <v>383</v>
      </c>
      <c r="K588" s="52" t="s">
        <v>1658</v>
      </c>
      <c r="L588" s="52" t="s">
        <v>1658</v>
      </c>
      <c r="M588" s="52" t="s">
        <v>67</v>
      </c>
      <c r="N588" s="53">
        <v>-1.3</v>
      </c>
      <c r="O588" s="53">
        <v>-4.54</v>
      </c>
      <c r="P588" s="52" t="s">
        <v>1659</v>
      </c>
      <c r="Q588" s="52" t="s">
        <v>1644</v>
      </c>
      <c r="R588" s="52" t="s">
        <v>64</v>
      </c>
      <c r="S588" s="52" t="s">
        <v>383</v>
      </c>
    </row>
    <row r="589" spans="1:19" outlineLevel="2" x14ac:dyDescent="0.45">
      <c r="A589" t="s">
        <v>17</v>
      </c>
      <c r="B589" s="52" t="s">
        <v>57</v>
      </c>
      <c r="C589" s="52" t="s">
        <v>349</v>
      </c>
      <c r="D589" s="52" t="s">
        <v>350</v>
      </c>
      <c r="E589" s="52" t="s">
        <v>387</v>
      </c>
      <c r="F589" s="52" t="s">
        <v>1717</v>
      </c>
      <c r="G589" s="52" t="s">
        <v>60</v>
      </c>
      <c r="H589" s="54">
        <v>46082</v>
      </c>
      <c r="I589" s="52" t="s">
        <v>271</v>
      </c>
      <c r="J589" s="52" t="s">
        <v>519</v>
      </c>
      <c r="K589" s="52" t="s">
        <v>1668</v>
      </c>
      <c r="L589" s="52" t="s">
        <v>1668</v>
      </c>
      <c r="M589" s="52" t="s">
        <v>29</v>
      </c>
      <c r="N589" s="53">
        <v>-4.3</v>
      </c>
      <c r="O589" s="53">
        <v>-4.3</v>
      </c>
      <c r="P589" s="52" t="s">
        <v>1002</v>
      </c>
      <c r="Q589" s="52" t="s">
        <v>1652</v>
      </c>
      <c r="R589" s="52" t="s">
        <v>64</v>
      </c>
      <c r="S589" s="52" t="s">
        <v>519</v>
      </c>
    </row>
    <row r="590" spans="1:19" outlineLevel="2" x14ac:dyDescent="0.45">
      <c r="A590" t="s">
        <v>17</v>
      </c>
      <c r="B590" s="52" t="s">
        <v>57</v>
      </c>
      <c r="C590" s="52" t="s">
        <v>349</v>
      </c>
      <c r="D590" s="52" t="s">
        <v>350</v>
      </c>
      <c r="E590" s="52" t="s">
        <v>387</v>
      </c>
      <c r="F590" s="52" t="s">
        <v>1718</v>
      </c>
      <c r="G590" s="52" t="s">
        <v>60</v>
      </c>
      <c r="H590" s="54">
        <v>46082</v>
      </c>
      <c r="I590" s="52" t="s">
        <v>271</v>
      </c>
      <c r="J590" s="52" t="s">
        <v>272</v>
      </c>
      <c r="K590" s="52" t="s">
        <v>1719</v>
      </c>
      <c r="L590" s="52" t="s">
        <v>1719</v>
      </c>
      <c r="M590" s="52" t="s">
        <v>29</v>
      </c>
      <c r="N590" s="53">
        <v>-4.3</v>
      </c>
      <c r="O590" s="53">
        <v>-4.3</v>
      </c>
      <c r="P590" s="52" t="s">
        <v>1720</v>
      </c>
      <c r="Q590" s="52" t="s">
        <v>1652</v>
      </c>
      <c r="R590" s="52" t="s">
        <v>64</v>
      </c>
      <c r="S590" s="52" t="s">
        <v>272</v>
      </c>
    </row>
    <row r="591" spans="1:19" outlineLevel="2" x14ac:dyDescent="0.45">
      <c r="A591" t="s">
        <v>17</v>
      </c>
      <c r="B591" s="52" t="s">
        <v>57</v>
      </c>
      <c r="C591" s="52" t="s">
        <v>349</v>
      </c>
      <c r="D591" s="52" t="s">
        <v>350</v>
      </c>
      <c r="E591" s="52" t="s">
        <v>387</v>
      </c>
      <c r="F591" s="52" t="s">
        <v>1721</v>
      </c>
      <c r="G591" s="52" t="s">
        <v>60</v>
      </c>
      <c r="H591" s="54">
        <v>46082</v>
      </c>
      <c r="I591" s="52" t="s">
        <v>271</v>
      </c>
      <c r="J591" s="52" t="s">
        <v>272</v>
      </c>
      <c r="K591" s="52" t="s">
        <v>1719</v>
      </c>
      <c r="L591" s="52" t="s">
        <v>1719</v>
      </c>
      <c r="M591" s="52" t="s">
        <v>29</v>
      </c>
      <c r="N591" s="53">
        <v>-4.3</v>
      </c>
      <c r="O591" s="53">
        <v>-4.3</v>
      </c>
      <c r="P591" s="52" t="s">
        <v>1720</v>
      </c>
      <c r="Q591" s="52" t="s">
        <v>1652</v>
      </c>
      <c r="R591" s="52" t="s">
        <v>64</v>
      </c>
      <c r="S591" s="52" t="s">
        <v>272</v>
      </c>
    </row>
    <row r="592" spans="1:19" outlineLevel="2" x14ac:dyDescent="0.45">
      <c r="A592" t="s">
        <v>17</v>
      </c>
      <c r="B592" s="52" t="s">
        <v>57</v>
      </c>
      <c r="C592" s="52" t="s">
        <v>349</v>
      </c>
      <c r="D592" s="52" t="s">
        <v>350</v>
      </c>
      <c r="E592" s="52" t="s">
        <v>387</v>
      </c>
      <c r="F592" s="52" t="s">
        <v>1722</v>
      </c>
      <c r="G592" s="52" t="s">
        <v>60</v>
      </c>
      <c r="H592" s="54">
        <v>46082</v>
      </c>
      <c r="I592" s="52" t="s">
        <v>271</v>
      </c>
      <c r="J592" s="52" t="s">
        <v>272</v>
      </c>
      <c r="K592" s="52" t="s">
        <v>1719</v>
      </c>
      <c r="L592" s="52" t="s">
        <v>1719</v>
      </c>
      <c r="M592" s="52" t="s">
        <v>29</v>
      </c>
      <c r="N592" s="53">
        <v>-4.3</v>
      </c>
      <c r="O592" s="53">
        <v>-4.3</v>
      </c>
      <c r="P592" s="52" t="s">
        <v>1720</v>
      </c>
      <c r="Q592" s="52" t="s">
        <v>1652</v>
      </c>
      <c r="R592" s="52" t="s">
        <v>64</v>
      </c>
      <c r="S592" s="52" t="s">
        <v>272</v>
      </c>
    </row>
    <row r="593" spans="1:19" outlineLevel="2" x14ac:dyDescent="0.45">
      <c r="A593" t="s">
        <v>17</v>
      </c>
      <c r="B593" s="52" t="s">
        <v>57</v>
      </c>
      <c r="C593" s="52" t="s">
        <v>349</v>
      </c>
      <c r="D593" s="52" t="s">
        <v>350</v>
      </c>
      <c r="E593" s="52" t="s">
        <v>387</v>
      </c>
      <c r="F593" s="52" t="s">
        <v>1271</v>
      </c>
      <c r="G593" s="52" t="s">
        <v>60</v>
      </c>
      <c r="H593" s="54">
        <v>46082</v>
      </c>
      <c r="I593" s="52" t="s">
        <v>271</v>
      </c>
      <c r="J593" s="52" t="s">
        <v>319</v>
      </c>
      <c r="K593" s="52" t="s">
        <v>1723</v>
      </c>
      <c r="L593" s="52" t="s">
        <v>1723</v>
      </c>
      <c r="M593" s="52" t="s">
        <v>29</v>
      </c>
      <c r="N593" s="53">
        <v>-4.3</v>
      </c>
      <c r="O593" s="53">
        <v>-4.3</v>
      </c>
      <c r="P593" s="52" t="s">
        <v>1724</v>
      </c>
      <c r="Q593" s="52" t="s">
        <v>1652</v>
      </c>
      <c r="R593" s="52" t="s">
        <v>64</v>
      </c>
      <c r="S593" s="52" t="s">
        <v>319</v>
      </c>
    </row>
    <row r="594" spans="1:19" outlineLevel="2" x14ac:dyDescent="0.45">
      <c r="A594" t="s">
        <v>17</v>
      </c>
      <c r="B594" s="52" t="s">
        <v>57</v>
      </c>
      <c r="C594" s="52" t="s">
        <v>349</v>
      </c>
      <c r="D594" s="52" t="s">
        <v>350</v>
      </c>
      <c r="E594" s="52" t="s">
        <v>387</v>
      </c>
      <c r="F594" s="52" t="s">
        <v>1238</v>
      </c>
      <c r="G594" s="52" t="s">
        <v>60</v>
      </c>
      <c r="H594" s="54">
        <v>46082</v>
      </c>
      <c r="I594" s="52" t="s">
        <v>271</v>
      </c>
      <c r="J594" s="52" t="s">
        <v>314</v>
      </c>
      <c r="K594" s="52" t="s">
        <v>1674</v>
      </c>
      <c r="L594" s="52" t="s">
        <v>1674</v>
      </c>
      <c r="M594" s="52" t="s">
        <v>29</v>
      </c>
      <c r="N594" s="53">
        <v>-4.3</v>
      </c>
      <c r="O594" s="53">
        <v>-4.3</v>
      </c>
      <c r="P594" s="52" t="s">
        <v>1675</v>
      </c>
      <c r="Q594" s="52" t="s">
        <v>1652</v>
      </c>
      <c r="R594" s="52" t="s">
        <v>64</v>
      </c>
      <c r="S594" s="52" t="s">
        <v>314</v>
      </c>
    </row>
    <row r="595" spans="1:19" outlineLevel="2" x14ac:dyDescent="0.45">
      <c r="A595" t="s">
        <v>17</v>
      </c>
      <c r="B595" s="52" t="s">
        <v>57</v>
      </c>
      <c r="C595" s="52" t="s">
        <v>349</v>
      </c>
      <c r="D595" s="52" t="s">
        <v>350</v>
      </c>
      <c r="E595" s="52" t="s">
        <v>387</v>
      </c>
      <c r="F595" s="52" t="s">
        <v>1210</v>
      </c>
      <c r="G595" s="52" t="s">
        <v>60</v>
      </c>
      <c r="H595" s="54">
        <v>46082</v>
      </c>
      <c r="I595" s="52" t="s">
        <v>271</v>
      </c>
      <c r="J595" s="52" t="s">
        <v>314</v>
      </c>
      <c r="K595" s="52" t="s">
        <v>1674</v>
      </c>
      <c r="L595" s="52" t="s">
        <v>1674</v>
      </c>
      <c r="M595" s="52" t="s">
        <v>29</v>
      </c>
      <c r="N595" s="53">
        <v>-4.3</v>
      </c>
      <c r="O595" s="53">
        <v>-4.3</v>
      </c>
      <c r="P595" s="52" t="s">
        <v>1675</v>
      </c>
      <c r="Q595" s="52" t="s">
        <v>1652</v>
      </c>
      <c r="R595" s="52" t="s">
        <v>64</v>
      </c>
      <c r="S595" s="52" t="s">
        <v>314</v>
      </c>
    </row>
    <row r="596" spans="1:19" outlineLevel="2" x14ac:dyDescent="0.45">
      <c r="A596" t="s">
        <v>17</v>
      </c>
      <c r="B596" s="52" t="s">
        <v>57</v>
      </c>
      <c r="C596" s="52" t="s">
        <v>349</v>
      </c>
      <c r="D596" s="52" t="s">
        <v>350</v>
      </c>
      <c r="E596" s="52" t="s">
        <v>387</v>
      </c>
      <c r="F596" s="52" t="s">
        <v>1151</v>
      </c>
      <c r="G596" s="52" t="s">
        <v>60</v>
      </c>
      <c r="H596" s="54">
        <v>46082</v>
      </c>
      <c r="I596" s="52" t="s">
        <v>271</v>
      </c>
      <c r="J596" s="52" t="s">
        <v>314</v>
      </c>
      <c r="K596" s="52" t="s">
        <v>1674</v>
      </c>
      <c r="L596" s="52" t="s">
        <v>1674</v>
      </c>
      <c r="M596" s="52" t="s">
        <v>29</v>
      </c>
      <c r="N596" s="53">
        <v>-4.3</v>
      </c>
      <c r="O596" s="53">
        <v>-4.3</v>
      </c>
      <c r="P596" s="52" t="s">
        <v>1675</v>
      </c>
      <c r="Q596" s="52" t="s">
        <v>1652</v>
      </c>
      <c r="R596" s="52" t="s">
        <v>64</v>
      </c>
      <c r="S596" s="52" t="s">
        <v>314</v>
      </c>
    </row>
    <row r="597" spans="1:19" outlineLevel="2" x14ac:dyDescent="0.45">
      <c r="A597" t="s">
        <v>17</v>
      </c>
      <c r="B597" s="52" t="s">
        <v>57</v>
      </c>
      <c r="C597" s="52" t="s">
        <v>349</v>
      </c>
      <c r="D597" s="52" t="s">
        <v>350</v>
      </c>
      <c r="E597" s="52" t="s">
        <v>387</v>
      </c>
      <c r="F597" s="52" t="s">
        <v>1118</v>
      </c>
      <c r="G597" s="52" t="s">
        <v>60</v>
      </c>
      <c r="H597" s="54">
        <v>46082</v>
      </c>
      <c r="I597" s="52" t="s">
        <v>271</v>
      </c>
      <c r="J597" s="52" t="s">
        <v>314</v>
      </c>
      <c r="K597" s="52" t="s">
        <v>1674</v>
      </c>
      <c r="L597" s="52" t="s">
        <v>1674</v>
      </c>
      <c r="M597" s="52" t="s">
        <v>29</v>
      </c>
      <c r="N597" s="53">
        <v>-4.3</v>
      </c>
      <c r="O597" s="53">
        <v>-4.3</v>
      </c>
      <c r="P597" s="52" t="s">
        <v>1675</v>
      </c>
      <c r="Q597" s="52" t="s">
        <v>1652</v>
      </c>
      <c r="R597" s="52" t="s">
        <v>64</v>
      </c>
      <c r="S597" s="52" t="s">
        <v>314</v>
      </c>
    </row>
    <row r="598" spans="1:19" outlineLevel="2" x14ac:dyDescent="0.45">
      <c r="A598" t="s">
        <v>17</v>
      </c>
      <c r="B598" s="52" t="s">
        <v>57</v>
      </c>
      <c r="C598" s="52" t="s">
        <v>349</v>
      </c>
      <c r="D598" s="52" t="s">
        <v>350</v>
      </c>
      <c r="E598" s="52" t="s">
        <v>387</v>
      </c>
      <c r="F598" s="52" t="s">
        <v>1090</v>
      </c>
      <c r="G598" s="52" t="s">
        <v>60</v>
      </c>
      <c r="H598" s="54">
        <v>46082</v>
      </c>
      <c r="I598" s="52" t="s">
        <v>271</v>
      </c>
      <c r="J598" s="52" t="s">
        <v>314</v>
      </c>
      <c r="K598" s="52" t="s">
        <v>1674</v>
      </c>
      <c r="L598" s="52" t="s">
        <v>1674</v>
      </c>
      <c r="M598" s="52" t="s">
        <v>29</v>
      </c>
      <c r="N598" s="53">
        <v>-4.3</v>
      </c>
      <c r="O598" s="53">
        <v>-4.3</v>
      </c>
      <c r="P598" s="52" t="s">
        <v>1675</v>
      </c>
      <c r="Q598" s="52" t="s">
        <v>1652</v>
      </c>
      <c r="R598" s="52" t="s">
        <v>64</v>
      </c>
      <c r="S598" s="52" t="s">
        <v>314</v>
      </c>
    </row>
    <row r="599" spans="1:19" outlineLevel="2" x14ac:dyDescent="0.45">
      <c r="A599" t="s">
        <v>17</v>
      </c>
      <c r="B599" s="52" t="s">
        <v>57</v>
      </c>
      <c r="C599" s="52" t="s">
        <v>349</v>
      </c>
      <c r="D599" s="52" t="s">
        <v>350</v>
      </c>
      <c r="E599" s="52" t="s">
        <v>387</v>
      </c>
      <c r="F599" s="52" t="s">
        <v>1298</v>
      </c>
      <c r="G599" s="52" t="s">
        <v>60</v>
      </c>
      <c r="H599" s="54">
        <v>46082</v>
      </c>
      <c r="I599" s="52" t="s">
        <v>271</v>
      </c>
      <c r="J599" s="52" t="s">
        <v>314</v>
      </c>
      <c r="K599" s="52" t="s">
        <v>1674</v>
      </c>
      <c r="L599" s="52" t="s">
        <v>1674</v>
      </c>
      <c r="M599" s="52" t="s">
        <v>29</v>
      </c>
      <c r="N599" s="53">
        <v>-4.3</v>
      </c>
      <c r="O599" s="53">
        <v>-4.3</v>
      </c>
      <c r="P599" s="52" t="s">
        <v>1675</v>
      </c>
      <c r="Q599" s="52" t="s">
        <v>1652</v>
      </c>
      <c r="R599" s="52" t="s">
        <v>64</v>
      </c>
      <c r="S599" s="52" t="s">
        <v>314</v>
      </c>
    </row>
    <row r="600" spans="1:19" outlineLevel="2" x14ac:dyDescent="0.45">
      <c r="A600" t="s">
        <v>17</v>
      </c>
      <c r="B600" s="52" t="s">
        <v>57</v>
      </c>
      <c r="C600" s="52" t="s">
        <v>349</v>
      </c>
      <c r="D600" s="52" t="s">
        <v>350</v>
      </c>
      <c r="E600" s="52" t="s">
        <v>387</v>
      </c>
      <c r="F600" s="52" t="s">
        <v>483</v>
      </c>
      <c r="G600" s="52" t="s">
        <v>60</v>
      </c>
      <c r="H600" s="54">
        <v>46082</v>
      </c>
      <c r="I600" s="52" t="s">
        <v>271</v>
      </c>
      <c r="J600" s="52" t="s">
        <v>314</v>
      </c>
      <c r="K600" s="52" t="s">
        <v>1674</v>
      </c>
      <c r="L600" s="52" t="s">
        <v>1674</v>
      </c>
      <c r="M600" s="52" t="s">
        <v>29</v>
      </c>
      <c r="N600" s="53">
        <v>-4.3</v>
      </c>
      <c r="O600" s="53">
        <v>-4.3</v>
      </c>
      <c r="P600" s="52" t="s">
        <v>1675</v>
      </c>
      <c r="Q600" s="52" t="s">
        <v>1652</v>
      </c>
      <c r="R600" s="52" t="s">
        <v>64</v>
      </c>
      <c r="S600" s="52" t="s">
        <v>314</v>
      </c>
    </row>
    <row r="601" spans="1:19" outlineLevel="2" x14ac:dyDescent="0.45">
      <c r="A601" t="s">
        <v>17</v>
      </c>
      <c r="B601" s="52" t="s">
        <v>57</v>
      </c>
      <c r="C601" s="52" t="s">
        <v>349</v>
      </c>
      <c r="D601" s="52" t="s">
        <v>350</v>
      </c>
      <c r="E601" s="52" t="s">
        <v>387</v>
      </c>
      <c r="F601" s="52" t="s">
        <v>1725</v>
      </c>
      <c r="G601" s="52" t="s">
        <v>60</v>
      </c>
      <c r="H601" s="54">
        <v>46082</v>
      </c>
      <c r="I601" s="52" t="s">
        <v>271</v>
      </c>
      <c r="J601" s="52" t="s">
        <v>298</v>
      </c>
      <c r="K601" s="52" t="s">
        <v>1726</v>
      </c>
      <c r="L601" s="52" t="s">
        <v>1726</v>
      </c>
      <c r="M601" s="52" t="s">
        <v>29</v>
      </c>
      <c r="N601" s="53">
        <v>-4.3</v>
      </c>
      <c r="O601" s="53">
        <v>-4.3</v>
      </c>
      <c r="P601" s="52" t="s">
        <v>1727</v>
      </c>
      <c r="Q601" s="52" t="s">
        <v>1652</v>
      </c>
      <c r="R601" s="52" t="s">
        <v>64</v>
      </c>
      <c r="S601" s="52" t="s">
        <v>298</v>
      </c>
    </row>
    <row r="602" spans="1:19" outlineLevel="2" x14ac:dyDescent="0.45">
      <c r="A602" t="s">
        <v>17</v>
      </c>
      <c r="B602" s="52" t="s">
        <v>57</v>
      </c>
      <c r="C602" s="52" t="s">
        <v>349</v>
      </c>
      <c r="D602" s="52" t="s">
        <v>350</v>
      </c>
      <c r="E602" s="52" t="s">
        <v>387</v>
      </c>
      <c r="F602" s="52" t="s">
        <v>1667</v>
      </c>
      <c r="G602" s="52" t="s">
        <v>60</v>
      </c>
      <c r="H602" s="54">
        <v>46082</v>
      </c>
      <c r="I602" s="52" t="s">
        <v>271</v>
      </c>
      <c r="J602" s="52" t="s">
        <v>519</v>
      </c>
      <c r="K602" s="52" t="s">
        <v>1728</v>
      </c>
      <c r="L602" s="52" t="s">
        <v>1728</v>
      </c>
      <c r="M602" s="52" t="s">
        <v>29</v>
      </c>
      <c r="N602" s="53">
        <v>-4.3</v>
      </c>
      <c r="O602" s="53">
        <v>-4.3</v>
      </c>
      <c r="P602" s="52" t="s">
        <v>1729</v>
      </c>
      <c r="Q602" s="52" t="s">
        <v>1669</v>
      </c>
      <c r="R602" s="52" t="s">
        <v>64</v>
      </c>
      <c r="S602" s="52" t="s">
        <v>519</v>
      </c>
    </row>
    <row r="603" spans="1:19" outlineLevel="2" x14ac:dyDescent="0.45">
      <c r="A603" t="s">
        <v>17</v>
      </c>
      <c r="B603" s="52" t="s">
        <v>57</v>
      </c>
      <c r="C603" s="52" t="s">
        <v>349</v>
      </c>
      <c r="D603" s="52" t="s">
        <v>350</v>
      </c>
      <c r="E603" s="52" t="s">
        <v>387</v>
      </c>
      <c r="F603" s="52" t="s">
        <v>1113</v>
      </c>
      <c r="G603" s="52" t="s">
        <v>60</v>
      </c>
      <c r="H603" s="54">
        <v>46082</v>
      </c>
      <c r="I603" s="52" t="s">
        <v>271</v>
      </c>
      <c r="J603" s="52" t="s">
        <v>323</v>
      </c>
      <c r="K603" s="52" t="s">
        <v>1730</v>
      </c>
      <c r="L603" s="52" t="s">
        <v>1730</v>
      </c>
      <c r="M603" s="52" t="s">
        <v>29</v>
      </c>
      <c r="N603" s="53">
        <v>-4.3</v>
      </c>
      <c r="O603" s="53">
        <v>-4.3</v>
      </c>
      <c r="P603" s="52" t="s">
        <v>1731</v>
      </c>
      <c r="Q603" s="52" t="s">
        <v>1652</v>
      </c>
      <c r="R603" s="52" t="s">
        <v>64</v>
      </c>
      <c r="S603" s="52" t="s">
        <v>323</v>
      </c>
    </row>
    <row r="604" spans="1:19" outlineLevel="2" x14ac:dyDescent="0.45">
      <c r="A604" t="s">
        <v>17</v>
      </c>
      <c r="B604" s="52" t="s">
        <v>57</v>
      </c>
      <c r="C604" s="52" t="s">
        <v>349</v>
      </c>
      <c r="D604" s="52" t="s">
        <v>350</v>
      </c>
      <c r="E604" s="52" t="s">
        <v>387</v>
      </c>
      <c r="F604" s="52" t="s">
        <v>1206</v>
      </c>
      <c r="G604" s="52" t="s">
        <v>60</v>
      </c>
      <c r="H604" s="54">
        <v>46082</v>
      </c>
      <c r="I604" s="52" t="s">
        <v>271</v>
      </c>
      <c r="J604" s="52" t="s">
        <v>513</v>
      </c>
      <c r="K604" s="52" t="s">
        <v>1732</v>
      </c>
      <c r="L604" s="52" t="s">
        <v>1732</v>
      </c>
      <c r="M604" s="52" t="s">
        <v>29</v>
      </c>
      <c r="N604" s="53">
        <v>-4.3</v>
      </c>
      <c r="O604" s="53">
        <v>-4.3</v>
      </c>
      <c r="P604" s="52" t="s">
        <v>1733</v>
      </c>
      <c r="Q604" s="52" t="s">
        <v>1652</v>
      </c>
      <c r="R604" s="52" t="s">
        <v>64</v>
      </c>
      <c r="S604" s="52" t="s">
        <v>513</v>
      </c>
    </row>
    <row r="605" spans="1:19" outlineLevel="2" x14ac:dyDescent="0.45">
      <c r="A605" t="s">
        <v>17</v>
      </c>
      <c r="B605" s="52" t="s">
        <v>57</v>
      </c>
      <c r="C605" s="52" t="s">
        <v>349</v>
      </c>
      <c r="D605" s="52" t="s">
        <v>350</v>
      </c>
      <c r="E605" s="52" t="s">
        <v>387</v>
      </c>
      <c r="F605" s="52" t="s">
        <v>1055</v>
      </c>
      <c r="G605" s="52" t="s">
        <v>60</v>
      </c>
      <c r="H605" s="54">
        <v>46082</v>
      </c>
      <c r="I605" s="52" t="s">
        <v>271</v>
      </c>
      <c r="J605" s="52" t="s">
        <v>526</v>
      </c>
      <c r="K605" s="52" t="s">
        <v>1660</v>
      </c>
      <c r="L605" s="52" t="s">
        <v>1660</v>
      </c>
      <c r="M605" s="52" t="s">
        <v>29</v>
      </c>
      <c r="N605" s="53">
        <v>-4.3</v>
      </c>
      <c r="O605" s="53">
        <v>-4.3</v>
      </c>
      <c r="P605" s="52" t="s">
        <v>1661</v>
      </c>
      <c r="Q605" s="52" t="s">
        <v>1652</v>
      </c>
      <c r="R605" s="52" t="s">
        <v>64</v>
      </c>
      <c r="S605" s="52" t="s">
        <v>526</v>
      </c>
    </row>
    <row r="606" spans="1:19" outlineLevel="2" x14ac:dyDescent="0.45">
      <c r="A606" t="s">
        <v>17</v>
      </c>
      <c r="B606" s="52" t="s">
        <v>57</v>
      </c>
      <c r="C606" s="52" t="s">
        <v>349</v>
      </c>
      <c r="D606" s="52" t="s">
        <v>350</v>
      </c>
      <c r="E606" s="52" t="s">
        <v>387</v>
      </c>
      <c r="F606" s="52" t="s">
        <v>1054</v>
      </c>
      <c r="G606" s="52" t="s">
        <v>60</v>
      </c>
      <c r="H606" s="54">
        <v>46082</v>
      </c>
      <c r="I606" s="52" t="s">
        <v>271</v>
      </c>
      <c r="J606" s="52" t="s">
        <v>526</v>
      </c>
      <c r="K606" s="52" t="s">
        <v>1660</v>
      </c>
      <c r="L606" s="52" t="s">
        <v>1660</v>
      </c>
      <c r="M606" s="52" t="s">
        <v>29</v>
      </c>
      <c r="N606" s="53">
        <v>-4.3</v>
      </c>
      <c r="O606" s="53">
        <v>-4.3</v>
      </c>
      <c r="P606" s="52" t="s">
        <v>1661</v>
      </c>
      <c r="Q606" s="52" t="s">
        <v>1652</v>
      </c>
      <c r="R606" s="52" t="s">
        <v>64</v>
      </c>
      <c r="S606" s="52" t="s">
        <v>526</v>
      </c>
    </row>
    <row r="607" spans="1:19" outlineLevel="2" x14ac:dyDescent="0.45">
      <c r="A607" t="s">
        <v>17</v>
      </c>
      <c r="B607" s="52" t="s">
        <v>57</v>
      </c>
      <c r="C607" s="52" t="s">
        <v>349</v>
      </c>
      <c r="D607" s="52" t="s">
        <v>350</v>
      </c>
      <c r="E607" s="52" t="s">
        <v>387</v>
      </c>
      <c r="F607" s="52" t="s">
        <v>1215</v>
      </c>
      <c r="G607" s="52" t="s">
        <v>60</v>
      </c>
      <c r="H607" s="54">
        <v>46082</v>
      </c>
      <c r="I607" s="52" t="s">
        <v>271</v>
      </c>
      <c r="J607" s="52" t="s">
        <v>526</v>
      </c>
      <c r="K607" s="52" t="s">
        <v>1660</v>
      </c>
      <c r="L607" s="52" t="s">
        <v>1660</v>
      </c>
      <c r="M607" s="52" t="s">
        <v>29</v>
      </c>
      <c r="N607" s="53">
        <v>-4.3</v>
      </c>
      <c r="O607" s="53">
        <v>-4.3</v>
      </c>
      <c r="P607" s="52" t="s">
        <v>1661</v>
      </c>
      <c r="Q607" s="52" t="s">
        <v>1652</v>
      </c>
      <c r="R607" s="52" t="s">
        <v>64</v>
      </c>
      <c r="S607" s="52" t="s">
        <v>526</v>
      </c>
    </row>
    <row r="608" spans="1:19" outlineLevel="2" x14ac:dyDescent="0.45">
      <c r="A608" t="s">
        <v>17</v>
      </c>
      <c r="B608" s="52" t="s">
        <v>57</v>
      </c>
      <c r="C608" s="52" t="s">
        <v>349</v>
      </c>
      <c r="D608" s="52" t="s">
        <v>350</v>
      </c>
      <c r="E608" s="52" t="s">
        <v>387</v>
      </c>
      <c r="F608" s="52" t="s">
        <v>1268</v>
      </c>
      <c r="G608" s="52" t="s">
        <v>60</v>
      </c>
      <c r="H608" s="54">
        <v>46082</v>
      </c>
      <c r="I608" s="52" t="s">
        <v>271</v>
      </c>
      <c r="J608" s="52" t="s">
        <v>526</v>
      </c>
      <c r="K608" s="52" t="s">
        <v>1660</v>
      </c>
      <c r="L608" s="52" t="s">
        <v>1660</v>
      </c>
      <c r="M608" s="52" t="s">
        <v>29</v>
      </c>
      <c r="N608" s="53">
        <v>-4.3</v>
      </c>
      <c r="O608" s="53">
        <v>-4.3</v>
      </c>
      <c r="P608" s="52" t="s">
        <v>1661</v>
      </c>
      <c r="Q608" s="52" t="s">
        <v>1652</v>
      </c>
      <c r="R608" s="52" t="s">
        <v>64</v>
      </c>
      <c r="S608" s="52" t="s">
        <v>526</v>
      </c>
    </row>
    <row r="609" spans="1:52" outlineLevel="2" x14ac:dyDescent="0.45">
      <c r="A609" t="s">
        <v>17</v>
      </c>
      <c r="B609" s="52" t="s">
        <v>57</v>
      </c>
      <c r="C609" s="52" t="s">
        <v>349</v>
      </c>
      <c r="D609" s="52" t="s">
        <v>350</v>
      </c>
      <c r="E609" s="52" t="s">
        <v>387</v>
      </c>
      <c r="F609" s="52" t="s">
        <v>1212</v>
      </c>
      <c r="G609" s="52" t="s">
        <v>60</v>
      </c>
      <c r="H609" s="54">
        <v>46082</v>
      </c>
      <c r="I609" s="52" t="s">
        <v>271</v>
      </c>
      <c r="J609" s="52" t="s">
        <v>526</v>
      </c>
      <c r="K609" s="52" t="s">
        <v>1660</v>
      </c>
      <c r="L609" s="52" t="s">
        <v>1660</v>
      </c>
      <c r="M609" s="52" t="s">
        <v>29</v>
      </c>
      <c r="N609" s="53">
        <v>-4.3</v>
      </c>
      <c r="O609" s="53">
        <v>-4.3</v>
      </c>
      <c r="P609" s="52" t="s">
        <v>1661</v>
      </c>
      <c r="Q609" s="52" t="s">
        <v>1652</v>
      </c>
      <c r="R609" s="52" t="s">
        <v>64</v>
      </c>
      <c r="S609" s="52" t="s">
        <v>526</v>
      </c>
    </row>
    <row r="610" spans="1:52" outlineLevel="2" x14ac:dyDescent="0.45">
      <c r="A610" t="s">
        <v>17</v>
      </c>
      <c r="B610" s="52" t="s">
        <v>57</v>
      </c>
      <c r="C610" s="52" t="s">
        <v>349</v>
      </c>
      <c r="D610" s="52" t="s">
        <v>350</v>
      </c>
      <c r="E610" s="52" t="s">
        <v>387</v>
      </c>
      <c r="F610" s="52" t="s">
        <v>1172</v>
      </c>
      <c r="G610" s="52" t="s">
        <v>60</v>
      </c>
      <c r="H610" s="54">
        <v>46082</v>
      </c>
      <c r="I610" s="52" t="s">
        <v>271</v>
      </c>
      <c r="J610" s="52" t="s">
        <v>526</v>
      </c>
      <c r="K610" s="52" t="s">
        <v>1660</v>
      </c>
      <c r="L610" s="52" t="s">
        <v>1660</v>
      </c>
      <c r="M610" s="52" t="s">
        <v>29</v>
      </c>
      <c r="N610" s="53">
        <v>-4.3</v>
      </c>
      <c r="O610" s="53">
        <v>-4.3</v>
      </c>
      <c r="P610" s="52" t="s">
        <v>1661</v>
      </c>
      <c r="Q610" s="52" t="s">
        <v>1652</v>
      </c>
      <c r="R610" s="52" t="s">
        <v>64</v>
      </c>
      <c r="S610" s="52" t="s">
        <v>526</v>
      </c>
    </row>
    <row r="611" spans="1:52" outlineLevel="2" x14ac:dyDescent="0.45">
      <c r="A611" t="s">
        <v>17</v>
      </c>
      <c r="B611" s="52" t="s">
        <v>57</v>
      </c>
      <c r="C611" s="52" t="s">
        <v>349</v>
      </c>
      <c r="D611" s="52" t="s">
        <v>350</v>
      </c>
      <c r="E611" s="52" t="s">
        <v>387</v>
      </c>
      <c r="F611" s="52" t="s">
        <v>1260</v>
      </c>
      <c r="G611" s="52" t="s">
        <v>60</v>
      </c>
      <c r="H611" s="54">
        <v>46082</v>
      </c>
      <c r="I611" s="52" t="s">
        <v>271</v>
      </c>
      <c r="J611" s="52" t="s">
        <v>526</v>
      </c>
      <c r="K611" s="52" t="s">
        <v>1660</v>
      </c>
      <c r="L611" s="52" t="s">
        <v>1660</v>
      </c>
      <c r="M611" s="52" t="s">
        <v>29</v>
      </c>
      <c r="N611" s="53">
        <v>-4.3</v>
      </c>
      <c r="O611" s="53">
        <v>-4.3</v>
      </c>
      <c r="P611" s="52" t="s">
        <v>1661</v>
      </c>
      <c r="Q611" s="52" t="s">
        <v>1652</v>
      </c>
      <c r="R611" s="52" t="s">
        <v>64</v>
      </c>
      <c r="S611" s="52" t="s">
        <v>526</v>
      </c>
    </row>
    <row r="612" spans="1:52" outlineLevel="2" x14ac:dyDescent="0.45">
      <c r="A612" t="s">
        <v>17</v>
      </c>
      <c r="B612" s="52" t="s">
        <v>57</v>
      </c>
      <c r="C612" s="52" t="s">
        <v>349</v>
      </c>
      <c r="D612" s="52" t="s">
        <v>350</v>
      </c>
      <c r="E612" s="52" t="s">
        <v>387</v>
      </c>
      <c r="F612" s="52" t="s">
        <v>1734</v>
      </c>
      <c r="G612" s="52" t="s">
        <v>60</v>
      </c>
      <c r="H612" s="54">
        <v>46082</v>
      </c>
      <c r="I612" s="52" t="s">
        <v>271</v>
      </c>
      <c r="J612" s="52" t="s">
        <v>526</v>
      </c>
      <c r="K612" s="52" t="s">
        <v>1660</v>
      </c>
      <c r="L612" s="52" t="s">
        <v>1660</v>
      </c>
      <c r="M612" s="52" t="s">
        <v>29</v>
      </c>
      <c r="N612" s="53">
        <v>-4.3</v>
      </c>
      <c r="O612" s="53">
        <v>-4.3</v>
      </c>
      <c r="P612" s="52" t="s">
        <v>1661</v>
      </c>
      <c r="Q612" s="52" t="s">
        <v>1652</v>
      </c>
      <c r="R612" s="52" t="s">
        <v>64</v>
      </c>
      <c r="S612" s="52" t="s">
        <v>526</v>
      </c>
    </row>
    <row r="613" spans="1:52" outlineLevel="2" x14ac:dyDescent="0.45">
      <c r="A613" t="s">
        <v>17</v>
      </c>
      <c r="B613" s="52" t="s">
        <v>57</v>
      </c>
      <c r="C613" s="52" t="s">
        <v>349</v>
      </c>
      <c r="D613" s="52" t="s">
        <v>350</v>
      </c>
      <c r="E613" s="52" t="s">
        <v>387</v>
      </c>
      <c r="F613" s="52" t="s">
        <v>1735</v>
      </c>
      <c r="G613" s="52" t="s">
        <v>60</v>
      </c>
      <c r="H613" s="54">
        <v>46082</v>
      </c>
      <c r="I613" s="52" t="s">
        <v>271</v>
      </c>
      <c r="J613" s="52" t="s">
        <v>526</v>
      </c>
      <c r="K613" s="52" t="s">
        <v>1660</v>
      </c>
      <c r="L613" s="52" t="s">
        <v>1660</v>
      </c>
      <c r="M613" s="52" t="s">
        <v>29</v>
      </c>
      <c r="N613" s="53">
        <v>-4.3</v>
      </c>
      <c r="O613" s="53">
        <v>-4.3</v>
      </c>
      <c r="P613" s="52" t="s">
        <v>1661</v>
      </c>
      <c r="Q613" s="52" t="s">
        <v>1652</v>
      </c>
      <c r="R613" s="52" t="s">
        <v>64</v>
      </c>
      <c r="S613" s="52" t="s">
        <v>526</v>
      </c>
    </row>
    <row r="614" spans="1:52" outlineLevel="2" x14ac:dyDescent="0.45">
      <c r="A614" t="s">
        <v>17</v>
      </c>
      <c r="B614" s="52" t="s">
        <v>57</v>
      </c>
      <c r="C614" s="52" t="s">
        <v>349</v>
      </c>
      <c r="D614" s="52" t="s">
        <v>350</v>
      </c>
      <c r="E614" s="52" t="s">
        <v>387</v>
      </c>
      <c r="F614" s="52" t="s">
        <v>1177</v>
      </c>
      <c r="G614" s="52" t="s">
        <v>60</v>
      </c>
      <c r="H614" s="54">
        <v>46082</v>
      </c>
      <c r="I614" s="52" t="s">
        <v>271</v>
      </c>
      <c r="J614" s="52" t="s">
        <v>526</v>
      </c>
      <c r="K614" s="52" t="s">
        <v>1660</v>
      </c>
      <c r="L614" s="52" t="s">
        <v>1660</v>
      </c>
      <c r="M614" s="52" t="s">
        <v>29</v>
      </c>
      <c r="N614" s="53">
        <v>-4.3</v>
      </c>
      <c r="O614" s="53">
        <v>-4.3</v>
      </c>
      <c r="P614" s="52" t="s">
        <v>1661</v>
      </c>
      <c r="Q614" s="52" t="s">
        <v>1652</v>
      </c>
      <c r="R614" s="52" t="s">
        <v>64</v>
      </c>
      <c r="S614" s="52" t="s">
        <v>526</v>
      </c>
    </row>
    <row r="615" spans="1:52" outlineLevel="2" x14ac:dyDescent="0.45">
      <c r="A615" t="s">
        <v>17</v>
      </c>
      <c r="B615" s="52" t="s">
        <v>57</v>
      </c>
      <c r="C615" s="52" t="s">
        <v>349</v>
      </c>
      <c r="D615" s="52" t="s">
        <v>350</v>
      </c>
      <c r="E615" s="52" t="s">
        <v>387</v>
      </c>
      <c r="F615" s="52" t="s">
        <v>1247</v>
      </c>
      <c r="G615" s="52" t="s">
        <v>60</v>
      </c>
      <c r="H615" s="54">
        <v>46082</v>
      </c>
      <c r="I615" s="52" t="s">
        <v>271</v>
      </c>
      <c r="J615" s="52" t="s">
        <v>526</v>
      </c>
      <c r="K615" s="52" t="s">
        <v>1660</v>
      </c>
      <c r="L615" s="52" t="s">
        <v>1660</v>
      </c>
      <c r="M615" s="52" t="s">
        <v>29</v>
      </c>
      <c r="N615" s="53">
        <v>-4.3</v>
      </c>
      <c r="O615" s="53">
        <v>-4.3</v>
      </c>
      <c r="P615" s="52" t="s">
        <v>1661</v>
      </c>
      <c r="Q615" s="52" t="s">
        <v>1652</v>
      </c>
      <c r="R615" s="52" t="s">
        <v>64</v>
      </c>
      <c r="S615" s="52" t="s">
        <v>526</v>
      </c>
      <c r="T615" s="59"/>
      <c r="U615" s="59"/>
      <c r="V615" s="59"/>
      <c r="W615" s="59"/>
      <c r="X615" s="59"/>
      <c r="Y615" s="59"/>
      <c r="Z615" s="59"/>
      <c r="AA615" s="59"/>
      <c r="AB615" s="59"/>
      <c r="AC615" s="59"/>
      <c r="AD615" s="59"/>
      <c r="AE615" s="59"/>
      <c r="AF615" s="59"/>
      <c r="AG615" s="59"/>
      <c r="AH615" s="59"/>
      <c r="AI615" s="59"/>
      <c r="AJ615" s="59"/>
      <c r="AK615" s="59"/>
      <c r="AL615" s="59"/>
      <c r="AM615" s="59"/>
      <c r="AN615" s="59"/>
      <c r="AO615" s="59"/>
      <c r="AP615" s="59"/>
      <c r="AQ615" s="59"/>
      <c r="AR615" s="59"/>
      <c r="AS615" s="59"/>
      <c r="AT615" s="59"/>
      <c r="AU615" s="59"/>
      <c r="AV615" s="59"/>
      <c r="AW615" s="59"/>
      <c r="AX615" s="59"/>
      <c r="AY615" s="59"/>
      <c r="AZ615" s="59"/>
    </row>
    <row r="616" spans="1:52" outlineLevel="2" x14ac:dyDescent="0.45">
      <c r="A616" t="s">
        <v>17</v>
      </c>
      <c r="B616" s="52" t="s">
        <v>57</v>
      </c>
      <c r="C616" s="52" t="s">
        <v>349</v>
      </c>
      <c r="D616" s="52" t="s">
        <v>350</v>
      </c>
      <c r="E616" s="52" t="s">
        <v>387</v>
      </c>
      <c r="F616" s="52" t="s">
        <v>1101</v>
      </c>
      <c r="G616" s="52" t="s">
        <v>60</v>
      </c>
      <c r="H616" s="54">
        <v>46082</v>
      </c>
      <c r="I616" s="52" t="s">
        <v>271</v>
      </c>
      <c r="J616" s="52" t="s">
        <v>526</v>
      </c>
      <c r="K616" s="52" t="s">
        <v>1660</v>
      </c>
      <c r="L616" s="52" t="s">
        <v>1660</v>
      </c>
      <c r="M616" s="52" t="s">
        <v>29</v>
      </c>
      <c r="N616" s="53">
        <v>-4.3</v>
      </c>
      <c r="O616" s="53">
        <v>-4.3</v>
      </c>
      <c r="P616" s="52" t="s">
        <v>1661</v>
      </c>
      <c r="Q616" s="52" t="s">
        <v>1652</v>
      </c>
      <c r="R616" s="52" t="s">
        <v>64</v>
      </c>
      <c r="S616" s="52" t="s">
        <v>526</v>
      </c>
    </row>
    <row r="617" spans="1:52" outlineLevel="2" x14ac:dyDescent="0.45">
      <c r="A617" t="s">
        <v>17</v>
      </c>
      <c r="B617" s="52" t="s">
        <v>57</v>
      </c>
      <c r="C617" s="52" t="s">
        <v>349</v>
      </c>
      <c r="D617" s="52" t="s">
        <v>350</v>
      </c>
      <c r="E617" s="52" t="s">
        <v>387</v>
      </c>
      <c r="F617" s="52" t="s">
        <v>1258</v>
      </c>
      <c r="G617" s="52" t="s">
        <v>60</v>
      </c>
      <c r="H617" s="54">
        <v>46082</v>
      </c>
      <c r="I617" s="52" t="s">
        <v>271</v>
      </c>
      <c r="J617" s="52" t="s">
        <v>314</v>
      </c>
      <c r="K617" s="52" t="s">
        <v>1663</v>
      </c>
      <c r="L617" s="52" t="s">
        <v>1663</v>
      </c>
      <c r="M617" s="52" t="s">
        <v>29</v>
      </c>
      <c r="N617" s="53">
        <v>-4.3</v>
      </c>
      <c r="O617" s="53">
        <v>-4.3</v>
      </c>
      <c r="P617" s="52" t="s">
        <v>1664</v>
      </c>
      <c r="Q617" s="52" t="s">
        <v>1652</v>
      </c>
      <c r="R617" s="52" t="s">
        <v>64</v>
      </c>
      <c r="S617" s="52" t="s">
        <v>314</v>
      </c>
    </row>
    <row r="618" spans="1:52" outlineLevel="2" x14ac:dyDescent="0.45">
      <c r="A618" t="s">
        <v>17</v>
      </c>
      <c r="B618" s="52" t="s">
        <v>57</v>
      </c>
      <c r="C618" s="52" t="s">
        <v>349</v>
      </c>
      <c r="D618" s="52" t="s">
        <v>350</v>
      </c>
      <c r="E618" s="52" t="s">
        <v>387</v>
      </c>
      <c r="F618" s="52" t="s">
        <v>1290</v>
      </c>
      <c r="G618" s="52" t="s">
        <v>60</v>
      </c>
      <c r="H618" s="54">
        <v>46082</v>
      </c>
      <c r="I618" s="52" t="s">
        <v>271</v>
      </c>
      <c r="J618" s="52" t="s">
        <v>314</v>
      </c>
      <c r="K618" s="52" t="s">
        <v>1663</v>
      </c>
      <c r="L618" s="52" t="s">
        <v>1663</v>
      </c>
      <c r="M618" s="52" t="s">
        <v>29</v>
      </c>
      <c r="N618" s="53">
        <v>-4.3</v>
      </c>
      <c r="O618" s="53">
        <v>-4.3</v>
      </c>
      <c r="P618" s="52" t="s">
        <v>1664</v>
      </c>
      <c r="Q618" s="52" t="s">
        <v>1652</v>
      </c>
      <c r="R618" s="52" t="s">
        <v>64</v>
      </c>
      <c r="S618" s="52" t="s">
        <v>314</v>
      </c>
    </row>
    <row r="619" spans="1:52" outlineLevel="2" x14ac:dyDescent="0.45">
      <c r="A619" t="s">
        <v>17</v>
      </c>
      <c r="B619" s="52" t="s">
        <v>57</v>
      </c>
      <c r="C619" s="52" t="s">
        <v>349</v>
      </c>
      <c r="D619" s="52" t="s">
        <v>350</v>
      </c>
      <c r="E619" s="52" t="s">
        <v>387</v>
      </c>
      <c r="F619" s="52" t="s">
        <v>1156</v>
      </c>
      <c r="G619" s="52" t="s">
        <v>60</v>
      </c>
      <c r="H619" s="54">
        <v>46082</v>
      </c>
      <c r="I619" s="52" t="s">
        <v>271</v>
      </c>
      <c r="J619" s="52" t="s">
        <v>314</v>
      </c>
      <c r="K619" s="52" t="s">
        <v>1663</v>
      </c>
      <c r="L619" s="52" t="s">
        <v>1663</v>
      </c>
      <c r="M619" s="52" t="s">
        <v>29</v>
      </c>
      <c r="N619" s="53">
        <v>-4.3</v>
      </c>
      <c r="O619" s="53">
        <v>-4.3</v>
      </c>
      <c r="P619" s="52" t="s">
        <v>1664</v>
      </c>
      <c r="Q619" s="52" t="s">
        <v>1652</v>
      </c>
      <c r="R619" s="52" t="s">
        <v>64</v>
      </c>
      <c r="S619" s="52" t="s">
        <v>314</v>
      </c>
    </row>
    <row r="620" spans="1:52" outlineLevel="2" x14ac:dyDescent="0.45">
      <c r="A620" t="s">
        <v>17</v>
      </c>
      <c r="B620" s="52" t="s">
        <v>57</v>
      </c>
      <c r="C620" s="52" t="s">
        <v>349</v>
      </c>
      <c r="D620" s="52" t="s">
        <v>350</v>
      </c>
      <c r="E620" s="52" t="s">
        <v>387</v>
      </c>
      <c r="F620" s="52" t="s">
        <v>1201</v>
      </c>
      <c r="G620" s="52" t="s">
        <v>60</v>
      </c>
      <c r="H620" s="54">
        <v>46082</v>
      </c>
      <c r="I620" s="52" t="s">
        <v>271</v>
      </c>
      <c r="J620" s="52" t="s">
        <v>314</v>
      </c>
      <c r="K620" s="52" t="s">
        <v>1663</v>
      </c>
      <c r="L620" s="52" t="s">
        <v>1663</v>
      </c>
      <c r="M620" s="52" t="s">
        <v>29</v>
      </c>
      <c r="N620" s="53">
        <v>-4.3</v>
      </c>
      <c r="O620" s="53">
        <v>-4.3</v>
      </c>
      <c r="P620" s="52" t="s">
        <v>1664</v>
      </c>
      <c r="Q620" s="52" t="s">
        <v>1652</v>
      </c>
      <c r="R620" s="52" t="s">
        <v>64</v>
      </c>
      <c r="S620" s="52" t="s">
        <v>314</v>
      </c>
    </row>
    <row r="621" spans="1:52" outlineLevel="2" x14ac:dyDescent="0.45">
      <c r="A621" t="s">
        <v>17</v>
      </c>
      <c r="B621" s="52" t="s">
        <v>57</v>
      </c>
      <c r="C621" s="52" t="s">
        <v>349</v>
      </c>
      <c r="D621" s="52" t="s">
        <v>350</v>
      </c>
      <c r="E621" s="52" t="s">
        <v>387</v>
      </c>
      <c r="F621" s="52" t="s">
        <v>1736</v>
      </c>
      <c r="G621" s="52" t="s">
        <v>60</v>
      </c>
      <c r="H621" s="54">
        <v>46082</v>
      </c>
      <c r="I621" s="52" t="s">
        <v>271</v>
      </c>
      <c r="J621" s="52" t="s">
        <v>314</v>
      </c>
      <c r="K621" s="52" t="s">
        <v>1674</v>
      </c>
      <c r="L621" s="52" t="s">
        <v>1674</v>
      </c>
      <c r="M621" s="52" t="s">
        <v>29</v>
      </c>
      <c r="N621" s="53">
        <v>-4</v>
      </c>
      <c r="O621" s="53">
        <v>-4</v>
      </c>
      <c r="P621" s="52" t="s">
        <v>1675</v>
      </c>
      <c r="Q621" s="52" t="s">
        <v>1652</v>
      </c>
      <c r="R621" s="52" t="s">
        <v>64</v>
      </c>
      <c r="S621" s="52" t="s">
        <v>314</v>
      </c>
    </row>
    <row r="622" spans="1:52" outlineLevel="2" x14ac:dyDescent="0.45">
      <c r="A622" t="s">
        <v>17</v>
      </c>
      <c r="B622" s="52" t="s">
        <v>57</v>
      </c>
      <c r="C622" s="52" t="s">
        <v>349</v>
      </c>
      <c r="D622" s="52" t="s">
        <v>350</v>
      </c>
      <c r="E622" s="52" t="s">
        <v>387</v>
      </c>
      <c r="F622" s="52" t="s">
        <v>1736</v>
      </c>
      <c r="G622" s="52" t="s">
        <v>60</v>
      </c>
      <c r="H622" s="54">
        <v>46082</v>
      </c>
      <c r="I622" s="52" t="s">
        <v>271</v>
      </c>
      <c r="J622" s="52" t="s">
        <v>314</v>
      </c>
      <c r="K622" s="52" t="s">
        <v>1663</v>
      </c>
      <c r="L622" s="52" t="s">
        <v>1663</v>
      </c>
      <c r="M622" s="52" t="s">
        <v>29</v>
      </c>
      <c r="N622" s="53">
        <v>-4</v>
      </c>
      <c r="O622" s="53">
        <v>-4</v>
      </c>
      <c r="P622" s="52" t="s">
        <v>1664</v>
      </c>
      <c r="Q622" s="52" t="s">
        <v>1652</v>
      </c>
      <c r="R622" s="52" t="s">
        <v>64</v>
      </c>
      <c r="S622" s="52" t="s">
        <v>314</v>
      </c>
    </row>
    <row r="623" spans="1:52" outlineLevel="2" x14ac:dyDescent="0.45">
      <c r="A623" t="s">
        <v>17</v>
      </c>
      <c r="B623" s="52" t="s">
        <v>57</v>
      </c>
      <c r="C623" s="52" t="s">
        <v>349</v>
      </c>
      <c r="D623" s="52" t="s">
        <v>350</v>
      </c>
      <c r="E623" s="52" t="s">
        <v>387</v>
      </c>
      <c r="F623" s="52" t="s">
        <v>1737</v>
      </c>
      <c r="G623" s="52" t="s">
        <v>60</v>
      </c>
      <c r="H623" s="54">
        <v>46082</v>
      </c>
      <c r="I623" s="52" t="s">
        <v>271</v>
      </c>
      <c r="J623" s="52" t="s">
        <v>383</v>
      </c>
      <c r="K623" s="52" t="s">
        <v>1665</v>
      </c>
      <c r="L623" s="52" t="s">
        <v>1665</v>
      </c>
      <c r="M623" s="52" t="s">
        <v>29</v>
      </c>
      <c r="N623" s="53">
        <v>-3.5</v>
      </c>
      <c r="O623" s="53">
        <v>-3.5</v>
      </c>
      <c r="P623" s="52" t="s">
        <v>1666</v>
      </c>
      <c r="Q623" s="52" t="s">
        <v>1652</v>
      </c>
      <c r="R623" s="52" t="s">
        <v>64</v>
      </c>
      <c r="S623" s="52" t="s">
        <v>383</v>
      </c>
    </row>
    <row r="624" spans="1:52" outlineLevel="2" x14ac:dyDescent="0.45">
      <c r="A624" t="s">
        <v>17</v>
      </c>
      <c r="B624" s="52" t="s">
        <v>57</v>
      </c>
      <c r="C624" s="52" t="s">
        <v>349</v>
      </c>
      <c r="D624" s="52" t="s">
        <v>350</v>
      </c>
      <c r="E624" s="52" t="s">
        <v>387</v>
      </c>
      <c r="F624" s="52" t="s">
        <v>1284</v>
      </c>
      <c r="G624" s="52" t="s">
        <v>60</v>
      </c>
      <c r="H624" s="54">
        <v>46082</v>
      </c>
      <c r="I624" s="52" t="s">
        <v>271</v>
      </c>
      <c r="J624" s="52" t="s">
        <v>1522</v>
      </c>
      <c r="K624" s="52" t="s">
        <v>1738</v>
      </c>
      <c r="L624" s="52" t="s">
        <v>1738</v>
      </c>
      <c r="M624" s="52" t="s">
        <v>29</v>
      </c>
      <c r="N624" s="53">
        <v>-3.5</v>
      </c>
      <c r="O624" s="53">
        <v>-3.5</v>
      </c>
      <c r="P624" s="52" t="s">
        <v>1739</v>
      </c>
      <c r="Q624" s="52" t="s">
        <v>1652</v>
      </c>
      <c r="R624" s="52" t="s">
        <v>64</v>
      </c>
      <c r="S624" s="52" t="s">
        <v>1522</v>
      </c>
    </row>
    <row r="625" spans="1:52" outlineLevel="2" x14ac:dyDescent="0.45">
      <c r="A625" t="s">
        <v>17</v>
      </c>
      <c r="B625" s="52" t="s">
        <v>57</v>
      </c>
      <c r="C625" s="52" t="s">
        <v>349</v>
      </c>
      <c r="D625" s="52" t="s">
        <v>350</v>
      </c>
      <c r="E625" s="52" t="s">
        <v>387</v>
      </c>
      <c r="F625" s="52" t="s">
        <v>1319</v>
      </c>
      <c r="G625" s="52" t="s">
        <v>60</v>
      </c>
      <c r="H625" s="54">
        <v>46082</v>
      </c>
      <c r="I625" s="52" t="s">
        <v>271</v>
      </c>
      <c r="J625" s="52" t="s">
        <v>1522</v>
      </c>
      <c r="K625" s="52" t="s">
        <v>1738</v>
      </c>
      <c r="L625" s="52" t="s">
        <v>1738</v>
      </c>
      <c r="M625" s="52" t="s">
        <v>29</v>
      </c>
      <c r="N625" s="53">
        <v>-3.5</v>
      </c>
      <c r="O625" s="53">
        <v>-3.5</v>
      </c>
      <c r="P625" s="52" t="s">
        <v>1739</v>
      </c>
      <c r="Q625" s="52" t="s">
        <v>1652</v>
      </c>
      <c r="R625" s="52" t="s">
        <v>64</v>
      </c>
      <c r="S625" s="52" t="s">
        <v>1522</v>
      </c>
    </row>
    <row r="626" spans="1:52" outlineLevel="2" x14ac:dyDescent="0.45">
      <c r="A626" t="s">
        <v>17</v>
      </c>
      <c r="B626" s="52" t="s">
        <v>57</v>
      </c>
      <c r="C626" s="52" t="s">
        <v>349</v>
      </c>
      <c r="D626" s="52" t="s">
        <v>350</v>
      </c>
      <c r="E626" s="52" t="s">
        <v>387</v>
      </c>
      <c r="F626" s="52" t="s">
        <v>1306</v>
      </c>
      <c r="G626" s="52" t="s">
        <v>60</v>
      </c>
      <c r="H626" s="54">
        <v>46082</v>
      </c>
      <c r="I626" s="52" t="s">
        <v>271</v>
      </c>
      <c r="J626" s="52" t="s">
        <v>1522</v>
      </c>
      <c r="K626" s="52" t="s">
        <v>1738</v>
      </c>
      <c r="L626" s="52" t="s">
        <v>1738</v>
      </c>
      <c r="M626" s="52" t="s">
        <v>29</v>
      </c>
      <c r="N626" s="53">
        <v>-3.5</v>
      </c>
      <c r="O626" s="53">
        <v>-3.5</v>
      </c>
      <c r="P626" s="52" t="s">
        <v>1739</v>
      </c>
      <c r="Q626" s="52" t="s">
        <v>1652</v>
      </c>
      <c r="R626" s="52" t="s">
        <v>64</v>
      </c>
      <c r="S626" s="52" t="s">
        <v>1522</v>
      </c>
    </row>
    <row r="627" spans="1:52" outlineLevel="2" x14ac:dyDescent="0.45">
      <c r="A627" t="s">
        <v>17</v>
      </c>
      <c r="B627" s="52" t="s">
        <v>57</v>
      </c>
      <c r="C627" s="52" t="s">
        <v>349</v>
      </c>
      <c r="D627" s="52" t="s">
        <v>350</v>
      </c>
      <c r="E627" s="52" t="s">
        <v>387</v>
      </c>
      <c r="F627" s="52" t="s">
        <v>1740</v>
      </c>
      <c r="G627" s="52" t="s">
        <v>60</v>
      </c>
      <c r="H627" s="54">
        <v>46082</v>
      </c>
      <c r="I627" s="52" t="s">
        <v>271</v>
      </c>
      <c r="J627" s="52" t="s">
        <v>1522</v>
      </c>
      <c r="K627" s="52" t="s">
        <v>1738</v>
      </c>
      <c r="L627" s="52" t="s">
        <v>1738</v>
      </c>
      <c r="M627" s="52" t="s">
        <v>29</v>
      </c>
      <c r="N627" s="53">
        <v>-3.5</v>
      </c>
      <c r="O627" s="53">
        <v>-3.5</v>
      </c>
      <c r="P627" s="52" t="s">
        <v>1739</v>
      </c>
      <c r="Q627" s="52" t="s">
        <v>1652</v>
      </c>
      <c r="R627" s="52" t="s">
        <v>64</v>
      </c>
      <c r="S627" s="52" t="s">
        <v>1522</v>
      </c>
    </row>
    <row r="628" spans="1:52" outlineLevel="2" x14ac:dyDescent="0.45">
      <c r="A628" t="s">
        <v>17</v>
      </c>
      <c r="B628" s="52" t="s">
        <v>57</v>
      </c>
      <c r="C628" s="52" t="s">
        <v>349</v>
      </c>
      <c r="D628" s="52" t="s">
        <v>350</v>
      </c>
      <c r="E628" s="52" t="s">
        <v>387</v>
      </c>
      <c r="F628" s="52" t="s">
        <v>1105</v>
      </c>
      <c r="G628" s="52" t="s">
        <v>60</v>
      </c>
      <c r="H628" s="54">
        <v>46082</v>
      </c>
      <c r="I628" s="52" t="s">
        <v>271</v>
      </c>
      <c r="J628" s="52" t="s">
        <v>314</v>
      </c>
      <c r="K628" s="52" t="s">
        <v>1663</v>
      </c>
      <c r="L628" s="52" t="s">
        <v>1663</v>
      </c>
      <c r="M628" s="52" t="s">
        <v>29</v>
      </c>
      <c r="N628" s="53">
        <v>-1</v>
      </c>
      <c r="O628" s="53">
        <v>-1</v>
      </c>
      <c r="P628" s="52" t="s">
        <v>1664</v>
      </c>
      <c r="Q628" s="52" t="s">
        <v>1652</v>
      </c>
      <c r="R628" s="52" t="s">
        <v>64</v>
      </c>
      <c r="S628" s="52" t="s">
        <v>314</v>
      </c>
    </row>
    <row r="629" spans="1:52" outlineLevel="2" x14ac:dyDescent="0.45">
      <c r="A629" t="s">
        <v>17</v>
      </c>
      <c r="B629" s="52" t="s">
        <v>57</v>
      </c>
      <c r="C629" s="52" t="s">
        <v>349</v>
      </c>
      <c r="D629" s="52" t="s">
        <v>350</v>
      </c>
      <c r="E629" s="52" t="s">
        <v>387</v>
      </c>
      <c r="F629" s="52" t="s">
        <v>1226</v>
      </c>
      <c r="G629" s="52" t="s">
        <v>60</v>
      </c>
      <c r="H629" s="54">
        <v>46082</v>
      </c>
      <c r="I629" s="52" t="s">
        <v>271</v>
      </c>
      <c r="J629" s="52" t="s">
        <v>314</v>
      </c>
      <c r="K629" s="52" t="s">
        <v>1663</v>
      </c>
      <c r="L629" s="52" t="s">
        <v>1663</v>
      </c>
      <c r="M629" s="52" t="s">
        <v>29</v>
      </c>
      <c r="N629" s="53">
        <v>-1</v>
      </c>
      <c r="O629" s="53">
        <v>-1</v>
      </c>
      <c r="P629" s="52" t="s">
        <v>1664</v>
      </c>
      <c r="Q629" s="52" t="s">
        <v>1652</v>
      </c>
      <c r="R629" s="52" t="s">
        <v>64</v>
      </c>
      <c r="S629" s="52" t="s">
        <v>314</v>
      </c>
    </row>
    <row r="630" spans="1:52" outlineLevel="2" x14ac:dyDescent="0.45">
      <c r="A630" t="s">
        <v>17</v>
      </c>
      <c r="B630" s="52" t="s">
        <v>66</v>
      </c>
      <c r="C630" s="52" t="s">
        <v>349</v>
      </c>
      <c r="D630" s="52" t="s">
        <v>350</v>
      </c>
      <c r="E630" s="52" t="s">
        <v>387</v>
      </c>
      <c r="F630" s="52" t="s">
        <v>1741</v>
      </c>
      <c r="G630" s="52" t="s">
        <v>60</v>
      </c>
      <c r="H630" s="54">
        <v>46082</v>
      </c>
      <c r="I630" s="52" t="s">
        <v>271</v>
      </c>
      <c r="J630" s="52" t="s">
        <v>298</v>
      </c>
      <c r="K630" s="52" t="s">
        <v>1742</v>
      </c>
      <c r="L630" s="52" t="s">
        <v>1742</v>
      </c>
      <c r="M630" s="52" t="s">
        <v>67</v>
      </c>
      <c r="N630" s="53">
        <v>-66083.679999999993</v>
      </c>
      <c r="O630" s="53">
        <v>-225213.18</v>
      </c>
      <c r="P630" s="52" t="s">
        <v>1743</v>
      </c>
      <c r="Q630" s="52" t="s">
        <v>1743</v>
      </c>
      <c r="R630" s="52" t="s">
        <v>64</v>
      </c>
      <c r="S630" s="52" t="s">
        <v>298</v>
      </c>
    </row>
    <row r="631" spans="1:52" outlineLevel="1" x14ac:dyDescent="0.45">
      <c r="A631" s="1" t="s">
        <v>1744</v>
      </c>
      <c r="B631" s="52"/>
      <c r="C631" s="52"/>
      <c r="D631" s="52"/>
      <c r="E631" s="52"/>
      <c r="F631" s="52"/>
      <c r="G631" s="52"/>
      <c r="H631" s="54"/>
      <c r="I631" s="52"/>
      <c r="J631" s="52"/>
      <c r="K631" s="52"/>
      <c r="L631" s="52"/>
      <c r="M631" s="52"/>
      <c r="N631" s="53"/>
      <c r="O631" s="53">
        <f>SUBTOTAL(9,O140:O630)</f>
        <v>-3124544.2299999977</v>
      </c>
      <c r="P631" s="52"/>
      <c r="Q631" s="52"/>
      <c r="R631" s="52"/>
      <c r="S631" s="52"/>
    </row>
    <row r="632" spans="1:52" hidden="1" outlineLevel="2" x14ac:dyDescent="0.45">
      <c r="A632" t="s">
        <v>18</v>
      </c>
      <c r="B632" s="52" t="s">
        <v>57</v>
      </c>
      <c r="C632" s="52" t="s">
        <v>1745</v>
      </c>
      <c r="D632" s="52" t="s">
        <v>1746</v>
      </c>
      <c r="E632" s="52" t="s">
        <v>387</v>
      </c>
      <c r="F632" s="52" t="s">
        <v>1747</v>
      </c>
      <c r="G632" s="52" t="s">
        <v>60</v>
      </c>
      <c r="H632" s="54">
        <v>46023</v>
      </c>
      <c r="I632" s="52" t="s">
        <v>74</v>
      </c>
      <c r="J632" s="52" t="s">
        <v>91</v>
      </c>
      <c r="K632" s="52" t="s">
        <v>1748</v>
      </c>
      <c r="L632" s="52" t="s">
        <v>1748</v>
      </c>
      <c r="M632" s="52" t="s">
        <v>29</v>
      </c>
      <c r="N632" s="53">
        <v>-198516</v>
      </c>
      <c r="O632" s="53">
        <v>-198516</v>
      </c>
      <c r="P632" s="52" t="s">
        <v>1749</v>
      </c>
      <c r="Q632" s="52" t="s">
        <v>1750</v>
      </c>
      <c r="R632" s="55" t="s">
        <v>64</v>
      </c>
      <c r="S632" s="52" t="s">
        <v>91</v>
      </c>
    </row>
    <row r="633" spans="1:52" hidden="1" outlineLevel="2" x14ac:dyDescent="0.45">
      <c r="A633" t="s">
        <v>18</v>
      </c>
      <c r="B633" s="52" t="s">
        <v>57</v>
      </c>
      <c r="C633" s="52" t="s">
        <v>1745</v>
      </c>
      <c r="D633" s="52" t="s">
        <v>1746</v>
      </c>
      <c r="E633" s="52" t="s">
        <v>387</v>
      </c>
      <c r="F633" s="52" t="s">
        <v>1751</v>
      </c>
      <c r="G633" s="52" t="s">
        <v>60</v>
      </c>
      <c r="H633" s="54">
        <v>46023</v>
      </c>
      <c r="I633" s="52" t="s">
        <v>74</v>
      </c>
      <c r="J633" s="52" t="s">
        <v>91</v>
      </c>
      <c r="K633" s="52" t="s">
        <v>1752</v>
      </c>
      <c r="L633" s="52" t="s">
        <v>1752</v>
      </c>
      <c r="M633" s="52" t="s">
        <v>29</v>
      </c>
      <c r="N633" s="53">
        <v>-22616</v>
      </c>
      <c r="O633" s="53">
        <v>-22616</v>
      </c>
      <c r="P633" s="52" t="s">
        <v>1753</v>
      </c>
      <c r="Q633" s="52" t="s">
        <v>1750</v>
      </c>
      <c r="R633" s="55" t="s">
        <v>64</v>
      </c>
      <c r="S633" s="52" t="s">
        <v>91</v>
      </c>
    </row>
    <row r="634" spans="1:52" s="59" customFormat="1" hidden="1" outlineLevel="2" x14ac:dyDescent="0.45">
      <c r="A634" t="s">
        <v>18</v>
      </c>
      <c r="B634" s="52" t="s">
        <v>57</v>
      </c>
      <c r="C634" s="52" t="s">
        <v>1745</v>
      </c>
      <c r="D634" s="52" t="s">
        <v>1746</v>
      </c>
      <c r="E634" s="52" t="s">
        <v>387</v>
      </c>
      <c r="F634" s="52" t="s">
        <v>1754</v>
      </c>
      <c r="G634" s="52" t="s">
        <v>60</v>
      </c>
      <c r="H634" s="54">
        <v>46023</v>
      </c>
      <c r="I634" s="52" t="s">
        <v>74</v>
      </c>
      <c r="J634" s="52" t="s">
        <v>1755</v>
      </c>
      <c r="K634" s="52" t="s">
        <v>1756</v>
      </c>
      <c r="L634" s="52" t="s">
        <v>1756</v>
      </c>
      <c r="M634" s="52" t="s">
        <v>29</v>
      </c>
      <c r="N634" s="53">
        <v>-20000</v>
      </c>
      <c r="O634" s="53">
        <v>-20000</v>
      </c>
      <c r="P634" s="52" t="s">
        <v>1757</v>
      </c>
      <c r="Q634" s="52" t="s">
        <v>1758</v>
      </c>
      <c r="R634" s="55" t="s">
        <v>64</v>
      </c>
      <c r="S634" s="52" t="s">
        <v>1755</v>
      </c>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row>
    <row r="635" spans="1:52" hidden="1" outlineLevel="2" x14ac:dyDescent="0.45">
      <c r="A635" t="s">
        <v>18</v>
      </c>
      <c r="B635" s="52" t="s">
        <v>65</v>
      </c>
      <c r="C635" s="52" t="s">
        <v>1745</v>
      </c>
      <c r="D635" s="52" t="s">
        <v>1746</v>
      </c>
      <c r="E635" s="52" t="s">
        <v>387</v>
      </c>
      <c r="F635" s="52" t="s">
        <v>1759</v>
      </c>
      <c r="G635" s="52" t="s">
        <v>60</v>
      </c>
      <c r="H635" s="54">
        <v>46023</v>
      </c>
      <c r="I635" s="52" t="s">
        <v>74</v>
      </c>
      <c r="J635" s="52" t="s">
        <v>91</v>
      </c>
      <c r="K635" s="52" t="s">
        <v>1760</v>
      </c>
      <c r="L635" s="52" t="s">
        <v>1761</v>
      </c>
      <c r="M635" s="52" t="s">
        <v>29</v>
      </c>
      <c r="N635" s="53">
        <v>-30456.86</v>
      </c>
      <c r="O635" s="53">
        <v>-30456.86</v>
      </c>
      <c r="P635" s="52" t="s">
        <v>1762</v>
      </c>
      <c r="Q635" s="52" t="s">
        <v>1763</v>
      </c>
      <c r="R635" s="52" t="s">
        <v>64</v>
      </c>
      <c r="S635" s="52" t="s">
        <v>91</v>
      </c>
    </row>
    <row r="636" spans="1:52" hidden="1" outlineLevel="2" x14ac:dyDescent="0.45">
      <c r="A636" t="s">
        <v>18</v>
      </c>
      <c r="B636" s="52" t="s">
        <v>65</v>
      </c>
      <c r="C636" s="52" t="s">
        <v>1745</v>
      </c>
      <c r="D636" s="52" t="s">
        <v>1746</v>
      </c>
      <c r="E636" s="52" t="s">
        <v>387</v>
      </c>
      <c r="F636" s="52" t="s">
        <v>1759</v>
      </c>
      <c r="G636" s="52" t="s">
        <v>60</v>
      </c>
      <c r="H636" s="54">
        <v>46023</v>
      </c>
      <c r="I636" s="52" t="s">
        <v>74</v>
      </c>
      <c r="J636" s="52" t="s">
        <v>91</v>
      </c>
      <c r="K636" s="52" t="s">
        <v>1764</v>
      </c>
      <c r="L636" s="52" t="s">
        <v>1765</v>
      </c>
      <c r="M636" s="52" t="s">
        <v>29</v>
      </c>
      <c r="N636" s="53">
        <v>-14777.44</v>
      </c>
      <c r="O636" s="53">
        <v>-14777.44</v>
      </c>
      <c r="P636" s="52" t="s">
        <v>1766</v>
      </c>
      <c r="Q636" s="52" t="s">
        <v>1763</v>
      </c>
      <c r="R636" s="52" t="s">
        <v>64</v>
      </c>
      <c r="S636" s="52" t="s">
        <v>91</v>
      </c>
    </row>
    <row r="637" spans="1:52" hidden="1" outlineLevel="2" x14ac:dyDescent="0.45">
      <c r="A637" t="s">
        <v>18</v>
      </c>
      <c r="B637" s="52" t="s">
        <v>65</v>
      </c>
      <c r="C637" s="52" t="s">
        <v>1745</v>
      </c>
      <c r="D637" s="52" t="s">
        <v>1746</v>
      </c>
      <c r="E637" s="52" t="s">
        <v>387</v>
      </c>
      <c r="F637" s="52" t="s">
        <v>1759</v>
      </c>
      <c r="G637" s="52" t="s">
        <v>60</v>
      </c>
      <c r="H637" s="54">
        <v>46023</v>
      </c>
      <c r="I637" s="52" t="s">
        <v>74</v>
      </c>
      <c r="J637" s="52" t="s">
        <v>91</v>
      </c>
      <c r="K637" s="52" t="s">
        <v>1767</v>
      </c>
      <c r="L637" s="52" t="s">
        <v>1768</v>
      </c>
      <c r="M637" s="52" t="s">
        <v>29</v>
      </c>
      <c r="N637" s="53">
        <v>-4852.7</v>
      </c>
      <c r="O637" s="53">
        <v>-4852.7</v>
      </c>
      <c r="P637" s="52" t="s">
        <v>1769</v>
      </c>
      <c r="Q637" s="52" t="s">
        <v>1763</v>
      </c>
      <c r="R637" s="52" t="s">
        <v>64</v>
      </c>
      <c r="S637" s="52" t="s">
        <v>91</v>
      </c>
    </row>
    <row r="638" spans="1:52" hidden="1" outlineLevel="2" x14ac:dyDescent="0.45">
      <c r="A638" t="s">
        <v>18</v>
      </c>
      <c r="B638" s="52" t="s">
        <v>57</v>
      </c>
      <c r="C638" s="52" t="s">
        <v>1745</v>
      </c>
      <c r="D638" s="52" t="s">
        <v>1746</v>
      </c>
      <c r="E638" s="52" t="s">
        <v>387</v>
      </c>
      <c r="F638" s="52" t="s">
        <v>1770</v>
      </c>
      <c r="G638" s="52" t="s">
        <v>60</v>
      </c>
      <c r="H638" s="54">
        <v>46023</v>
      </c>
      <c r="I638" s="52" t="s">
        <v>74</v>
      </c>
      <c r="J638" s="52" t="s">
        <v>190</v>
      </c>
      <c r="K638" s="52" t="s">
        <v>1771</v>
      </c>
      <c r="L638" s="52" t="s">
        <v>1771</v>
      </c>
      <c r="M638" s="52" t="s">
        <v>29</v>
      </c>
      <c r="N638" s="53">
        <v>-63501</v>
      </c>
      <c r="O638" s="53">
        <v>-63501</v>
      </c>
      <c r="P638" s="52" t="s">
        <v>1772</v>
      </c>
      <c r="Q638" s="52" t="s">
        <v>1773</v>
      </c>
      <c r="R638" s="52" t="s">
        <v>64</v>
      </c>
      <c r="S638" s="52" t="s">
        <v>190</v>
      </c>
    </row>
    <row r="639" spans="1:52" hidden="1" outlineLevel="2" x14ac:dyDescent="0.45">
      <c r="A639" t="s">
        <v>18</v>
      </c>
      <c r="B639" s="52" t="s">
        <v>57</v>
      </c>
      <c r="C639" s="52" t="s">
        <v>1745</v>
      </c>
      <c r="D639" s="52" t="s">
        <v>1746</v>
      </c>
      <c r="E639" s="52" t="s">
        <v>387</v>
      </c>
      <c r="F639" s="52" t="s">
        <v>1774</v>
      </c>
      <c r="G639" s="52" t="s">
        <v>60</v>
      </c>
      <c r="H639" s="54">
        <v>46023</v>
      </c>
      <c r="I639" s="52" t="s">
        <v>74</v>
      </c>
      <c r="J639" s="52" t="s">
        <v>99</v>
      </c>
      <c r="K639" s="52" t="s">
        <v>1756</v>
      </c>
      <c r="L639" s="52" t="s">
        <v>1756</v>
      </c>
      <c r="M639" s="52" t="s">
        <v>29</v>
      </c>
      <c r="N639" s="53">
        <v>-74620</v>
      </c>
      <c r="O639" s="53">
        <v>-74620</v>
      </c>
      <c r="P639" s="52" t="s">
        <v>1757</v>
      </c>
      <c r="Q639" s="52" t="s">
        <v>1775</v>
      </c>
      <c r="R639" s="52" t="s">
        <v>64</v>
      </c>
      <c r="S639" s="52" t="s">
        <v>99</v>
      </c>
    </row>
    <row r="640" spans="1:52" hidden="1" outlineLevel="2" x14ac:dyDescent="0.45">
      <c r="A640" t="s">
        <v>18</v>
      </c>
      <c r="B640" s="52" t="s">
        <v>65</v>
      </c>
      <c r="C640" s="52" t="s">
        <v>1745</v>
      </c>
      <c r="D640" s="52" t="s">
        <v>1746</v>
      </c>
      <c r="E640" s="52" t="s">
        <v>387</v>
      </c>
      <c r="F640" s="52" t="s">
        <v>1776</v>
      </c>
      <c r="G640" s="52" t="s">
        <v>60</v>
      </c>
      <c r="H640" s="54">
        <v>46023</v>
      </c>
      <c r="I640" s="52" t="s">
        <v>74</v>
      </c>
      <c r="J640" s="52" t="s">
        <v>91</v>
      </c>
      <c r="K640" s="52" t="s">
        <v>1756</v>
      </c>
      <c r="L640" s="52" t="s">
        <v>1756</v>
      </c>
      <c r="M640" s="52" t="s">
        <v>29</v>
      </c>
      <c r="N640" s="53">
        <v>-85082</v>
      </c>
      <c r="O640" s="53">
        <v>-85082</v>
      </c>
      <c r="P640" s="52" t="s">
        <v>1757</v>
      </c>
      <c r="Q640" s="52" t="s">
        <v>1777</v>
      </c>
      <c r="R640" s="52" t="s">
        <v>64</v>
      </c>
      <c r="S640" s="52" t="s">
        <v>91</v>
      </c>
    </row>
    <row r="641" spans="1:19" hidden="1" outlineLevel="2" x14ac:dyDescent="0.45">
      <c r="A641" t="s">
        <v>18</v>
      </c>
      <c r="B641" s="52" t="s">
        <v>65</v>
      </c>
      <c r="C641" s="52" t="s">
        <v>1745</v>
      </c>
      <c r="D641" s="52" t="s">
        <v>1746</v>
      </c>
      <c r="E641" s="52" t="s">
        <v>387</v>
      </c>
      <c r="F641" s="52" t="s">
        <v>1759</v>
      </c>
      <c r="G641" s="52" t="s">
        <v>60</v>
      </c>
      <c r="H641" s="54">
        <v>46023</v>
      </c>
      <c r="I641" s="52" t="s">
        <v>74</v>
      </c>
      <c r="J641" s="52" t="s">
        <v>91</v>
      </c>
      <c r="K641" s="52" t="s">
        <v>1778</v>
      </c>
      <c r="L641" s="52" t="s">
        <v>1778</v>
      </c>
      <c r="M641" s="52" t="s">
        <v>29</v>
      </c>
      <c r="N641" s="53">
        <v>-89815</v>
      </c>
      <c r="O641" s="53">
        <v>-89815</v>
      </c>
      <c r="P641" s="52" t="s">
        <v>1779</v>
      </c>
      <c r="Q641" s="52" t="s">
        <v>1763</v>
      </c>
      <c r="R641" s="52" t="s">
        <v>64</v>
      </c>
      <c r="S641" s="52" t="s">
        <v>91</v>
      </c>
    </row>
    <row r="642" spans="1:19" hidden="1" outlineLevel="2" x14ac:dyDescent="0.45">
      <c r="A642" t="s">
        <v>18</v>
      </c>
      <c r="B642" s="52" t="s">
        <v>57</v>
      </c>
      <c r="C642" s="52" t="s">
        <v>1745</v>
      </c>
      <c r="D642" s="52" t="s">
        <v>1746</v>
      </c>
      <c r="E642" s="52" t="s">
        <v>387</v>
      </c>
      <c r="F642" s="52" t="s">
        <v>1780</v>
      </c>
      <c r="G642" s="52" t="s">
        <v>60</v>
      </c>
      <c r="H642" s="54">
        <v>46054</v>
      </c>
      <c r="I642" s="52" t="s">
        <v>231</v>
      </c>
      <c r="J642" s="52" t="s">
        <v>1120</v>
      </c>
      <c r="K642" s="52" t="s">
        <v>1781</v>
      </c>
      <c r="L642" s="52" t="s">
        <v>1781</v>
      </c>
      <c r="M642" s="52" t="s">
        <v>29</v>
      </c>
      <c r="N642" s="53">
        <v>-6932.68</v>
      </c>
      <c r="O642" s="53">
        <v>-6932.68</v>
      </c>
      <c r="P642" s="52" t="s">
        <v>1782</v>
      </c>
      <c r="Q642" s="52" t="s">
        <v>1783</v>
      </c>
      <c r="R642" s="55" t="s">
        <v>64</v>
      </c>
      <c r="S642" s="52" t="s">
        <v>1120</v>
      </c>
    </row>
    <row r="643" spans="1:19" hidden="1" outlineLevel="2" x14ac:dyDescent="0.45">
      <c r="A643" t="s">
        <v>18</v>
      </c>
      <c r="B643" s="52" t="s">
        <v>57</v>
      </c>
      <c r="C643" s="52" t="s">
        <v>1745</v>
      </c>
      <c r="D643" s="52" t="s">
        <v>1746</v>
      </c>
      <c r="E643" s="52" t="s">
        <v>387</v>
      </c>
      <c r="F643" s="52" t="s">
        <v>1780</v>
      </c>
      <c r="G643" s="52" t="s">
        <v>60</v>
      </c>
      <c r="H643" s="54">
        <v>46054</v>
      </c>
      <c r="I643" s="52" t="s">
        <v>231</v>
      </c>
      <c r="J643" s="52" t="s">
        <v>1120</v>
      </c>
      <c r="K643" s="52" t="s">
        <v>1784</v>
      </c>
      <c r="L643" s="52" t="s">
        <v>1785</v>
      </c>
      <c r="M643" s="52" t="s">
        <v>29</v>
      </c>
      <c r="N643" s="53">
        <v>-6924.65</v>
      </c>
      <c r="O643" s="53">
        <v>-6924.65</v>
      </c>
      <c r="P643" s="52" t="s">
        <v>1769</v>
      </c>
      <c r="Q643" s="52" t="s">
        <v>1783</v>
      </c>
      <c r="R643" s="55" t="s">
        <v>64</v>
      </c>
      <c r="S643" s="52" t="s">
        <v>1120</v>
      </c>
    </row>
    <row r="644" spans="1:19" hidden="1" outlineLevel="2" x14ac:dyDescent="0.45">
      <c r="A644" t="s">
        <v>18</v>
      </c>
      <c r="B644" s="52" t="s">
        <v>57</v>
      </c>
      <c r="C644" s="52" t="s">
        <v>1745</v>
      </c>
      <c r="D644" s="52" t="s">
        <v>1746</v>
      </c>
      <c r="E644" s="52" t="s">
        <v>387</v>
      </c>
      <c r="F644" s="52" t="s">
        <v>1780</v>
      </c>
      <c r="G644" s="52" t="s">
        <v>60</v>
      </c>
      <c r="H644" s="54">
        <v>46054</v>
      </c>
      <c r="I644" s="52" t="s">
        <v>231</v>
      </c>
      <c r="J644" s="52" t="s">
        <v>1120</v>
      </c>
      <c r="K644" s="52" t="s">
        <v>1786</v>
      </c>
      <c r="L644" s="52" t="s">
        <v>1787</v>
      </c>
      <c r="M644" s="52" t="s">
        <v>29</v>
      </c>
      <c r="N644" s="53">
        <v>-17500.36</v>
      </c>
      <c r="O644" s="53">
        <v>-17500.36</v>
      </c>
      <c r="P644" s="52" t="s">
        <v>1766</v>
      </c>
      <c r="Q644" s="52" t="s">
        <v>1783</v>
      </c>
      <c r="R644" s="52" t="s">
        <v>64</v>
      </c>
      <c r="S644" s="52" t="s">
        <v>1120</v>
      </c>
    </row>
    <row r="645" spans="1:19" hidden="1" outlineLevel="2" x14ac:dyDescent="0.45">
      <c r="A645" t="s">
        <v>18</v>
      </c>
      <c r="B645" s="52" t="s">
        <v>57</v>
      </c>
      <c r="C645" s="52" t="s">
        <v>1745</v>
      </c>
      <c r="D645" s="52" t="s">
        <v>1746</v>
      </c>
      <c r="E645" s="52" t="s">
        <v>387</v>
      </c>
      <c r="F645" s="52" t="s">
        <v>1780</v>
      </c>
      <c r="G645" s="52" t="s">
        <v>60</v>
      </c>
      <c r="H645" s="54">
        <v>46054</v>
      </c>
      <c r="I645" s="52" t="s">
        <v>231</v>
      </c>
      <c r="J645" s="52" t="s">
        <v>1120</v>
      </c>
      <c r="K645" s="52" t="s">
        <v>1788</v>
      </c>
      <c r="L645" s="52" t="s">
        <v>1789</v>
      </c>
      <c r="M645" s="52" t="s">
        <v>29</v>
      </c>
      <c r="N645" s="53">
        <v>-33590.31</v>
      </c>
      <c r="O645" s="53">
        <v>-33590.31</v>
      </c>
      <c r="P645" s="52" t="s">
        <v>1762</v>
      </c>
      <c r="Q645" s="52" t="s">
        <v>1783</v>
      </c>
      <c r="R645" s="52" t="s">
        <v>64</v>
      </c>
      <c r="S645" s="52" t="s">
        <v>1120</v>
      </c>
    </row>
    <row r="646" spans="1:19" hidden="1" outlineLevel="2" x14ac:dyDescent="0.45">
      <c r="A646" t="s">
        <v>18</v>
      </c>
      <c r="B646" s="52" t="s">
        <v>57</v>
      </c>
      <c r="C646" s="52" t="s">
        <v>1745</v>
      </c>
      <c r="D646" s="52" t="s">
        <v>1746</v>
      </c>
      <c r="E646" s="52" t="s">
        <v>387</v>
      </c>
      <c r="F646" s="52" t="s">
        <v>1790</v>
      </c>
      <c r="G646" s="52" t="s">
        <v>60</v>
      </c>
      <c r="H646" s="54">
        <v>46054</v>
      </c>
      <c r="I646" s="52" t="s">
        <v>231</v>
      </c>
      <c r="J646" s="52" t="s">
        <v>253</v>
      </c>
      <c r="K646" s="52" t="s">
        <v>1791</v>
      </c>
      <c r="L646" s="52" t="s">
        <v>1791</v>
      </c>
      <c r="M646" s="52" t="s">
        <v>29</v>
      </c>
      <c r="N646" s="53">
        <v>-33740</v>
      </c>
      <c r="O646" s="53">
        <v>-33740</v>
      </c>
      <c r="P646" s="52" t="s">
        <v>1792</v>
      </c>
      <c r="Q646" s="52" t="s">
        <v>1793</v>
      </c>
      <c r="R646" s="52" t="s">
        <v>64</v>
      </c>
      <c r="S646" s="52" t="s">
        <v>253</v>
      </c>
    </row>
    <row r="647" spans="1:19" hidden="1" outlineLevel="2" x14ac:dyDescent="0.45">
      <c r="A647" t="s">
        <v>18</v>
      </c>
      <c r="B647" s="52" t="s">
        <v>65</v>
      </c>
      <c r="C647" s="52" t="s">
        <v>1745</v>
      </c>
      <c r="D647" s="52" t="s">
        <v>1746</v>
      </c>
      <c r="E647" s="52" t="s">
        <v>387</v>
      </c>
      <c r="F647" s="52" t="s">
        <v>1794</v>
      </c>
      <c r="G647" s="52" t="s">
        <v>60</v>
      </c>
      <c r="H647" s="54">
        <v>46054</v>
      </c>
      <c r="I647" s="52" t="s">
        <v>231</v>
      </c>
      <c r="J647" s="52" t="s">
        <v>253</v>
      </c>
      <c r="K647" s="52" t="s">
        <v>1791</v>
      </c>
      <c r="L647" s="52" t="s">
        <v>1791</v>
      </c>
      <c r="M647" s="52" t="s">
        <v>29</v>
      </c>
      <c r="N647" s="53">
        <v>-55670</v>
      </c>
      <c r="O647" s="53">
        <v>-55670</v>
      </c>
      <c r="P647" s="52" t="s">
        <v>1792</v>
      </c>
      <c r="Q647" s="52" t="s">
        <v>1795</v>
      </c>
      <c r="R647" s="52" t="s">
        <v>64</v>
      </c>
      <c r="S647" s="52" t="s">
        <v>253</v>
      </c>
    </row>
    <row r="648" spans="1:19" hidden="1" outlineLevel="2" x14ac:dyDescent="0.45">
      <c r="A648" t="s">
        <v>18</v>
      </c>
      <c r="B648" s="52" t="s">
        <v>57</v>
      </c>
      <c r="C648" s="52" t="s">
        <v>1745</v>
      </c>
      <c r="D648" s="52" t="s">
        <v>1746</v>
      </c>
      <c r="E648" s="52" t="s">
        <v>387</v>
      </c>
      <c r="F648" s="52" t="s">
        <v>1796</v>
      </c>
      <c r="G648" s="52" t="s">
        <v>60</v>
      </c>
      <c r="H648" s="54">
        <v>46054</v>
      </c>
      <c r="I648" s="52" t="s">
        <v>231</v>
      </c>
      <c r="J648" s="52" t="s">
        <v>492</v>
      </c>
      <c r="K648" s="52" t="s">
        <v>1797</v>
      </c>
      <c r="L648" s="52" t="s">
        <v>1797</v>
      </c>
      <c r="M648" s="52" t="s">
        <v>29</v>
      </c>
      <c r="N648" s="53">
        <v>-63501</v>
      </c>
      <c r="O648" s="53">
        <v>-63501</v>
      </c>
      <c r="P648" s="52" t="s">
        <v>1798</v>
      </c>
      <c r="Q648" s="52" t="s">
        <v>1799</v>
      </c>
      <c r="R648" s="52" t="s">
        <v>64</v>
      </c>
      <c r="S648" s="52" t="s">
        <v>492</v>
      </c>
    </row>
    <row r="649" spans="1:19" hidden="1" outlineLevel="2" x14ac:dyDescent="0.45">
      <c r="A649" t="s">
        <v>18</v>
      </c>
      <c r="B649" s="52" t="s">
        <v>57</v>
      </c>
      <c r="C649" s="52" t="s">
        <v>1745</v>
      </c>
      <c r="D649" s="52" t="s">
        <v>1746</v>
      </c>
      <c r="E649" s="52" t="s">
        <v>387</v>
      </c>
      <c r="F649" s="52" t="s">
        <v>1734</v>
      </c>
      <c r="G649" s="52" t="s">
        <v>60</v>
      </c>
      <c r="H649" s="54">
        <v>46054</v>
      </c>
      <c r="I649" s="52" t="s">
        <v>231</v>
      </c>
      <c r="J649" s="52" t="s">
        <v>253</v>
      </c>
      <c r="K649" s="52" t="s">
        <v>1800</v>
      </c>
      <c r="L649" s="52" t="s">
        <v>1800</v>
      </c>
      <c r="M649" s="52" t="s">
        <v>29</v>
      </c>
      <c r="N649" s="53">
        <v>-120863</v>
      </c>
      <c r="O649" s="53">
        <v>-120863</v>
      </c>
      <c r="P649" s="52" t="s">
        <v>1801</v>
      </c>
      <c r="Q649" s="52" t="s">
        <v>1793</v>
      </c>
      <c r="R649" s="52" t="s">
        <v>64</v>
      </c>
      <c r="S649" s="52" t="s">
        <v>253</v>
      </c>
    </row>
    <row r="650" spans="1:19" hidden="1" outlineLevel="2" x14ac:dyDescent="0.45">
      <c r="A650" t="s">
        <v>18</v>
      </c>
      <c r="B650" s="52" t="s">
        <v>65</v>
      </c>
      <c r="C650" s="52" t="s">
        <v>1745</v>
      </c>
      <c r="D650" s="52" t="s">
        <v>1746</v>
      </c>
      <c r="E650" s="52" t="s">
        <v>387</v>
      </c>
      <c r="F650" s="52" t="s">
        <v>1802</v>
      </c>
      <c r="G650" s="52" t="s">
        <v>60</v>
      </c>
      <c r="H650" s="54">
        <v>46082</v>
      </c>
      <c r="I650" s="52" t="s">
        <v>271</v>
      </c>
      <c r="J650" s="52" t="s">
        <v>323</v>
      </c>
      <c r="K650" s="52" t="s">
        <v>1803</v>
      </c>
      <c r="L650" s="52" t="s">
        <v>1803</v>
      </c>
      <c r="M650" s="52" t="s">
        <v>29</v>
      </c>
      <c r="N650" s="53">
        <v>-123891</v>
      </c>
      <c r="O650" s="53">
        <v>-123891</v>
      </c>
      <c r="P650" s="52" t="s">
        <v>1804</v>
      </c>
      <c r="Q650" s="52" t="s">
        <v>1805</v>
      </c>
      <c r="R650" s="52" t="s">
        <v>64</v>
      </c>
      <c r="S650" s="52" t="s">
        <v>323</v>
      </c>
    </row>
    <row r="651" spans="1:19" hidden="1" outlineLevel="2" x14ac:dyDescent="0.45">
      <c r="A651" t="s">
        <v>18</v>
      </c>
      <c r="B651" s="52" t="s">
        <v>57</v>
      </c>
      <c r="C651" s="52" t="s">
        <v>1745</v>
      </c>
      <c r="D651" s="52" t="s">
        <v>1746</v>
      </c>
      <c r="E651" s="52" t="s">
        <v>387</v>
      </c>
      <c r="F651" s="52" t="s">
        <v>1806</v>
      </c>
      <c r="G651" s="52" t="s">
        <v>60</v>
      </c>
      <c r="H651" s="54">
        <v>46082</v>
      </c>
      <c r="I651" s="52" t="s">
        <v>271</v>
      </c>
      <c r="J651" s="52" t="s">
        <v>1807</v>
      </c>
      <c r="K651" s="52" t="s">
        <v>1808</v>
      </c>
      <c r="L651" s="52" t="s">
        <v>1808</v>
      </c>
      <c r="M651" s="52" t="s">
        <v>29</v>
      </c>
      <c r="N651" s="53">
        <v>-84210</v>
      </c>
      <c r="O651" s="53">
        <v>-84210</v>
      </c>
      <c r="P651" s="52" t="s">
        <v>1809</v>
      </c>
      <c r="Q651" s="52" t="s">
        <v>1810</v>
      </c>
      <c r="R651" s="52" t="s">
        <v>64</v>
      </c>
      <c r="S651" s="52" t="s">
        <v>1807</v>
      </c>
    </row>
    <row r="652" spans="1:19" hidden="1" outlineLevel="2" x14ac:dyDescent="0.45">
      <c r="A652" t="s">
        <v>18</v>
      </c>
      <c r="B652" s="52" t="s">
        <v>65</v>
      </c>
      <c r="C652" s="52" t="s">
        <v>1745</v>
      </c>
      <c r="D652" s="52" t="s">
        <v>1746</v>
      </c>
      <c r="E652" s="52" t="s">
        <v>387</v>
      </c>
      <c r="F652" s="52" t="s">
        <v>1811</v>
      </c>
      <c r="G652" s="52" t="s">
        <v>60</v>
      </c>
      <c r="H652" s="54">
        <v>46082</v>
      </c>
      <c r="I652" s="52" t="s">
        <v>271</v>
      </c>
      <c r="J652" s="52" t="s">
        <v>1807</v>
      </c>
      <c r="K652" s="52" t="s">
        <v>1808</v>
      </c>
      <c r="L652" s="52" t="s">
        <v>1808</v>
      </c>
      <c r="M652" s="52" t="s">
        <v>29</v>
      </c>
      <c r="N652" s="53">
        <v>-70800</v>
      </c>
      <c r="O652" s="53">
        <v>-70800</v>
      </c>
      <c r="P652" s="52" t="s">
        <v>1809</v>
      </c>
      <c r="Q652" s="52" t="s">
        <v>1812</v>
      </c>
      <c r="R652" s="52" t="s">
        <v>64</v>
      </c>
      <c r="S652" s="52" t="s">
        <v>1807</v>
      </c>
    </row>
    <row r="653" spans="1:19" hidden="1" outlineLevel="2" x14ac:dyDescent="0.45">
      <c r="A653" t="s">
        <v>18</v>
      </c>
      <c r="B653" s="52" t="s">
        <v>65</v>
      </c>
      <c r="C653" s="52" t="s">
        <v>1745</v>
      </c>
      <c r="D653" s="52" t="s">
        <v>1746</v>
      </c>
      <c r="E653" s="52" t="s">
        <v>387</v>
      </c>
      <c r="F653" s="52" t="s">
        <v>1813</v>
      </c>
      <c r="G653" s="52" t="s">
        <v>60</v>
      </c>
      <c r="H653" s="54">
        <v>46082</v>
      </c>
      <c r="I653" s="52" t="s">
        <v>271</v>
      </c>
      <c r="J653" s="52" t="s">
        <v>323</v>
      </c>
      <c r="K653" s="52" t="s">
        <v>1814</v>
      </c>
      <c r="L653" s="52" t="s">
        <v>1815</v>
      </c>
      <c r="M653" s="52" t="s">
        <v>29</v>
      </c>
      <c r="N653" s="53">
        <v>-33569.1</v>
      </c>
      <c r="O653" s="53">
        <v>-33569.1</v>
      </c>
      <c r="P653" s="52" t="s">
        <v>1762</v>
      </c>
      <c r="Q653" s="52" t="s">
        <v>1816</v>
      </c>
      <c r="R653" s="52" t="s">
        <v>64</v>
      </c>
      <c r="S653" s="52" t="s">
        <v>323</v>
      </c>
    </row>
    <row r="654" spans="1:19" hidden="1" outlineLevel="2" x14ac:dyDescent="0.45">
      <c r="A654" t="s">
        <v>18</v>
      </c>
      <c r="B654" s="52" t="s">
        <v>57</v>
      </c>
      <c r="C654" s="52" t="s">
        <v>1745</v>
      </c>
      <c r="D654" s="52" t="s">
        <v>1746</v>
      </c>
      <c r="E654" s="52" t="s">
        <v>387</v>
      </c>
      <c r="F654" s="52" t="s">
        <v>1817</v>
      </c>
      <c r="G654" s="52" t="s">
        <v>60</v>
      </c>
      <c r="H654" s="54">
        <v>46082</v>
      </c>
      <c r="I654" s="52" t="s">
        <v>271</v>
      </c>
      <c r="J654" s="52" t="s">
        <v>314</v>
      </c>
      <c r="K654" s="52" t="s">
        <v>1818</v>
      </c>
      <c r="L654" s="52" t="s">
        <v>1818</v>
      </c>
      <c r="M654" s="52" t="s">
        <v>29</v>
      </c>
      <c r="N654" s="53">
        <v>-33499</v>
      </c>
      <c r="O654" s="53">
        <v>-33499</v>
      </c>
      <c r="P654" s="52" t="s">
        <v>1819</v>
      </c>
      <c r="Q654" s="52" t="s">
        <v>1820</v>
      </c>
      <c r="R654" s="55" t="s">
        <v>64</v>
      </c>
      <c r="S654" s="52" t="s">
        <v>314</v>
      </c>
    </row>
    <row r="655" spans="1:19" hidden="1" outlineLevel="2" x14ac:dyDescent="0.45">
      <c r="A655" t="s">
        <v>18</v>
      </c>
      <c r="B655" s="52" t="s">
        <v>65</v>
      </c>
      <c r="C655" s="52" t="s">
        <v>1745</v>
      </c>
      <c r="D655" s="52" t="s">
        <v>1746</v>
      </c>
      <c r="E655" s="52" t="s">
        <v>387</v>
      </c>
      <c r="F655" s="52" t="s">
        <v>1821</v>
      </c>
      <c r="G655" s="52" t="s">
        <v>60</v>
      </c>
      <c r="H655" s="54">
        <v>46082</v>
      </c>
      <c r="I655" s="52" t="s">
        <v>271</v>
      </c>
      <c r="J655" s="52" t="s">
        <v>314</v>
      </c>
      <c r="K655" s="52" t="s">
        <v>1822</v>
      </c>
      <c r="L655" s="52" t="s">
        <v>1822</v>
      </c>
      <c r="M655" s="52" t="s">
        <v>29</v>
      </c>
      <c r="N655" s="53">
        <v>-30000</v>
      </c>
      <c r="O655" s="53">
        <v>-30000</v>
      </c>
      <c r="P655" s="52" t="s">
        <v>1823</v>
      </c>
      <c r="Q655" s="52" t="s">
        <v>1820</v>
      </c>
      <c r="R655" s="52" t="s">
        <v>64</v>
      </c>
      <c r="S655" s="52" t="s">
        <v>314</v>
      </c>
    </row>
    <row r="656" spans="1:19" hidden="1" outlineLevel="2" x14ac:dyDescent="0.45">
      <c r="A656" t="s">
        <v>18</v>
      </c>
      <c r="B656" s="52" t="s">
        <v>65</v>
      </c>
      <c r="C656" s="52" t="s">
        <v>1745</v>
      </c>
      <c r="D656" s="52" t="s">
        <v>1746</v>
      </c>
      <c r="E656" s="52" t="s">
        <v>387</v>
      </c>
      <c r="F656" s="52" t="s">
        <v>1802</v>
      </c>
      <c r="G656" s="52" t="s">
        <v>60</v>
      </c>
      <c r="H656" s="54">
        <v>46082</v>
      </c>
      <c r="I656" s="52" t="s">
        <v>271</v>
      </c>
      <c r="J656" s="52" t="s">
        <v>323</v>
      </c>
      <c r="K656" s="52" t="s">
        <v>1808</v>
      </c>
      <c r="L656" s="52" t="s">
        <v>1808</v>
      </c>
      <c r="M656" s="52" t="s">
        <v>29</v>
      </c>
      <c r="N656" s="53">
        <v>-20847</v>
      </c>
      <c r="O656" s="53">
        <v>-20847</v>
      </c>
      <c r="P656" s="52" t="s">
        <v>1809</v>
      </c>
      <c r="Q656" s="52" t="s">
        <v>1805</v>
      </c>
      <c r="R656" s="52" t="s">
        <v>64</v>
      </c>
      <c r="S656" s="52" t="s">
        <v>323</v>
      </c>
    </row>
    <row r="657" spans="1:19" hidden="1" outlineLevel="2" x14ac:dyDescent="0.45">
      <c r="A657" t="s">
        <v>18</v>
      </c>
      <c r="B657" s="52" t="s">
        <v>65</v>
      </c>
      <c r="C657" s="52" t="s">
        <v>1745</v>
      </c>
      <c r="D657" s="52" t="s">
        <v>1746</v>
      </c>
      <c r="E657" s="52" t="s">
        <v>387</v>
      </c>
      <c r="F657" s="52" t="s">
        <v>1813</v>
      </c>
      <c r="G657" s="52" t="s">
        <v>60</v>
      </c>
      <c r="H657" s="54">
        <v>46082</v>
      </c>
      <c r="I657" s="52" t="s">
        <v>271</v>
      </c>
      <c r="J657" s="52" t="s">
        <v>323</v>
      </c>
      <c r="K657" s="52" t="s">
        <v>1824</v>
      </c>
      <c r="L657" s="52" t="s">
        <v>1825</v>
      </c>
      <c r="M657" s="52" t="s">
        <v>29</v>
      </c>
      <c r="N657" s="53">
        <v>-17388.25</v>
      </c>
      <c r="O657" s="53">
        <v>-17388.25</v>
      </c>
      <c r="P657" s="52" t="s">
        <v>1766</v>
      </c>
      <c r="Q657" s="52" t="s">
        <v>1816</v>
      </c>
      <c r="R657" s="52" t="s">
        <v>64</v>
      </c>
      <c r="S657" s="52" t="s">
        <v>323</v>
      </c>
    </row>
    <row r="658" spans="1:19" hidden="1" outlineLevel="2" x14ac:dyDescent="0.45">
      <c r="A658" t="s">
        <v>18</v>
      </c>
      <c r="B658" s="52" t="s">
        <v>65</v>
      </c>
      <c r="C658" s="52" t="s">
        <v>1745</v>
      </c>
      <c r="D658" s="52" t="s">
        <v>1746</v>
      </c>
      <c r="E658" s="52" t="s">
        <v>387</v>
      </c>
      <c r="F658" s="52" t="s">
        <v>1813</v>
      </c>
      <c r="G658" s="52" t="s">
        <v>60</v>
      </c>
      <c r="H658" s="54">
        <v>46082</v>
      </c>
      <c r="I658" s="52" t="s">
        <v>271</v>
      </c>
      <c r="J658" s="52" t="s">
        <v>323</v>
      </c>
      <c r="K658" s="52" t="s">
        <v>1826</v>
      </c>
      <c r="L658" s="52" t="s">
        <v>1827</v>
      </c>
      <c r="M658" s="52" t="s">
        <v>29</v>
      </c>
      <c r="N658" s="53">
        <v>-6924.65</v>
      </c>
      <c r="O658" s="53">
        <v>-6924.65</v>
      </c>
      <c r="P658" s="52" t="s">
        <v>1769</v>
      </c>
      <c r="Q658" s="52" t="s">
        <v>1816</v>
      </c>
      <c r="R658" s="52" t="s">
        <v>64</v>
      </c>
      <c r="S658" s="52" t="s">
        <v>323</v>
      </c>
    </row>
    <row r="659" spans="1:19" hidden="1" outlineLevel="2" x14ac:dyDescent="0.45">
      <c r="A659" t="s">
        <v>18</v>
      </c>
      <c r="B659" s="52" t="s">
        <v>65</v>
      </c>
      <c r="C659" s="52" t="s">
        <v>1745</v>
      </c>
      <c r="D659" s="52" t="s">
        <v>1746</v>
      </c>
      <c r="E659" s="52" t="s">
        <v>387</v>
      </c>
      <c r="F659" s="52" t="s">
        <v>1813</v>
      </c>
      <c r="G659" s="52" t="s">
        <v>60</v>
      </c>
      <c r="H659" s="54">
        <v>46082</v>
      </c>
      <c r="I659" s="52" t="s">
        <v>271</v>
      </c>
      <c r="J659" s="52" t="s">
        <v>323</v>
      </c>
      <c r="K659" s="52" t="s">
        <v>1828</v>
      </c>
      <c r="L659" s="52" t="s">
        <v>1828</v>
      </c>
      <c r="M659" s="52" t="s">
        <v>29</v>
      </c>
      <c r="N659" s="53">
        <v>-4562</v>
      </c>
      <c r="O659" s="53">
        <v>-4562</v>
      </c>
      <c r="P659" s="52" t="s">
        <v>1829</v>
      </c>
      <c r="Q659" s="52" t="s">
        <v>1816</v>
      </c>
      <c r="R659" s="52" t="s">
        <v>64</v>
      </c>
      <c r="S659" s="52" t="s">
        <v>323</v>
      </c>
    </row>
    <row r="660" spans="1:19" hidden="1" outlineLevel="2" x14ac:dyDescent="0.45">
      <c r="A660" t="s">
        <v>18</v>
      </c>
      <c r="B660" s="52" t="s">
        <v>57</v>
      </c>
      <c r="C660" s="52" t="s">
        <v>1745</v>
      </c>
      <c r="D660" s="52" t="s">
        <v>1746</v>
      </c>
      <c r="E660" s="52" t="s">
        <v>387</v>
      </c>
      <c r="F660" s="52" t="s">
        <v>1806</v>
      </c>
      <c r="G660" s="52" t="s">
        <v>60</v>
      </c>
      <c r="H660" s="54">
        <v>46082</v>
      </c>
      <c r="I660" s="52" t="s">
        <v>271</v>
      </c>
      <c r="J660" s="52" t="s">
        <v>1807</v>
      </c>
      <c r="K660" s="52" t="s">
        <v>1830</v>
      </c>
      <c r="L660" s="52" t="s">
        <v>1830</v>
      </c>
      <c r="M660" s="52" t="s">
        <v>29</v>
      </c>
      <c r="N660" s="53">
        <v>-3827</v>
      </c>
      <c r="O660" s="53">
        <v>-3827</v>
      </c>
      <c r="P660" s="52" t="s">
        <v>1831</v>
      </c>
      <c r="Q660" s="52" t="s">
        <v>1810</v>
      </c>
      <c r="R660" s="55" t="s">
        <v>64</v>
      </c>
      <c r="S660" s="52" t="s">
        <v>1807</v>
      </c>
    </row>
    <row r="661" spans="1:19" hidden="1" outlineLevel="2" x14ac:dyDescent="0.45">
      <c r="A661" t="s">
        <v>18</v>
      </c>
      <c r="B661" s="52" t="s">
        <v>57</v>
      </c>
      <c r="C661" s="52" t="s">
        <v>1745</v>
      </c>
      <c r="D661" s="52" t="s">
        <v>1746</v>
      </c>
      <c r="E661" s="52" t="s">
        <v>387</v>
      </c>
      <c r="F661" s="52" t="s">
        <v>1806</v>
      </c>
      <c r="G661" s="52" t="s">
        <v>60</v>
      </c>
      <c r="H661" s="54">
        <v>46082</v>
      </c>
      <c r="I661" s="52" t="s">
        <v>271</v>
      </c>
      <c r="J661" s="52" t="s">
        <v>1807</v>
      </c>
      <c r="K661" s="52" t="s">
        <v>1832</v>
      </c>
      <c r="L661" s="52" t="s">
        <v>1832</v>
      </c>
      <c r="M661" s="52" t="s">
        <v>29</v>
      </c>
      <c r="N661" s="53">
        <v>-2296</v>
      </c>
      <c r="O661" s="53">
        <v>-2296</v>
      </c>
      <c r="P661" s="52" t="s">
        <v>1833</v>
      </c>
      <c r="Q661" s="52" t="s">
        <v>1810</v>
      </c>
      <c r="R661" s="55" t="s">
        <v>64</v>
      </c>
      <c r="S661" s="52" t="s">
        <v>1807</v>
      </c>
    </row>
    <row r="662" spans="1:19" outlineLevel="1" collapsed="1" x14ac:dyDescent="0.45">
      <c r="A662" s="1" t="s">
        <v>1834</v>
      </c>
      <c r="B662" s="52"/>
      <c r="C662" s="52"/>
      <c r="D662" s="52"/>
      <c r="E662" s="52"/>
      <c r="F662" s="52"/>
      <c r="G662" s="52"/>
      <c r="H662" s="54"/>
      <c r="I662" s="52"/>
      <c r="J662" s="52"/>
      <c r="K662" s="52"/>
      <c r="L662" s="52"/>
      <c r="M662" s="52"/>
      <c r="N662" s="53"/>
      <c r="O662" s="53">
        <f>SUBTOTAL(9,O632:O661)</f>
        <v>-1374773</v>
      </c>
      <c r="P662" s="52"/>
      <c r="Q662" s="52"/>
      <c r="R662" s="55"/>
      <c r="S662" s="52"/>
    </row>
    <row r="663" spans="1:19" x14ac:dyDescent="0.45">
      <c r="A663" s="1" t="s">
        <v>3385</v>
      </c>
      <c r="B663" s="52"/>
      <c r="C663" s="52"/>
      <c r="D663" s="52"/>
      <c r="E663" s="52"/>
      <c r="F663" s="52"/>
      <c r="G663" s="52"/>
      <c r="H663" s="54"/>
      <c r="I663" s="52"/>
      <c r="J663" s="52"/>
      <c r="K663" s="52"/>
      <c r="L663" s="52"/>
      <c r="M663" s="52"/>
      <c r="N663" s="53"/>
      <c r="O663" s="92">
        <f>SUBTOTAL(9,O2:O661)</f>
        <v>1214667.4300000109</v>
      </c>
      <c r="P663" s="52"/>
      <c r="Q663" s="52"/>
      <c r="R663" s="55"/>
      <c r="S663" s="52"/>
    </row>
    <row r="664" spans="1:19" x14ac:dyDescent="0.45">
      <c r="B664" s="52"/>
      <c r="C664" s="52"/>
      <c r="D664" s="52"/>
      <c r="E664" s="52"/>
      <c r="F664" s="52"/>
      <c r="G664" s="52"/>
      <c r="H664" s="54"/>
      <c r="I664" s="52"/>
      <c r="J664" s="52"/>
      <c r="K664" s="52"/>
      <c r="L664" s="52"/>
      <c r="M664" s="52"/>
      <c r="N664" s="53"/>
      <c r="O664" s="53"/>
      <c r="P664" s="52"/>
      <c r="Q664" s="52"/>
      <c r="R664" s="55"/>
      <c r="S664" s="52"/>
    </row>
    <row r="665" spans="1:19" x14ac:dyDescent="0.45">
      <c r="A665" s="44" t="s">
        <v>37</v>
      </c>
      <c r="B665" s="45" t="s">
        <v>38</v>
      </c>
      <c r="C665" s="46" t="s">
        <v>39</v>
      </c>
      <c r="D665" s="46" t="s">
        <v>40</v>
      </c>
      <c r="E665" s="46" t="s">
        <v>41</v>
      </c>
      <c r="F665" s="47" t="s">
        <v>42</v>
      </c>
      <c r="G665" s="47" t="s">
        <v>43</v>
      </c>
      <c r="H665" s="46" t="s">
        <v>44</v>
      </c>
      <c r="I665" s="47" t="s">
        <v>45</v>
      </c>
      <c r="J665" s="46" t="s">
        <v>46</v>
      </c>
      <c r="K665" s="47" t="s">
        <v>47</v>
      </c>
      <c r="L665" s="47" t="s">
        <v>48</v>
      </c>
      <c r="M665" s="45" t="s">
        <v>49</v>
      </c>
      <c r="N665" s="48" t="s">
        <v>50</v>
      </c>
      <c r="O665" s="48" t="s">
        <v>51</v>
      </c>
      <c r="P665" s="47" t="s">
        <v>52</v>
      </c>
      <c r="Q665" s="47" t="s">
        <v>53</v>
      </c>
      <c r="R665" s="49" t="s">
        <v>54</v>
      </c>
      <c r="S665" s="46" t="s">
        <v>55</v>
      </c>
    </row>
    <row r="666" spans="1:19" hidden="1" outlineLevel="2" x14ac:dyDescent="0.45">
      <c r="A666" t="s">
        <v>14</v>
      </c>
      <c r="B666" s="52" t="s">
        <v>65</v>
      </c>
      <c r="C666" s="52" t="s">
        <v>268</v>
      </c>
      <c r="D666" s="52" t="s">
        <v>269</v>
      </c>
      <c r="E666" s="52" t="s">
        <v>71</v>
      </c>
      <c r="F666" s="52" t="s">
        <v>1835</v>
      </c>
      <c r="G666" s="52" t="s">
        <v>73</v>
      </c>
      <c r="H666" s="54">
        <v>46113</v>
      </c>
      <c r="I666" s="52" t="s">
        <v>1836</v>
      </c>
      <c r="J666" s="52" t="s">
        <v>1837</v>
      </c>
      <c r="K666" s="52" t="s">
        <v>1838</v>
      </c>
      <c r="L666" s="52" t="s">
        <v>1838</v>
      </c>
      <c r="M666" s="52" t="s">
        <v>29</v>
      </c>
      <c r="N666" s="53">
        <v>2124</v>
      </c>
      <c r="O666" s="53">
        <v>2124</v>
      </c>
      <c r="P666" s="52" t="s">
        <v>274</v>
      </c>
      <c r="Q666" s="52" t="s">
        <v>1839</v>
      </c>
      <c r="R666" s="52" t="s">
        <v>64</v>
      </c>
      <c r="S666" s="52" t="s">
        <v>122</v>
      </c>
    </row>
    <row r="667" spans="1:19" hidden="1" outlineLevel="2" x14ac:dyDescent="0.45">
      <c r="A667" t="s">
        <v>14</v>
      </c>
      <c r="B667" s="52" t="s">
        <v>65</v>
      </c>
      <c r="C667" s="52" t="s">
        <v>268</v>
      </c>
      <c r="D667" s="52" t="s">
        <v>269</v>
      </c>
      <c r="E667" s="52" t="s">
        <v>71</v>
      </c>
      <c r="F667" s="52" t="s">
        <v>1840</v>
      </c>
      <c r="G667" s="52" t="s">
        <v>73</v>
      </c>
      <c r="H667" s="54">
        <v>46113</v>
      </c>
      <c r="I667" s="52" t="s">
        <v>1836</v>
      </c>
      <c r="J667" s="52" t="s">
        <v>1837</v>
      </c>
      <c r="K667" s="52" t="s">
        <v>1841</v>
      </c>
      <c r="L667" s="52" t="s">
        <v>1841</v>
      </c>
      <c r="M667" s="52" t="s">
        <v>29</v>
      </c>
      <c r="N667" s="53">
        <v>2124</v>
      </c>
      <c r="O667" s="53">
        <v>2124</v>
      </c>
      <c r="P667" s="52" t="s">
        <v>1842</v>
      </c>
      <c r="Q667" s="52" t="s">
        <v>1843</v>
      </c>
      <c r="R667" s="52" t="s">
        <v>64</v>
      </c>
      <c r="S667" s="52" t="s">
        <v>122</v>
      </c>
    </row>
    <row r="668" spans="1:19" hidden="1" outlineLevel="2" x14ac:dyDescent="0.45">
      <c r="A668" t="s">
        <v>14</v>
      </c>
      <c r="B668" s="52" t="s">
        <v>65</v>
      </c>
      <c r="C668" s="52" t="s">
        <v>268</v>
      </c>
      <c r="D668" s="52" t="s">
        <v>269</v>
      </c>
      <c r="E668" s="52" t="s">
        <v>71</v>
      </c>
      <c r="F668" s="52" t="s">
        <v>1844</v>
      </c>
      <c r="G668" s="52" t="s">
        <v>73</v>
      </c>
      <c r="H668" s="54">
        <v>46113</v>
      </c>
      <c r="I668" s="52" t="s">
        <v>1836</v>
      </c>
      <c r="J668" s="52" t="s">
        <v>1837</v>
      </c>
      <c r="K668" s="52" t="s">
        <v>1845</v>
      </c>
      <c r="L668" s="52" t="s">
        <v>1845</v>
      </c>
      <c r="M668" s="52" t="s">
        <v>29</v>
      </c>
      <c r="N668" s="53">
        <v>2124</v>
      </c>
      <c r="O668" s="53">
        <v>2124</v>
      </c>
      <c r="P668" s="52" t="s">
        <v>1846</v>
      </c>
      <c r="Q668" s="52" t="s">
        <v>1847</v>
      </c>
      <c r="R668" s="52" t="s">
        <v>64</v>
      </c>
      <c r="S668" s="52" t="s">
        <v>122</v>
      </c>
    </row>
    <row r="669" spans="1:19" hidden="1" outlineLevel="2" x14ac:dyDescent="0.45">
      <c r="A669" t="s">
        <v>14</v>
      </c>
      <c r="B669" s="52" t="s">
        <v>65</v>
      </c>
      <c r="C669" s="52" t="s">
        <v>268</v>
      </c>
      <c r="D669" s="52" t="s">
        <v>269</v>
      </c>
      <c r="E669" s="52" t="s">
        <v>71</v>
      </c>
      <c r="F669" s="52" t="s">
        <v>1848</v>
      </c>
      <c r="G669" s="52" t="s">
        <v>73</v>
      </c>
      <c r="H669" s="54">
        <v>46113</v>
      </c>
      <c r="I669" s="52" t="s">
        <v>1836</v>
      </c>
      <c r="J669" s="52" t="s">
        <v>1837</v>
      </c>
      <c r="K669" s="52" t="s">
        <v>1849</v>
      </c>
      <c r="L669" s="52" t="s">
        <v>1849</v>
      </c>
      <c r="M669" s="52" t="s">
        <v>29</v>
      </c>
      <c r="N669" s="53">
        <v>2124</v>
      </c>
      <c r="O669" s="53">
        <v>2124</v>
      </c>
      <c r="P669" s="52" t="s">
        <v>1850</v>
      </c>
      <c r="Q669" s="52" t="s">
        <v>1851</v>
      </c>
      <c r="R669" s="52" t="s">
        <v>64</v>
      </c>
      <c r="S669" s="52" t="s">
        <v>122</v>
      </c>
    </row>
    <row r="670" spans="1:19" hidden="1" outlineLevel="2" x14ac:dyDescent="0.45">
      <c r="A670" t="s">
        <v>14</v>
      </c>
      <c r="B670" s="52" t="s">
        <v>65</v>
      </c>
      <c r="C670" s="52" t="s">
        <v>268</v>
      </c>
      <c r="D670" s="52" t="s">
        <v>269</v>
      </c>
      <c r="E670" s="52" t="s">
        <v>71</v>
      </c>
      <c r="F670" s="52" t="s">
        <v>1852</v>
      </c>
      <c r="G670" s="52" t="s">
        <v>73</v>
      </c>
      <c r="H670" s="54">
        <v>46113</v>
      </c>
      <c r="I670" s="52" t="s">
        <v>1836</v>
      </c>
      <c r="J670" s="52" t="s">
        <v>1837</v>
      </c>
      <c r="K670" s="52" t="s">
        <v>1853</v>
      </c>
      <c r="L670" s="52" t="s">
        <v>1853</v>
      </c>
      <c r="M670" s="52" t="s">
        <v>29</v>
      </c>
      <c r="N670" s="53">
        <v>2124</v>
      </c>
      <c r="O670" s="53">
        <v>2124</v>
      </c>
      <c r="P670" s="52" t="s">
        <v>1854</v>
      </c>
      <c r="Q670" s="52" t="s">
        <v>1855</v>
      </c>
      <c r="R670" s="52" t="s">
        <v>64</v>
      </c>
      <c r="S670" s="52" t="s">
        <v>122</v>
      </c>
    </row>
    <row r="671" spans="1:19" hidden="1" outlineLevel="2" x14ac:dyDescent="0.45">
      <c r="A671" t="s">
        <v>14</v>
      </c>
      <c r="B671" s="52" t="s">
        <v>65</v>
      </c>
      <c r="C671" s="52" t="s">
        <v>268</v>
      </c>
      <c r="D671" s="52" t="s">
        <v>269</v>
      </c>
      <c r="E671" s="52" t="s">
        <v>71</v>
      </c>
      <c r="F671" s="52" t="s">
        <v>1856</v>
      </c>
      <c r="G671" s="52" t="s">
        <v>73</v>
      </c>
      <c r="H671" s="54">
        <v>46113</v>
      </c>
      <c r="I671" s="52" t="s">
        <v>1836</v>
      </c>
      <c r="J671" s="52" t="s">
        <v>1837</v>
      </c>
      <c r="K671" s="52" t="s">
        <v>1857</v>
      </c>
      <c r="L671" s="52" t="s">
        <v>1857</v>
      </c>
      <c r="M671" s="52" t="s">
        <v>29</v>
      </c>
      <c r="N671" s="53">
        <v>2124</v>
      </c>
      <c r="O671" s="53">
        <v>2124</v>
      </c>
      <c r="P671" s="52" t="s">
        <v>1858</v>
      </c>
      <c r="Q671" s="52" t="s">
        <v>1859</v>
      </c>
      <c r="R671" s="52" t="s">
        <v>64</v>
      </c>
      <c r="S671" s="52" t="s">
        <v>122</v>
      </c>
    </row>
    <row r="672" spans="1:19" hidden="1" outlineLevel="2" x14ac:dyDescent="0.45">
      <c r="A672" t="s">
        <v>14</v>
      </c>
      <c r="B672" s="52" t="s">
        <v>65</v>
      </c>
      <c r="C672" s="52" t="s">
        <v>268</v>
      </c>
      <c r="D672" s="52" t="s">
        <v>269</v>
      </c>
      <c r="E672" s="52" t="s">
        <v>71</v>
      </c>
      <c r="F672" s="52" t="s">
        <v>1860</v>
      </c>
      <c r="G672" s="52" t="s">
        <v>73</v>
      </c>
      <c r="H672" s="54">
        <v>46113</v>
      </c>
      <c r="I672" s="52" t="s">
        <v>1836</v>
      </c>
      <c r="J672" s="52" t="s">
        <v>1837</v>
      </c>
      <c r="K672" s="52" t="s">
        <v>1861</v>
      </c>
      <c r="L672" s="52" t="s">
        <v>1861</v>
      </c>
      <c r="M672" s="52" t="s">
        <v>29</v>
      </c>
      <c r="N672" s="53">
        <v>2124</v>
      </c>
      <c r="O672" s="53">
        <v>2124</v>
      </c>
      <c r="P672" s="52" t="s">
        <v>1862</v>
      </c>
      <c r="Q672" s="52" t="s">
        <v>1863</v>
      </c>
      <c r="R672" s="52" t="s">
        <v>64</v>
      </c>
      <c r="S672" s="52" t="s">
        <v>122</v>
      </c>
    </row>
    <row r="673" spans="1:19" hidden="1" outlineLevel="2" x14ac:dyDescent="0.45">
      <c r="A673" t="s">
        <v>14</v>
      </c>
      <c r="B673" s="52" t="s">
        <v>65</v>
      </c>
      <c r="C673" s="52" t="s">
        <v>187</v>
      </c>
      <c r="D673" s="52" t="s">
        <v>188</v>
      </c>
      <c r="E673" s="52" t="s">
        <v>71</v>
      </c>
      <c r="F673" s="52" t="s">
        <v>1864</v>
      </c>
      <c r="G673" s="52" t="s">
        <v>73</v>
      </c>
      <c r="H673" s="54">
        <v>46113</v>
      </c>
      <c r="I673" s="52" t="s">
        <v>1836</v>
      </c>
      <c r="J673" s="52" t="s">
        <v>1865</v>
      </c>
      <c r="K673" s="52" t="s">
        <v>1866</v>
      </c>
      <c r="L673" s="52" t="s">
        <v>1866</v>
      </c>
      <c r="M673" s="52" t="s">
        <v>29</v>
      </c>
      <c r="N673" s="53">
        <v>14160</v>
      </c>
      <c r="O673" s="53">
        <v>14160</v>
      </c>
      <c r="P673" s="52" t="s">
        <v>1867</v>
      </c>
      <c r="Q673" s="52" t="s">
        <v>1868</v>
      </c>
      <c r="R673" s="52" t="s">
        <v>64</v>
      </c>
      <c r="S673" s="52" t="s">
        <v>383</v>
      </c>
    </row>
    <row r="674" spans="1:19" hidden="1" outlineLevel="2" x14ac:dyDescent="0.45">
      <c r="A674" t="s">
        <v>14</v>
      </c>
      <c r="B674" s="52" t="s">
        <v>65</v>
      </c>
      <c r="C674" s="52" t="s">
        <v>187</v>
      </c>
      <c r="D674" s="52" t="s">
        <v>188</v>
      </c>
      <c r="E674" s="52" t="s">
        <v>71</v>
      </c>
      <c r="F674" s="52" t="s">
        <v>1869</v>
      </c>
      <c r="G674" s="52" t="s">
        <v>73</v>
      </c>
      <c r="H674" s="54">
        <v>46113</v>
      </c>
      <c r="I674" s="52" t="s">
        <v>1836</v>
      </c>
      <c r="J674" s="52" t="s">
        <v>1870</v>
      </c>
      <c r="K674" s="52" t="s">
        <v>326</v>
      </c>
      <c r="L674" s="52" t="s">
        <v>326</v>
      </c>
      <c r="M674" s="52" t="s">
        <v>29</v>
      </c>
      <c r="N674" s="53">
        <v>14160</v>
      </c>
      <c r="O674" s="53">
        <v>14160</v>
      </c>
      <c r="P674" s="52" t="s">
        <v>260</v>
      </c>
      <c r="Q674" s="52" t="s">
        <v>1871</v>
      </c>
      <c r="R674" s="52" t="s">
        <v>64</v>
      </c>
      <c r="S674" s="52" t="s">
        <v>301</v>
      </c>
    </row>
    <row r="675" spans="1:19" hidden="1" outlineLevel="2" x14ac:dyDescent="0.45">
      <c r="A675" t="s">
        <v>14</v>
      </c>
      <c r="B675" s="52" t="s">
        <v>57</v>
      </c>
      <c r="C675" s="52" t="s">
        <v>187</v>
      </c>
      <c r="D675" s="52" t="s">
        <v>188</v>
      </c>
      <c r="E675" s="52" t="s">
        <v>71</v>
      </c>
      <c r="F675" s="52" t="s">
        <v>1872</v>
      </c>
      <c r="G675" s="52" t="s">
        <v>73</v>
      </c>
      <c r="H675" s="54">
        <v>46113</v>
      </c>
      <c r="I675" s="52" t="s">
        <v>1836</v>
      </c>
      <c r="J675" s="52" t="s">
        <v>1873</v>
      </c>
      <c r="K675" s="52" t="s">
        <v>1874</v>
      </c>
      <c r="L675" s="52" t="s">
        <v>1874</v>
      </c>
      <c r="M675" s="52" t="s">
        <v>29</v>
      </c>
      <c r="N675" s="53">
        <v>103840</v>
      </c>
      <c r="O675" s="53">
        <v>103840</v>
      </c>
      <c r="P675" s="52" t="s">
        <v>1875</v>
      </c>
      <c r="Q675" s="52" t="s">
        <v>1876</v>
      </c>
      <c r="R675" s="52" t="s">
        <v>64</v>
      </c>
      <c r="S675" s="52" t="s">
        <v>383</v>
      </c>
    </row>
    <row r="676" spans="1:19" outlineLevel="1" collapsed="1" x14ac:dyDescent="0.45">
      <c r="A676" s="1" t="s">
        <v>337</v>
      </c>
      <c r="B676" s="52"/>
      <c r="C676" s="52"/>
      <c r="D676" s="52"/>
      <c r="E676" s="52"/>
      <c r="F676" s="52"/>
      <c r="G676" s="52"/>
      <c r="H676" s="54"/>
      <c r="I676" s="52"/>
      <c r="J676" s="52"/>
      <c r="K676" s="52"/>
      <c r="L676" s="52"/>
      <c r="M676" s="52"/>
      <c r="N676" s="53"/>
      <c r="O676" s="53">
        <f>SUBTOTAL(9,O666:O675)</f>
        <v>147028</v>
      </c>
      <c r="P676" s="52"/>
      <c r="Q676" s="52"/>
      <c r="R676" s="52"/>
      <c r="S676" s="52"/>
    </row>
    <row r="677" spans="1:19" hidden="1" outlineLevel="2" x14ac:dyDescent="0.45">
      <c r="A677" t="s">
        <v>15</v>
      </c>
      <c r="B677" s="52" t="s">
        <v>57</v>
      </c>
      <c r="C677" s="52" t="s">
        <v>1877</v>
      </c>
      <c r="D677" s="52" t="s">
        <v>1878</v>
      </c>
      <c r="E677" s="52" t="s">
        <v>71</v>
      </c>
      <c r="F677" s="52" t="s">
        <v>1879</v>
      </c>
      <c r="G677" s="52" t="s">
        <v>73</v>
      </c>
      <c r="H677" s="54">
        <v>46113</v>
      </c>
      <c r="I677" s="52" t="s">
        <v>1836</v>
      </c>
      <c r="J677" s="52" t="s">
        <v>1880</v>
      </c>
      <c r="K677" s="52" t="s">
        <v>1881</v>
      </c>
      <c r="L677" s="52" t="s">
        <v>1881</v>
      </c>
      <c r="M677" s="52" t="s">
        <v>29</v>
      </c>
      <c r="N677" s="53">
        <v>213000</v>
      </c>
      <c r="O677" s="53">
        <v>213000</v>
      </c>
      <c r="P677" s="52" t="s">
        <v>1882</v>
      </c>
      <c r="Q677" s="52" t="s">
        <v>1883</v>
      </c>
      <c r="R677" s="52" t="s">
        <v>64</v>
      </c>
      <c r="S677" s="52" t="s">
        <v>1880</v>
      </c>
    </row>
    <row r="678" spans="1:19" hidden="1" outlineLevel="2" x14ac:dyDescent="0.45">
      <c r="A678" t="s">
        <v>15</v>
      </c>
      <c r="B678" s="52" t="s">
        <v>66</v>
      </c>
      <c r="C678" s="52"/>
      <c r="D678" s="52"/>
      <c r="E678" s="52" t="s">
        <v>367</v>
      </c>
      <c r="F678" s="52" t="s">
        <v>1884</v>
      </c>
      <c r="G678" s="52" t="s">
        <v>369</v>
      </c>
      <c r="H678" s="54">
        <v>46113</v>
      </c>
      <c r="I678" s="52" t="s">
        <v>1836</v>
      </c>
      <c r="J678" s="52" t="s">
        <v>1880</v>
      </c>
      <c r="K678" s="52"/>
      <c r="L678" s="52"/>
      <c r="M678" s="52" t="s">
        <v>67</v>
      </c>
      <c r="N678" s="53">
        <v>0</v>
      </c>
      <c r="O678" s="53">
        <v>85.26</v>
      </c>
      <c r="P678" s="52" t="s">
        <v>370</v>
      </c>
      <c r="Q678" s="52" t="s">
        <v>370</v>
      </c>
      <c r="R678" s="55" t="s">
        <v>64</v>
      </c>
      <c r="S678" s="52" t="s">
        <v>1880</v>
      </c>
    </row>
    <row r="679" spans="1:19" outlineLevel="1" collapsed="1" x14ac:dyDescent="0.45">
      <c r="A679" s="1" t="s">
        <v>384</v>
      </c>
      <c r="B679" s="52"/>
      <c r="C679" s="52"/>
      <c r="D679" s="52"/>
      <c r="E679" s="52"/>
      <c r="F679" s="52"/>
      <c r="G679" s="52"/>
      <c r="H679" s="54"/>
      <c r="I679" s="52"/>
      <c r="J679" s="52"/>
      <c r="K679" s="52"/>
      <c r="L679" s="52"/>
      <c r="M679" s="52"/>
      <c r="N679" s="53"/>
      <c r="O679" s="53">
        <f>SUBTOTAL(9,O677:O678)</f>
        <v>213085.26</v>
      </c>
      <c r="P679" s="52"/>
      <c r="Q679" s="52"/>
      <c r="R679" s="55"/>
      <c r="S679" s="52"/>
    </row>
    <row r="680" spans="1:19" hidden="1" outlineLevel="2" x14ac:dyDescent="0.45">
      <c r="A680" t="s">
        <v>16</v>
      </c>
      <c r="B680" s="52" t="s">
        <v>57</v>
      </c>
      <c r="C680" s="52" t="s">
        <v>404</v>
      </c>
      <c r="D680" s="52" t="s">
        <v>405</v>
      </c>
      <c r="E680" s="52" t="s">
        <v>387</v>
      </c>
      <c r="F680" s="52" t="s">
        <v>1885</v>
      </c>
      <c r="G680" s="52" t="s">
        <v>60</v>
      </c>
      <c r="H680" s="54">
        <v>46113</v>
      </c>
      <c r="I680" s="52" t="s">
        <v>1836</v>
      </c>
      <c r="J680" s="52" t="s">
        <v>1886</v>
      </c>
      <c r="K680" s="52" t="s">
        <v>1887</v>
      </c>
      <c r="L680" s="52" t="s">
        <v>1887</v>
      </c>
      <c r="M680" s="52" t="s">
        <v>29</v>
      </c>
      <c r="N680" s="53">
        <v>-26864</v>
      </c>
      <c r="O680" s="53">
        <v>-26864</v>
      </c>
      <c r="P680" s="52" t="s">
        <v>1888</v>
      </c>
      <c r="Q680" s="52" t="s">
        <v>1889</v>
      </c>
      <c r="R680" s="52" t="s">
        <v>64</v>
      </c>
      <c r="S680" s="52" t="s">
        <v>1886</v>
      </c>
    </row>
    <row r="681" spans="1:19" hidden="1" outlineLevel="2" x14ac:dyDescent="0.45">
      <c r="A681" t="s">
        <v>16</v>
      </c>
      <c r="B681" s="52" t="s">
        <v>57</v>
      </c>
      <c r="C681" s="52" t="s">
        <v>448</v>
      </c>
      <c r="D681" s="52" t="s">
        <v>449</v>
      </c>
      <c r="E681" s="52" t="s">
        <v>387</v>
      </c>
      <c r="F681" s="52" t="s">
        <v>1890</v>
      </c>
      <c r="G681" s="52" t="s">
        <v>60</v>
      </c>
      <c r="H681" s="54">
        <v>46113</v>
      </c>
      <c r="I681" s="52" t="s">
        <v>1836</v>
      </c>
      <c r="J681" s="52" t="s">
        <v>1891</v>
      </c>
      <c r="K681" s="52" t="s">
        <v>1892</v>
      </c>
      <c r="L681" s="52" t="s">
        <v>1892</v>
      </c>
      <c r="M681" s="52" t="s">
        <v>29</v>
      </c>
      <c r="N681" s="53">
        <v>-5000</v>
      </c>
      <c r="O681" s="53">
        <v>-5000</v>
      </c>
      <c r="P681" s="52" t="s">
        <v>1893</v>
      </c>
      <c r="Q681" s="52" t="s">
        <v>1894</v>
      </c>
      <c r="R681" s="52" t="s">
        <v>64</v>
      </c>
      <c r="S681" s="52" t="s">
        <v>1891</v>
      </c>
    </row>
    <row r="682" spans="1:19" hidden="1" outlineLevel="2" x14ac:dyDescent="0.45">
      <c r="A682" t="s">
        <v>16</v>
      </c>
      <c r="B682" s="52" t="s">
        <v>66</v>
      </c>
      <c r="C682" s="52" t="s">
        <v>1895</v>
      </c>
      <c r="D682" s="52" t="s">
        <v>1896</v>
      </c>
      <c r="E682" s="52" t="s">
        <v>387</v>
      </c>
      <c r="F682" s="52" t="s">
        <v>1897</v>
      </c>
      <c r="G682" s="52" t="s">
        <v>60</v>
      </c>
      <c r="H682" s="54">
        <v>46113</v>
      </c>
      <c r="I682" s="52" t="s">
        <v>1836</v>
      </c>
      <c r="J682" s="52" t="s">
        <v>1891</v>
      </c>
      <c r="K682" s="52" t="s">
        <v>1898</v>
      </c>
      <c r="L682" s="52" t="s">
        <v>1898</v>
      </c>
      <c r="M682" s="52" t="s">
        <v>67</v>
      </c>
      <c r="N682" s="53">
        <v>-1350</v>
      </c>
      <c r="O682" s="53">
        <v>-4649.3999999999996</v>
      </c>
      <c r="P682" s="52" t="s">
        <v>1899</v>
      </c>
      <c r="Q682" s="52" t="s">
        <v>1900</v>
      </c>
      <c r="R682" s="52" t="s">
        <v>64</v>
      </c>
      <c r="S682" s="52" t="s">
        <v>1891</v>
      </c>
    </row>
    <row r="683" spans="1:19" hidden="1" outlineLevel="2" x14ac:dyDescent="0.45">
      <c r="A683" t="s">
        <v>16</v>
      </c>
      <c r="B683" s="52" t="s">
        <v>57</v>
      </c>
      <c r="C683" s="52" t="s">
        <v>455</v>
      </c>
      <c r="D683" s="52" t="s">
        <v>456</v>
      </c>
      <c r="E683" s="52" t="s">
        <v>387</v>
      </c>
      <c r="F683" s="52" t="s">
        <v>1901</v>
      </c>
      <c r="G683" s="52" t="s">
        <v>60</v>
      </c>
      <c r="H683" s="54">
        <v>46113</v>
      </c>
      <c r="I683" s="52" t="s">
        <v>1836</v>
      </c>
      <c r="J683" s="52" t="s">
        <v>1886</v>
      </c>
      <c r="K683" s="52" t="s">
        <v>1902</v>
      </c>
      <c r="L683" s="52" t="s">
        <v>1902</v>
      </c>
      <c r="M683" s="52" t="s">
        <v>29</v>
      </c>
      <c r="N683" s="53">
        <v>-600</v>
      </c>
      <c r="O683" s="53">
        <v>-600</v>
      </c>
      <c r="P683" s="52" t="s">
        <v>1903</v>
      </c>
      <c r="Q683" s="52" t="s">
        <v>1904</v>
      </c>
      <c r="R683" s="52" t="s">
        <v>64</v>
      </c>
      <c r="S683" s="52" t="s">
        <v>1886</v>
      </c>
    </row>
    <row r="684" spans="1:19" hidden="1" outlineLevel="2" x14ac:dyDescent="0.45">
      <c r="A684" t="s">
        <v>16</v>
      </c>
      <c r="B684" s="52" t="s">
        <v>57</v>
      </c>
      <c r="C684" s="52" t="s">
        <v>1905</v>
      </c>
      <c r="D684" s="52" t="s">
        <v>1906</v>
      </c>
      <c r="E684" s="52" t="s">
        <v>387</v>
      </c>
      <c r="F684" s="52" t="s">
        <v>1907</v>
      </c>
      <c r="G684" s="52" t="s">
        <v>60</v>
      </c>
      <c r="H684" s="54">
        <v>46113</v>
      </c>
      <c r="I684" s="52" t="s">
        <v>1836</v>
      </c>
      <c r="J684" s="52" t="s">
        <v>1908</v>
      </c>
      <c r="K684" s="52" t="s">
        <v>1909</v>
      </c>
      <c r="L684" s="52" t="s">
        <v>1909</v>
      </c>
      <c r="M684" s="52" t="s">
        <v>29</v>
      </c>
      <c r="N684" s="53">
        <v>-180</v>
      </c>
      <c r="O684" s="53">
        <v>-180</v>
      </c>
      <c r="P684" s="52" t="s">
        <v>1910</v>
      </c>
      <c r="Q684" s="52" t="s">
        <v>1911</v>
      </c>
      <c r="R684" s="52" t="s">
        <v>64</v>
      </c>
      <c r="S684" s="52" t="s">
        <v>1908</v>
      </c>
    </row>
    <row r="685" spans="1:19" hidden="1" outlineLevel="2" x14ac:dyDescent="0.45">
      <c r="A685" t="s">
        <v>16</v>
      </c>
      <c r="B685" s="52" t="s">
        <v>57</v>
      </c>
      <c r="C685" s="52" t="s">
        <v>410</v>
      </c>
      <c r="D685" s="52" t="s">
        <v>411</v>
      </c>
      <c r="E685" s="52" t="s">
        <v>387</v>
      </c>
      <c r="F685" s="52" t="s">
        <v>1901</v>
      </c>
      <c r="G685" s="52" t="s">
        <v>60</v>
      </c>
      <c r="H685" s="54">
        <v>46113</v>
      </c>
      <c r="I685" s="52" t="s">
        <v>1836</v>
      </c>
      <c r="J685" s="52" t="s">
        <v>1886</v>
      </c>
      <c r="K685" s="52" t="s">
        <v>1912</v>
      </c>
      <c r="L685" s="52" t="s">
        <v>1912</v>
      </c>
      <c r="M685" s="52" t="s">
        <v>29</v>
      </c>
      <c r="N685" s="53">
        <v>-20000</v>
      </c>
      <c r="O685" s="53">
        <v>-20000</v>
      </c>
      <c r="P685" s="52" t="s">
        <v>1913</v>
      </c>
      <c r="Q685" s="52" t="s">
        <v>1904</v>
      </c>
      <c r="R685" s="52" t="s">
        <v>64</v>
      </c>
      <c r="S685" s="52" t="s">
        <v>1886</v>
      </c>
    </row>
    <row r="686" spans="1:19" hidden="1" outlineLevel="2" x14ac:dyDescent="0.45">
      <c r="A686" t="s">
        <v>16</v>
      </c>
      <c r="B686" s="52" t="s">
        <v>66</v>
      </c>
      <c r="C686" s="52" t="s">
        <v>416</v>
      </c>
      <c r="D686" s="52" t="s">
        <v>417</v>
      </c>
      <c r="E686" s="52" t="s">
        <v>387</v>
      </c>
      <c r="F686" s="52" t="s">
        <v>1914</v>
      </c>
      <c r="G686" s="52" t="s">
        <v>60</v>
      </c>
      <c r="H686" s="54">
        <v>46113</v>
      </c>
      <c r="I686" s="52" t="s">
        <v>1836</v>
      </c>
      <c r="J686" s="52" t="s">
        <v>1870</v>
      </c>
      <c r="K686" s="52" t="s">
        <v>1915</v>
      </c>
      <c r="L686" s="52" t="s">
        <v>1915</v>
      </c>
      <c r="M686" s="52" t="s">
        <v>67</v>
      </c>
      <c r="N686" s="53">
        <v>-4600</v>
      </c>
      <c r="O686" s="53">
        <v>-16077</v>
      </c>
      <c r="P686" s="52" t="s">
        <v>1916</v>
      </c>
      <c r="Q686" s="52" t="s">
        <v>1917</v>
      </c>
      <c r="R686" s="52" t="s">
        <v>64</v>
      </c>
      <c r="S686" s="52" t="s">
        <v>1870</v>
      </c>
    </row>
    <row r="687" spans="1:19" hidden="1" outlineLevel="2" x14ac:dyDescent="0.45">
      <c r="A687" t="s">
        <v>16</v>
      </c>
      <c r="B687" s="52" t="s">
        <v>57</v>
      </c>
      <c r="C687" s="52" t="s">
        <v>349</v>
      </c>
      <c r="D687" s="52" t="s">
        <v>350</v>
      </c>
      <c r="E687" s="52" t="s">
        <v>387</v>
      </c>
      <c r="F687" s="52" t="s">
        <v>1918</v>
      </c>
      <c r="G687" s="52" t="s">
        <v>60</v>
      </c>
      <c r="H687" s="54">
        <v>46113</v>
      </c>
      <c r="I687" s="52" t="s">
        <v>1836</v>
      </c>
      <c r="J687" s="52" t="s">
        <v>1886</v>
      </c>
      <c r="K687" s="52" t="s">
        <v>1919</v>
      </c>
      <c r="L687" s="52" t="s">
        <v>1920</v>
      </c>
      <c r="M687" s="52" t="s">
        <v>29</v>
      </c>
      <c r="N687" s="53">
        <v>-1500</v>
      </c>
      <c r="O687" s="53">
        <v>-1500</v>
      </c>
      <c r="P687" s="52" t="s">
        <v>425</v>
      </c>
      <c r="Q687" s="52" t="s">
        <v>1921</v>
      </c>
      <c r="R687" s="52" t="s">
        <v>64</v>
      </c>
      <c r="S687" s="52" t="s">
        <v>1886</v>
      </c>
    </row>
    <row r="688" spans="1:19" hidden="1" outlineLevel="2" x14ac:dyDescent="0.45">
      <c r="A688" t="s">
        <v>16</v>
      </c>
      <c r="B688" s="52" t="s">
        <v>57</v>
      </c>
      <c r="C688" s="52" t="s">
        <v>427</v>
      </c>
      <c r="D688" s="52" t="s">
        <v>428</v>
      </c>
      <c r="E688" s="52" t="s">
        <v>387</v>
      </c>
      <c r="F688" s="52" t="s">
        <v>1922</v>
      </c>
      <c r="G688" s="52" t="s">
        <v>60</v>
      </c>
      <c r="H688" s="54">
        <v>46113</v>
      </c>
      <c r="I688" s="52" t="s">
        <v>1836</v>
      </c>
      <c r="J688" s="52" t="s">
        <v>1886</v>
      </c>
      <c r="K688" s="52" t="s">
        <v>1923</v>
      </c>
      <c r="L688" s="52" t="s">
        <v>1924</v>
      </c>
      <c r="M688" s="52" t="s">
        <v>29</v>
      </c>
      <c r="N688" s="53">
        <v>-1130</v>
      </c>
      <c r="O688" s="53">
        <v>-1130</v>
      </c>
      <c r="P688" s="52" t="s">
        <v>425</v>
      </c>
      <c r="Q688" s="52" t="s">
        <v>1925</v>
      </c>
      <c r="R688" s="52" t="s">
        <v>64</v>
      </c>
      <c r="S688" s="52" t="s">
        <v>1886</v>
      </c>
    </row>
    <row r="689" spans="1:19" hidden="1" outlineLevel="2" x14ac:dyDescent="0.45">
      <c r="A689" t="s">
        <v>16</v>
      </c>
      <c r="B689" s="52" t="s">
        <v>57</v>
      </c>
      <c r="C689" s="52" t="s">
        <v>349</v>
      </c>
      <c r="D689" s="52" t="s">
        <v>350</v>
      </c>
      <c r="E689" s="52" t="s">
        <v>387</v>
      </c>
      <c r="F689" s="52" t="s">
        <v>1926</v>
      </c>
      <c r="G689" s="52" t="s">
        <v>60</v>
      </c>
      <c r="H689" s="54">
        <v>46113</v>
      </c>
      <c r="I689" s="52" t="s">
        <v>1836</v>
      </c>
      <c r="J689" s="52" t="s">
        <v>1886</v>
      </c>
      <c r="K689" s="52" t="s">
        <v>1927</v>
      </c>
      <c r="L689" s="52" t="s">
        <v>1928</v>
      </c>
      <c r="M689" s="52" t="s">
        <v>29</v>
      </c>
      <c r="N689" s="53">
        <v>-133530.98000000001</v>
      </c>
      <c r="O689" s="53">
        <v>-133530.98000000001</v>
      </c>
      <c r="P689" s="52" t="s">
        <v>434</v>
      </c>
      <c r="Q689" s="52" t="s">
        <v>1929</v>
      </c>
      <c r="R689" s="52" t="s">
        <v>64</v>
      </c>
      <c r="S689" s="52" t="s">
        <v>1886</v>
      </c>
    </row>
    <row r="690" spans="1:19" hidden="1" outlineLevel="2" x14ac:dyDescent="0.45">
      <c r="A690" t="s">
        <v>16</v>
      </c>
      <c r="B690" s="52" t="s">
        <v>57</v>
      </c>
      <c r="C690" s="52" t="s">
        <v>349</v>
      </c>
      <c r="D690" s="52" t="s">
        <v>350</v>
      </c>
      <c r="E690" s="52" t="s">
        <v>387</v>
      </c>
      <c r="F690" s="52" t="s">
        <v>1930</v>
      </c>
      <c r="G690" s="52" t="s">
        <v>60</v>
      </c>
      <c r="H690" s="54">
        <v>46113</v>
      </c>
      <c r="I690" s="52" t="s">
        <v>1836</v>
      </c>
      <c r="J690" s="52" t="s">
        <v>1886</v>
      </c>
      <c r="K690" s="52" t="s">
        <v>1927</v>
      </c>
      <c r="L690" s="52" t="s">
        <v>1928</v>
      </c>
      <c r="M690" s="52" t="s">
        <v>29</v>
      </c>
      <c r="N690" s="53">
        <v>-7661.62</v>
      </c>
      <c r="O690" s="53">
        <v>-7661.62</v>
      </c>
      <c r="P690" s="52" t="s">
        <v>434</v>
      </c>
      <c r="Q690" s="52" t="s">
        <v>1931</v>
      </c>
      <c r="R690" s="52" t="s">
        <v>64</v>
      </c>
      <c r="S690" s="52" t="s">
        <v>1886</v>
      </c>
    </row>
    <row r="691" spans="1:19" hidden="1" outlineLevel="2" x14ac:dyDescent="0.45">
      <c r="A691" t="s">
        <v>16</v>
      </c>
      <c r="B691" s="52" t="s">
        <v>57</v>
      </c>
      <c r="C691" s="52" t="s">
        <v>438</v>
      </c>
      <c r="D691" s="52" t="s">
        <v>439</v>
      </c>
      <c r="E691" s="52" t="s">
        <v>387</v>
      </c>
      <c r="F691" s="52" t="s">
        <v>1930</v>
      </c>
      <c r="G691" s="52" t="s">
        <v>60</v>
      </c>
      <c r="H691" s="54">
        <v>46113</v>
      </c>
      <c r="I691" s="52" t="s">
        <v>1836</v>
      </c>
      <c r="J691" s="52" t="s">
        <v>1886</v>
      </c>
      <c r="K691" s="52" t="s">
        <v>1932</v>
      </c>
      <c r="L691" s="52" t="s">
        <v>1933</v>
      </c>
      <c r="M691" s="52" t="s">
        <v>29</v>
      </c>
      <c r="N691" s="53">
        <v>-17810.939999999999</v>
      </c>
      <c r="O691" s="53">
        <v>-17810.939999999999</v>
      </c>
      <c r="P691" s="52" t="s">
        <v>434</v>
      </c>
      <c r="Q691" s="52" t="s">
        <v>1931</v>
      </c>
      <c r="R691" s="52" t="s">
        <v>64</v>
      </c>
      <c r="S691" s="52" t="s">
        <v>1886</v>
      </c>
    </row>
    <row r="692" spans="1:19" hidden="1" outlineLevel="2" x14ac:dyDescent="0.45">
      <c r="A692" t="s">
        <v>16</v>
      </c>
      <c r="B692" s="52" t="s">
        <v>57</v>
      </c>
      <c r="C692" s="52" t="s">
        <v>442</v>
      </c>
      <c r="D692" s="52" t="s">
        <v>443</v>
      </c>
      <c r="E692" s="52" t="s">
        <v>387</v>
      </c>
      <c r="F692" s="52" t="s">
        <v>1930</v>
      </c>
      <c r="G692" s="52" t="s">
        <v>60</v>
      </c>
      <c r="H692" s="54">
        <v>46113</v>
      </c>
      <c r="I692" s="52" t="s">
        <v>1836</v>
      </c>
      <c r="J692" s="52" t="s">
        <v>1886</v>
      </c>
      <c r="K692" s="52" t="s">
        <v>1934</v>
      </c>
      <c r="L692" s="52" t="s">
        <v>1935</v>
      </c>
      <c r="M692" s="52" t="s">
        <v>29</v>
      </c>
      <c r="N692" s="53">
        <v>-20004.14</v>
      </c>
      <c r="O692" s="53">
        <v>-20004.14</v>
      </c>
      <c r="P692" s="52" t="s">
        <v>434</v>
      </c>
      <c r="Q692" s="52" t="s">
        <v>1931</v>
      </c>
      <c r="R692" s="52" t="s">
        <v>64</v>
      </c>
      <c r="S692" s="52" t="s">
        <v>1886</v>
      </c>
    </row>
    <row r="693" spans="1:19" hidden="1" outlineLevel="2" x14ac:dyDescent="0.45">
      <c r="A693" t="s">
        <v>16</v>
      </c>
      <c r="B693" s="52" t="s">
        <v>57</v>
      </c>
      <c r="C693" s="52" t="s">
        <v>427</v>
      </c>
      <c r="D693" s="52" t="s">
        <v>428</v>
      </c>
      <c r="E693" s="52" t="s">
        <v>387</v>
      </c>
      <c r="F693" s="52" t="s">
        <v>1930</v>
      </c>
      <c r="G693" s="52" t="s">
        <v>60</v>
      </c>
      <c r="H693" s="54">
        <v>46113</v>
      </c>
      <c r="I693" s="52" t="s">
        <v>1836</v>
      </c>
      <c r="J693" s="52" t="s">
        <v>1886</v>
      </c>
      <c r="K693" s="52" t="s">
        <v>1936</v>
      </c>
      <c r="L693" s="52" t="s">
        <v>1937</v>
      </c>
      <c r="M693" s="52" t="s">
        <v>29</v>
      </c>
      <c r="N693" s="53">
        <v>-10313.81</v>
      </c>
      <c r="O693" s="53">
        <v>-10313.81</v>
      </c>
      <c r="P693" s="52" t="s">
        <v>434</v>
      </c>
      <c r="Q693" s="52" t="s">
        <v>1931</v>
      </c>
      <c r="R693" s="52" t="s">
        <v>64</v>
      </c>
      <c r="S693" s="52" t="s">
        <v>1886</v>
      </c>
    </row>
    <row r="694" spans="1:19" hidden="1" outlineLevel="2" x14ac:dyDescent="0.45">
      <c r="A694" t="s">
        <v>16</v>
      </c>
      <c r="B694" s="52" t="s">
        <v>57</v>
      </c>
      <c r="C694" s="52" t="s">
        <v>1938</v>
      </c>
      <c r="D694" s="52" t="s">
        <v>1939</v>
      </c>
      <c r="E694" s="52" t="s">
        <v>387</v>
      </c>
      <c r="F694" s="52" t="s">
        <v>1940</v>
      </c>
      <c r="G694" s="52" t="s">
        <v>60</v>
      </c>
      <c r="H694" s="54">
        <v>46113</v>
      </c>
      <c r="I694" s="52" t="s">
        <v>1836</v>
      </c>
      <c r="J694" s="52" t="s">
        <v>1941</v>
      </c>
      <c r="K694" s="52" t="s">
        <v>1942</v>
      </c>
      <c r="L694" s="52" t="s">
        <v>1942</v>
      </c>
      <c r="M694" s="52" t="s">
        <v>29</v>
      </c>
      <c r="N694" s="53">
        <v>-10000</v>
      </c>
      <c r="O694" s="53">
        <v>-10000</v>
      </c>
      <c r="P694" s="52" t="s">
        <v>1943</v>
      </c>
      <c r="Q694" s="52" t="s">
        <v>1944</v>
      </c>
      <c r="R694" s="52" t="s">
        <v>64</v>
      </c>
      <c r="S694" s="52" t="s">
        <v>1941</v>
      </c>
    </row>
    <row r="695" spans="1:19" outlineLevel="1" collapsed="1" x14ac:dyDescent="0.45">
      <c r="A695" s="1" t="s">
        <v>552</v>
      </c>
      <c r="B695" s="52"/>
      <c r="C695" s="52"/>
      <c r="D695" s="52"/>
      <c r="E695" s="52"/>
      <c r="F695" s="52"/>
      <c r="G695" s="52"/>
      <c r="H695" s="54"/>
      <c r="I695" s="52"/>
      <c r="J695" s="52"/>
      <c r="K695" s="52"/>
      <c r="L695" s="52"/>
      <c r="M695" s="52"/>
      <c r="N695" s="53"/>
      <c r="O695" s="53">
        <f>SUBTOTAL(9,O680:O694)</f>
        <v>-275321.89</v>
      </c>
      <c r="P695" s="52"/>
      <c r="Q695" s="52"/>
      <c r="R695" s="52"/>
      <c r="S695" s="52"/>
    </row>
    <row r="696" spans="1:19" hidden="1" outlineLevel="2" x14ac:dyDescent="0.45">
      <c r="A696" t="s">
        <v>17</v>
      </c>
      <c r="B696" s="52" t="s">
        <v>57</v>
      </c>
      <c r="C696" s="52" t="s">
        <v>349</v>
      </c>
      <c r="D696" s="52" t="s">
        <v>350</v>
      </c>
      <c r="E696" s="52" t="s">
        <v>387</v>
      </c>
      <c r="F696" s="52" t="s">
        <v>1945</v>
      </c>
      <c r="G696" s="52" t="s">
        <v>60</v>
      </c>
      <c r="H696" s="54">
        <v>46113</v>
      </c>
      <c r="I696" s="52" t="s">
        <v>1836</v>
      </c>
      <c r="J696" s="52" t="s">
        <v>1880</v>
      </c>
      <c r="K696" s="52" t="s">
        <v>1946</v>
      </c>
      <c r="L696" s="52" t="s">
        <v>1946</v>
      </c>
      <c r="M696" s="52" t="s">
        <v>29</v>
      </c>
      <c r="N696" s="53">
        <v>-43.5</v>
      </c>
      <c r="O696" s="53">
        <v>-43.5</v>
      </c>
      <c r="P696" s="52" t="s">
        <v>1947</v>
      </c>
      <c r="Q696" s="52" t="s">
        <v>1948</v>
      </c>
      <c r="R696" s="52" t="s">
        <v>64</v>
      </c>
      <c r="S696" s="52" t="s">
        <v>1880</v>
      </c>
    </row>
    <row r="697" spans="1:19" hidden="1" outlineLevel="2" x14ac:dyDescent="0.45">
      <c r="A697" t="s">
        <v>17</v>
      </c>
      <c r="B697" s="52" t="s">
        <v>57</v>
      </c>
      <c r="C697" s="52" t="s">
        <v>349</v>
      </c>
      <c r="D697" s="52" t="s">
        <v>350</v>
      </c>
      <c r="E697" s="52" t="s">
        <v>387</v>
      </c>
      <c r="F697" s="52" t="s">
        <v>1949</v>
      </c>
      <c r="G697" s="52" t="s">
        <v>60</v>
      </c>
      <c r="H697" s="54">
        <v>46113</v>
      </c>
      <c r="I697" s="52" t="s">
        <v>1836</v>
      </c>
      <c r="J697" s="52" t="s">
        <v>1950</v>
      </c>
      <c r="K697" s="52" t="s">
        <v>1951</v>
      </c>
      <c r="L697" s="52" t="s">
        <v>1951</v>
      </c>
      <c r="M697" s="52" t="s">
        <v>29</v>
      </c>
      <c r="N697" s="53">
        <v>-40</v>
      </c>
      <c r="O697" s="53">
        <v>-40</v>
      </c>
      <c r="P697" s="52" t="s">
        <v>1952</v>
      </c>
      <c r="Q697" s="52" t="s">
        <v>1953</v>
      </c>
      <c r="R697" s="52" t="s">
        <v>64</v>
      </c>
      <c r="S697" s="52" t="s">
        <v>1950</v>
      </c>
    </row>
    <row r="698" spans="1:19" hidden="1" outlineLevel="2" x14ac:dyDescent="0.45">
      <c r="A698" t="s">
        <v>17</v>
      </c>
      <c r="B698" s="52" t="s">
        <v>66</v>
      </c>
      <c r="C698" s="52" t="s">
        <v>349</v>
      </c>
      <c r="D698" s="52" t="s">
        <v>350</v>
      </c>
      <c r="E698" s="52" t="s">
        <v>387</v>
      </c>
      <c r="F698" s="52" t="s">
        <v>1954</v>
      </c>
      <c r="G698" s="52" t="s">
        <v>60</v>
      </c>
      <c r="H698" s="54">
        <v>46113</v>
      </c>
      <c r="I698" s="52" t="s">
        <v>1836</v>
      </c>
      <c r="J698" s="52" t="s">
        <v>1880</v>
      </c>
      <c r="K698" s="52" t="s">
        <v>1955</v>
      </c>
      <c r="L698" s="52" t="s">
        <v>1955</v>
      </c>
      <c r="M698" s="52" t="s">
        <v>67</v>
      </c>
      <c r="N698" s="53">
        <v>-15.3</v>
      </c>
      <c r="O698" s="53">
        <v>-53.99</v>
      </c>
      <c r="P698" s="52" t="s">
        <v>1956</v>
      </c>
      <c r="Q698" s="52" t="s">
        <v>1957</v>
      </c>
      <c r="R698" s="52" t="s">
        <v>64</v>
      </c>
      <c r="S698" s="52" t="s">
        <v>1880</v>
      </c>
    </row>
    <row r="699" spans="1:19" hidden="1" outlineLevel="2" x14ac:dyDescent="0.45">
      <c r="A699" t="s">
        <v>17</v>
      </c>
      <c r="B699" s="52" t="s">
        <v>57</v>
      </c>
      <c r="C699" s="52" t="s">
        <v>349</v>
      </c>
      <c r="D699" s="52" t="s">
        <v>350</v>
      </c>
      <c r="E699" s="52" t="s">
        <v>387</v>
      </c>
      <c r="F699" s="52" t="s">
        <v>1958</v>
      </c>
      <c r="G699" s="52" t="s">
        <v>60</v>
      </c>
      <c r="H699" s="54">
        <v>46113</v>
      </c>
      <c r="I699" s="52" t="s">
        <v>1836</v>
      </c>
      <c r="J699" s="52" t="s">
        <v>1908</v>
      </c>
      <c r="K699" s="52" t="s">
        <v>1959</v>
      </c>
      <c r="L699" s="52" t="s">
        <v>1959</v>
      </c>
      <c r="M699" s="52" t="s">
        <v>29</v>
      </c>
      <c r="N699" s="53">
        <v>-12.9</v>
      </c>
      <c r="O699" s="53">
        <v>-12.9</v>
      </c>
      <c r="P699" s="52" t="s">
        <v>1960</v>
      </c>
      <c r="Q699" s="52" t="s">
        <v>1961</v>
      </c>
      <c r="R699" s="52" t="s">
        <v>64</v>
      </c>
      <c r="S699" s="52" t="s">
        <v>1908</v>
      </c>
    </row>
    <row r="700" spans="1:19" hidden="1" outlineLevel="2" x14ac:dyDescent="0.45">
      <c r="A700" t="s">
        <v>17</v>
      </c>
      <c r="B700" s="52" t="s">
        <v>57</v>
      </c>
      <c r="C700" s="52" t="s">
        <v>349</v>
      </c>
      <c r="D700" s="52" t="s">
        <v>350</v>
      </c>
      <c r="E700" s="52" t="s">
        <v>387</v>
      </c>
      <c r="F700" s="52" t="s">
        <v>1962</v>
      </c>
      <c r="G700" s="52" t="s">
        <v>60</v>
      </c>
      <c r="H700" s="54">
        <v>46113</v>
      </c>
      <c r="I700" s="52" t="s">
        <v>1836</v>
      </c>
      <c r="J700" s="52" t="s">
        <v>1886</v>
      </c>
      <c r="K700" s="52" t="s">
        <v>1963</v>
      </c>
      <c r="L700" s="52" t="s">
        <v>1963</v>
      </c>
      <c r="M700" s="52" t="s">
        <v>29</v>
      </c>
      <c r="N700" s="53">
        <v>-4.3</v>
      </c>
      <c r="O700" s="53">
        <v>-4.3</v>
      </c>
      <c r="P700" s="52" t="s">
        <v>1964</v>
      </c>
      <c r="Q700" s="52" t="s">
        <v>1965</v>
      </c>
      <c r="R700" s="52" t="s">
        <v>64</v>
      </c>
      <c r="S700" s="52" t="s">
        <v>1886</v>
      </c>
    </row>
    <row r="701" spans="1:19" hidden="1" outlineLevel="2" x14ac:dyDescent="0.45">
      <c r="A701" t="s">
        <v>17</v>
      </c>
      <c r="B701" s="52" t="s">
        <v>57</v>
      </c>
      <c r="C701" s="52" t="s">
        <v>349</v>
      </c>
      <c r="D701" s="52" t="s">
        <v>350</v>
      </c>
      <c r="E701" s="52" t="s">
        <v>387</v>
      </c>
      <c r="F701" s="52" t="s">
        <v>1966</v>
      </c>
      <c r="G701" s="52" t="s">
        <v>60</v>
      </c>
      <c r="H701" s="54">
        <v>46113</v>
      </c>
      <c r="I701" s="52" t="s">
        <v>1836</v>
      </c>
      <c r="J701" s="52" t="s">
        <v>1865</v>
      </c>
      <c r="K701" s="52" t="s">
        <v>1967</v>
      </c>
      <c r="L701" s="52" t="s">
        <v>1967</v>
      </c>
      <c r="M701" s="52" t="s">
        <v>29</v>
      </c>
      <c r="N701" s="53">
        <v>-4.3</v>
      </c>
      <c r="O701" s="53">
        <v>-4.3</v>
      </c>
      <c r="P701" s="52" t="s">
        <v>1968</v>
      </c>
      <c r="Q701" s="52" t="s">
        <v>1969</v>
      </c>
      <c r="R701" s="52" t="s">
        <v>64</v>
      </c>
      <c r="S701" s="52" t="s">
        <v>1865</v>
      </c>
    </row>
    <row r="702" spans="1:19" hidden="1" outlineLevel="2" x14ac:dyDescent="0.45">
      <c r="A702" t="s">
        <v>17</v>
      </c>
      <c r="B702" s="52" t="s">
        <v>57</v>
      </c>
      <c r="C702" s="52" t="s">
        <v>349</v>
      </c>
      <c r="D702" s="52" t="s">
        <v>350</v>
      </c>
      <c r="E702" s="52" t="s">
        <v>387</v>
      </c>
      <c r="F702" s="52" t="s">
        <v>1970</v>
      </c>
      <c r="G702" s="52" t="s">
        <v>60</v>
      </c>
      <c r="H702" s="54">
        <v>46113</v>
      </c>
      <c r="I702" s="52" t="s">
        <v>1836</v>
      </c>
      <c r="J702" s="52" t="s">
        <v>1891</v>
      </c>
      <c r="K702" s="52" t="s">
        <v>1971</v>
      </c>
      <c r="L702" s="52" t="s">
        <v>1971</v>
      </c>
      <c r="M702" s="52" t="s">
        <v>29</v>
      </c>
      <c r="N702" s="53">
        <v>-21.5</v>
      </c>
      <c r="O702" s="53">
        <v>-21.5</v>
      </c>
      <c r="P702" s="52" t="s">
        <v>1972</v>
      </c>
      <c r="Q702" s="52" t="s">
        <v>1973</v>
      </c>
      <c r="R702" s="52" t="s">
        <v>64</v>
      </c>
      <c r="S702" s="52" t="s">
        <v>1891</v>
      </c>
    </row>
    <row r="703" spans="1:19" hidden="1" outlineLevel="2" x14ac:dyDescent="0.45">
      <c r="A703" t="s">
        <v>17</v>
      </c>
      <c r="B703" s="52" t="s">
        <v>66</v>
      </c>
      <c r="C703" s="52" t="s">
        <v>349</v>
      </c>
      <c r="D703" s="52" t="s">
        <v>350</v>
      </c>
      <c r="E703" s="52" t="s">
        <v>387</v>
      </c>
      <c r="F703" s="52" t="s">
        <v>1974</v>
      </c>
      <c r="G703" s="52" t="s">
        <v>60</v>
      </c>
      <c r="H703" s="54">
        <v>46113</v>
      </c>
      <c r="I703" s="52" t="s">
        <v>1836</v>
      </c>
      <c r="J703" s="52" t="s">
        <v>1975</v>
      </c>
      <c r="K703" s="52" t="s">
        <v>1976</v>
      </c>
      <c r="L703" s="52" t="s">
        <v>1976</v>
      </c>
      <c r="M703" s="52" t="s">
        <v>67</v>
      </c>
      <c r="N703" s="53">
        <v>-1.53</v>
      </c>
      <c r="O703" s="53">
        <v>-5.17</v>
      </c>
      <c r="P703" s="52" t="s">
        <v>1977</v>
      </c>
      <c r="Q703" s="52" t="s">
        <v>1978</v>
      </c>
      <c r="R703" s="52" t="s">
        <v>64</v>
      </c>
      <c r="S703" s="52" t="s">
        <v>1975</v>
      </c>
    </row>
    <row r="704" spans="1:19" hidden="1" outlineLevel="2" x14ac:dyDescent="0.45">
      <c r="A704" t="s">
        <v>17</v>
      </c>
      <c r="B704" s="52" t="s">
        <v>66</v>
      </c>
      <c r="C704" s="52" t="s">
        <v>349</v>
      </c>
      <c r="D704" s="52" t="s">
        <v>350</v>
      </c>
      <c r="E704" s="52" t="s">
        <v>387</v>
      </c>
      <c r="F704" s="52" t="s">
        <v>1979</v>
      </c>
      <c r="G704" s="52" t="s">
        <v>60</v>
      </c>
      <c r="H704" s="54">
        <v>46113</v>
      </c>
      <c r="I704" s="52" t="s">
        <v>1836</v>
      </c>
      <c r="J704" s="52" t="s">
        <v>1891</v>
      </c>
      <c r="K704" s="52" t="s">
        <v>1980</v>
      </c>
      <c r="L704" s="52" t="s">
        <v>1980</v>
      </c>
      <c r="M704" s="52" t="s">
        <v>67</v>
      </c>
      <c r="N704" s="53">
        <v>-3.06</v>
      </c>
      <c r="O704" s="53">
        <v>-10.54</v>
      </c>
      <c r="P704" s="52" t="s">
        <v>1981</v>
      </c>
      <c r="Q704" s="52" t="s">
        <v>1982</v>
      </c>
      <c r="R704" s="52" t="s">
        <v>64</v>
      </c>
      <c r="S704" s="52" t="s">
        <v>1891</v>
      </c>
    </row>
    <row r="705" spans="1:19" hidden="1" outlineLevel="2" x14ac:dyDescent="0.45">
      <c r="A705" t="s">
        <v>17</v>
      </c>
      <c r="B705" s="52" t="s">
        <v>66</v>
      </c>
      <c r="C705" s="52" t="s">
        <v>349</v>
      </c>
      <c r="D705" s="52" t="s">
        <v>350</v>
      </c>
      <c r="E705" s="52" t="s">
        <v>387</v>
      </c>
      <c r="F705" s="52" t="s">
        <v>1983</v>
      </c>
      <c r="G705" s="52" t="s">
        <v>60</v>
      </c>
      <c r="H705" s="54">
        <v>46113</v>
      </c>
      <c r="I705" s="52" t="s">
        <v>1836</v>
      </c>
      <c r="J705" s="52" t="s">
        <v>1880</v>
      </c>
      <c r="K705" s="52" t="s">
        <v>1984</v>
      </c>
      <c r="L705" s="52" t="s">
        <v>1984</v>
      </c>
      <c r="M705" s="52" t="s">
        <v>67</v>
      </c>
      <c r="N705" s="53">
        <v>-1.53</v>
      </c>
      <c r="O705" s="53">
        <v>-5.4</v>
      </c>
      <c r="P705" s="52" t="s">
        <v>1985</v>
      </c>
      <c r="Q705" s="52" t="s">
        <v>1986</v>
      </c>
      <c r="R705" s="52" t="s">
        <v>64</v>
      </c>
      <c r="S705" s="52" t="s">
        <v>1880</v>
      </c>
    </row>
    <row r="706" spans="1:19" hidden="1" outlineLevel="2" x14ac:dyDescent="0.45">
      <c r="A706" t="s">
        <v>17</v>
      </c>
      <c r="B706" s="52" t="s">
        <v>57</v>
      </c>
      <c r="C706" s="52" t="s">
        <v>349</v>
      </c>
      <c r="D706" s="52" t="s">
        <v>350</v>
      </c>
      <c r="E706" s="52" t="s">
        <v>387</v>
      </c>
      <c r="F706" s="52" t="s">
        <v>1987</v>
      </c>
      <c r="G706" s="52" t="s">
        <v>60</v>
      </c>
      <c r="H706" s="54">
        <v>46113</v>
      </c>
      <c r="I706" s="52" t="s">
        <v>1836</v>
      </c>
      <c r="J706" s="52" t="s">
        <v>1988</v>
      </c>
      <c r="K706" s="52" t="s">
        <v>1989</v>
      </c>
      <c r="L706" s="52" t="s">
        <v>1989</v>
      </c>
      <c r="M706" s="52" t="s">
        <v>29</v>
      </c>
      <c r="N706" s="53">
        <v>-4.3</v>
      </c>
      <c r="O706" s="53">
        <v>-4.3</v>
      </c>
      <c r="P706" s="52" t="s">
        <v>1990</v>
      </c>
      <c r="Q706" s="52" t="s">
        <v>1991</v>
      </c>
      <c r="R706" s="52" t="s">
        <v>64</v>
      </c>
      <c r="S706" s="52" t="s">
        <v>1988</v>
      </c>
    </row>
    <row r="707" spans="1:19" hidden="1" outlineLevel="2" x14ac:dyDescent="0.45">
      <c r="A707" t="s">
        <v>17</v>
      </c>
      <c r="B707" s="52" t="s">
        <v>66</v>
      </c>
      <c r="C707" s="52" t="s">
        <v>349</v>
      </c>
      <c r="D707" s="52" t="s">
        <v>350</v>
      </c>
      <c r="E707" s="52" t="s">
        <v>387</v>
      </c>
      <c r="F707" s="52" t="s">
        <v>1992</v>
      </c>
      <c r="G707" s="52" t="s">
        <v>60</v>
      </c>
      <c r="H707" s="54">
        <v>46113</v>
      </c>
      <c r="I707" s="52" t="s">
        <v>1836</v>
      </c>
      <c r="J707" s="52" t="s">
        <v>1908</v>
      </c>
      <c r="K707" s="52" t="s">
        <v>1993</v>
      </c>
      <c r="L707" s="52" t="s">
        <v>1993</v>
      </c>
      <c r="M707" s="52" t="s">
        <v>67</v>
      </c>
      <c r="N707" s="53">
        <v>-1.53</v>
      </c>
      <c r="O707" s="53">
        <v>-5.28</v>
      </c>
      <c r="P707" s="52" t="s">
        <v>1994</v>
      </c>
      <c r="Q707" s="52" t="s">
        <v>1995</v>
      </c>
      <c r="R707" s="52" t="s">
        <v>64</v>
      </c>
      <c r="S707" s="52" t="s">
        <v>1908</v>
      </c>
    </row>
    <row r="708" spans="1:19" hidden="1" outlineLevel="2" x14ac:dyDescent="0.45">
      <c r="A708" t="s">
        <v>17</v>
      </c>
      <c r="B708" s="52" t="s">
        <v>66</v>
      </c>
      <c r="C708" s="52" t="s">
        <v>349</v>
      </c>
      <c r="D708" s="52" t="s">
        <v>350</v>
      </c>
      <c r="E708" s="52" t="s">
        <v>387</v>
      </c>
      <c r="F708" s="52" t="s">
        <v>1996</v>
      </c>
      <c r="G708" s="52" t="s">
        <v>60</v>
      </c>
      <c r="H708" s="54">
        <v>46113</v>
      </c>
      <c r="I708" s="52" t="s">
        <v>1836</v>
      </c>
      <c r="J708" s="52" t="s">
        <v>1988</v>
      </c>
      <c r="K708" s="52" t="s">
        <v>1997</v>
      </c>
      <c r="L708" s="52" t="s">
        <v>1997</v>
      </c>
      <c r="M708" s="52" t="s">
        <v>67</v>
      </c>
      <c r="N708" s="53">
        <v>-1.53</v>
      </c>
      <c r="O708" s="53">
        <v>-5.2</v>
      </c>
      <c r="P708" s="52" t="s">
        <v>1998</v>
      </c>
      <c r="Q708" s="52" t="s">
        <v>1999</v>
      </c>
      <c r="R708" s="52" t="s">
        <v>64</v>
      </c>
      <c r="S708" s="52" t="s">
        <v>1988</v>
      </c>
    </row>
    <row r="709" spans="1:19" hidden="1" outlineLevel="2" x14ac:dyDescent="0.45">
      <c r="A709" t="s">
        <v>17</v>
      </c>
      <c r="B709" s="52" t="s">
        <v>57</v>
      </c>
      <c r="C709" s="52" t="s">
        <v>349</v>
      </c>
      <c r="D709" s="52" t="s">
        <v>350</v>
      </c>
      <c r="E709" s="52" t="s">
        <v>387</v>
      </c>
      <c r="F709" s="52" t="s">
        <v>2000</v>
      </c>
      <c r="G709" s="52" t="s">
        <v>60</v>
      </c>
      <c r="H709" s="54">
        <v>46113</v>
      </c>
      <c r="I709" s="52" t="s">
        <v>1836</v>
      </c>
      <c r="J709" s="52" t="s">
        <v>2001</v>
      </c>
      <c r="K709" s="52" t="s">
        <v>2002</v>
      </c>
      <c r="L709" s="52" t="s">
        <v>2002</v>
      </c>
      <c r="M709" s="52" t="s">
        <v>29</v>
      </c>
      <c r="N709" s="53">
        <v>-8.6</v>
      </c>
      <c r="O709" s="53">
        <v>-8.6</v>
      </c>
      <c r="P709" s="52" t="s">
        <v>2003</v>
      </c>
      <c r="Q709" s="52" t="s">
        <v>2004</v>
      </c>
      <c r="R709" s="52" t="s">
        <v>64</v>
      </c>
      <c r="S709" s="52" t="s">
        <v>2001</v>
      </c>
    </row>
    <row r="710" spans="1:19" hidden="1" outlineLevel="2" x14ac:dyDescent="0.45">
      <c r="A710" t="s">
        <v>17</v>
      </c>
      <c r="B710" s="52" t="s">
        <v>66</v>
      </c>
      <c r="C710" s="52" t="s">
        <v>349</v>
      </c>
      <c r="D710" s="52" t="s">
        <v>350</v>
      </c>
      <c r="E710" s="52" t="s">
        <v>387</v>
      </c>
      <c r="F710" s="52" t="s">
        <v>2005</v>
      </c>
      <c r="G710" s="52" t="s">
        <v>60</v>
      </c>
      <c r="H710" s="54">
        <v>46113</v>
      </c>
      <c r="I710" s="52" t="s">
        <v>1836</v>
      </c>
      <c r="J710" s="52" t="s">
        <v>1870</v>
      </c>
      <c r="K710" s="52" t="s">
        <v>2006</v>
      </c>
      <c r="L710" s="52" t="s">
        <v>2006</v>
      </c>
      <c r="M710" s="52" t="s">
        <v>67</v>
      </c>
      <c r="N710" s="53">
        <v>-6.12</v>
      </c>
      <c r="O710" s="53">
        <v>-21.39</v>
      </c>
      <c r="P710" s="52" t="s">
        <v>2007</v>
      </c>
      <c r="Q710" s="52" t="s">
        <v>2008</v>
      </c>
      <c r="R710" s="52" t="s">
        <v>64</v>
      </c>
      <c r="S710" s="52" t="s">
        <v>1870</v>
      </c>
    </row>
    <row r="711" spans="1:19" hidden="1" outlineLevel="2" x14ac:dyDescent="0.45">
      <c r="A711" t="s">
        <v>17</v>
      </c>
      <c r="B711" s="52" t="s">
        <v>57</v>
      </c>
      <c r="C711" s="52" t="s">
        <v>349</v>
      </c>
      <c r="D711" s="52" t="s">
        <v>350</v>
      </c>
      <c r="E711" s="52" t="s">
        <v>387</v>
      </c>
      <c r="F711" s="52" t="s">
        <v>2009</v>
      </c>
      <c r="G711" s="52" t="s">
        <v>60</v>
      </c>
      <c r="H711" s="54">
        <v>46113</v>
      </c>
      <c r="I711" s="52" t="s">
        <v>1836</v>
      </c>
      <c r="J711" s="52" t="s">
        <v>1941</v>
      </c>
      <c r="K711" s="52" t="s">
        <v>2010</v>
      </c>
      <c r="L711" s="52" t="s">
        <v>2010</v>
      </c>
      <c r="M711" s="52" t="s">
        <v>29</v>
      </c>
      <c r="N711" s="53">
        <v>-8.6</v>
      </c>
      <c r="O711" s="53">
        <v>-8.6</v>
      </c>
      <c r="P711" s="52" t="s">
        <v>2011</v>
      </c>
      <c r="Q711" s="52" t="s">
        <v>2012</v>
      </c>
      <c r="R711" s="52" t="s">
        <v>64</v>
      </c>
      <c r="S711" s="52" t="s">
        <v>1941</v>
      </c>
    </row>
    <row r="712" spans="1:19" hidden="1" outlineLevel="2" x14ac:dyDescent="0.45">
      <c r="A712" t="s">
        <v>17</v>
      </c>
      <c r="B712" s="52" t="s">
        <v>57</v>
      </c>
      <c r="C712" s="52" t="s">
        <v>349</v>
      </c>
      <c r="D712" s="52" t="s">
        <v>350</v>
      </c>
      <c r="E712" s="52" t="s">
        <v>387</v>
      </c>
      <c r="F712" s="52" t="s">
        <v>2013</v>
      </c>
      <c r="G712" s="52" t="s">
        <v>60</v>
      </c>
      <c r="H712" s="54">
        <v>46113</v>
      </c>
      <c r="I712" s="52" t="s">
        <v>1836</v>
      </c>
      <c r="J712" s="52" t="s">
        <v>1975</v>
      </c>
      <c r="K712" s="52" t="s">
        <v>2014</v>
      </c>
      <c r="L712" s="52" t="s">
        <v>2014</v>
      </c>
      <c r="M712" s="52" t="s">
        <v>29</v>
      </c>
      <c r="N712" s="53">
        <v>-12.9</v>
      </c>
      <c r="O712" s="53">
        <v>-12.9</v>
      </c>
      <c r="P712" s="52" t="s">
        <v>2015</v>
      </c>
      <c r="Q712" s="52" t="s">
        <v>2016</v>
      </c>
      <c r="R712" s="52" t="s">
        <v>64</v>
      </c>
      <c r="S712" s="52" t="s">
        <v>1975</v>
      </c>
    </row>
    <row r="713" spans="1:19" hidden="1" outlineLevel="2" x14ac:dyDescent="0.45">
      <c r="A713" t="s">
        <v>17</v>
      </c>
      <c r="B713" s="52" t="s">
        <v>57</v>
      </c>
      <c r="C713" s="52" t="s">
        <v>349</v>
      </c>
      <c r="D713" s="52" t="s">
        <v>350</v>
      </c>
      <c r="E713" s="52" t="s">
        <v>387</v>
      </c>
      <c r="F713" s="52" t="s">
        <v>2017</v>
      </c>
      <c r="G713" s="52" t="s">
        <v>60</v>
      </c>
      <c r="H713" s="54">
        <v>46113</v>
      </c>
      <c r="I713" s="52" t="s">
        <v>1836</v>
      </c>
      <c r="J713" s="52" t="s">
        <v>1886</v>
      </c>
      <c r="K713" s="52" t="s">
        <v>2018</v>
      </c>
      <c r="L713" s="52" t="s">
        <v>2018</v>
      </c>
      <c r="M713" s="52" t="s">
        <v>29</v>
      </c>
      <c r="N713" s="53">
        <v>-23.9</v>
      </c>
      <c r="O713" s="53">
        <v>-23.9</v>
      </c>
      <c r="P713" s="52" t="s">
        <v>2019</v>
      </c>
      <c r="Q713" s="52" t="s">
        <v>2020</v>
      </c>
      <c r="R713" s="52" t="s">
        <v>64</v>
      </c>
      <c r="S713" s="52" t="s">
        <v>1886</v>
      </c>
    </row>
    <row r="714" spans="1:19" hidden="1" outlineLevel="2" x14ac:dyDescent="0.45">
      <c r="A714" t="s">
        <v>17</v>
      </c>
      <c r="B714" s="52" t="s">
        <v>57</v>
      </c>
      <c r="C714" s="52" t="s">
        <v>349</v>
      </c>
      <c r="D714" s="52" t="s">
        <v>350</v>
      </c>
      <c r="E714" s="52" t="s">
        <v>387</v>
      </c>
      <c r="F714" s="52" t="s">
        <v>2021</v>
      </c>
      <c r="G714" s="52" t="s">
        <v>60</v>
      </c>
      <c r="H714" s="54">
        <v>46113</v>
      </c>
      <c r="I714" s="52" t="s">
        <v>1836</v>
      </c>
      <c r="J714" s="52" t="s">
        <v>1988</v>
      </c>
      <c r="K714" s="52" t="s">
        <v>2022</v>
      </c>
      <c r="L714" s="52" t="s">
        <v>2022</v>
      </c>
      <c r="M714" s="52" t="s">
        <v>29</v>
      </c>
      <c r="N714" s="53">
        <v>-21</v>
      </c>
      <c r="O714" s="53">
        <v>-21</v>
      </c>
      <c r="P714" s="52" t="s">
        <v>2023</v>
      </c>
      <c r="Q714" s="52" t="s">
        <v>2024</v>
      </c>
      <c r="R714" s="52" t="s">
        <v>64</v>
      </c>
      <c r="S714" s="52" t="s">
        <v>1988</v>
      </c>
    </row>
    <row r="715" spans="1:19" hidden="1" outlineLevel="2" x14ac:dyDescent="0.45">
      <c r="A715" t="s">
        <v>17</v>
      </c>
      <c r="B715" s="52" t="s">
        <v>66</v>
      </c>
      <c r="C715" s="52" t="s">
        <v>349</v>
      </c>
      <c r="D715" s="52" t="s">
        <v>350</v>
      </c>
      <c r="E715" s="52" t="s">
        <v>387</v>
      </c>
      <c r="F715" s="52" t="s">
        <v>2025</v>
      </c>
      <c r="G715" s="52" t="s">
        <v>60</v>
      </c>
      <c r="H715" s="54">
        <v>46113</v>
      </c>
      <c r="I715" s="52" t="s">
        <v>1836</v>
      </c>
      <c r="J715" s="52" t="s">
        <v>1880</v>
      </c>
      <c r="K715" s="52" t="s">
        <v>2026</v>
      </c>
      <c r="L715" s="52" t="s">
        <v>2026</v>
      </c>
      <c r="M715" s="52" t="s">
        <v>67</v>
      </c>
      <c r="N715" s="53">
        <v>-3.95</v>
      </c>
      <c r="O715" s="53">
        <v>-13.94</v>
      </c>
      <c r="P715" s="52" t="s">
        <v>2027</v>
      </c>
      <c r="Q715" s="52" t="s">
        <v>2028</v>
      </c>
      <c r="R715" s="52" t="s">
        <v>64</v>
      </c>
      <c r="S715" s="52" t="s">
        <v>1880</v>
      </c>
    </row>
    <row r="716" spans="1:19" hidden="1" outlineLevel="2" x14ac:dyDescent="0.45">
      <c r="A716" t="s">
        <v>17</v>
      </c>
      <c r="B716" s="52" t="s">
        <v>57</v>
      </c>
      <c r="C716" s="52" t="s">
        <v>376</v>
      </c>
      <c r="D716" s="52" t="s">
        <v>377</v>
      </c>
      <c r="E716" s="52" t="s">
        <v>387</v>
      </c>
      <c r="F716" s="52" t="s">
        <v>2029</v>
      </c>
      <c r="G716" s="52" t="s">
        <v>60</v>
      </c>
      <c r="H716" s="54">
        <v>46113</v>
      </c>
      <c r="I716" s="52" t="s">
        <v>1836</v>
      </c>
      <c r="J716" s="52" t="s">
        <v>1950</v>
      </c>
      <c r="K716" s="52" t="s">
        <v>2030</v>
      </c>
      <c r="L716" s="52" t="s">
        <v>2030</v>
      </c>
      <c r="M716" s="52" t="s">
        <v>29</v>
      </c>
      <c r="N716" s="53">
        <v>-314244.7</v>
      </c>
      <c r="O716" s="53">
        <v>-314244.7</v>
      </c>
      <c r="P716" s="52" t="s">
        <v>2031</v>
      </c>
      <c r="Q716" s="52" t="s">
        <v>2032</v>
      </c>
      <c r="R716" s="55" t="s">
        <v>64</v>
      </c>
      <c r="S716" s="52" t="s">
        <v>1950</v>
      </c>
    </row>
    <row r="717" spans="1:19" hidden="1" outlineLevel="2" x14ac:dyDescent="0.45">
      <c r="A717" t="s">
        <v>17</v>
      </c>
      <c r="B717" s="52" t="s">
        <v>66</v>
      </c>
      <c r="C717" s="52" t="s">
        <v>376</v>
      </c>
      <c r="D717" s="52" t="s">
        <v>377</v>
      </c>
      <c r="E717" s="52" t="s">
        <v>387</v>
      </c>
      <c r="F717" s="52" t="s">
        <v>2033</v>
      </c>
      <c r="G717" s="52" t="s">
        <v>60</v>
      </c>
      <c r="H717" s="54">
        <v>46113</v>
      </c>
      <c r="I717" s="52" t="s">
        <v>1836</v>
      </c>
      <c r="J717" s="52" t="s">
        <v>1870</v>
      </c>
      <c r="K717" s="52" t="s">
        <v>2034</v>
      </c>
      <c r="L717" s="52" t="s">
        <v>2034</v>
      </c>
      <c r="M717" s="52" t="s">
        <v>67</v>
      </c>
      <c r="N717" s="53">
        <v>-15000</v>
      </c>
      <c r="O717" s="53">
        <v>-52425</v>
      </c>
      <c r="P717" s="52" t="s">
        <v>2035</v>
      </c>
      <c r="Q717" s="52" t="s">
        <v>2036</v>
      </c>
      <c r="R717" s="55" t="s">
        <v>64</v>
      </c>
      <c r="S717" s="52" t="s">
        <v>1870</v>
      </c>
    </row>
    <row r="718" spans="1:19" hidden="1" outlineLevel="2" x14ac:dyDescent="0.45">
      <c r="A718" t="s">
        <v>17</v>
      </c>
      <c r="B718" s="52" t="s">
        <v>66</v>
      </c>
      <c r="C718" s="52" t="s">
        <v>376</v>
      </c>
      <c r="D718" s="52" t="s">
        <v>377</v>
      </c>
      <c r="E718" s="52" t="s">
        <v>387</v>
      </c>
      <c r="F718" s="52" t="s">
        <v>2037</v>
      </c>
      <c r="G718" s="52" t="s">
        <v>60</v>
      </c>
      <c r="H718" s="54">
        <v>46113</v>
      </c>
      <c r="I718" s="52" t="s">
        <v>1836</v>
      </c>
      <c r="J718" s="52" t="s">
        <v>1870</v>
      </c>
      <c r="K718" s="52" t="s">
        <v>2038</v>
      </c>
      <c r="L718" s="52" t="s">
        <v>2038</v>
      </c>
      <c r="M718" s="52" t="s">
        <v>67</v>
      </c>
      <c r="N718" s="53">
        <v>-14584.8</v>
      </c>
      <c r="O718" s="53">
        <v>-50973.88</v>
      </c>
      <c r="P718" s="52" t="s">
        <v>2039</v>
      </c>
      <c r="Q718" s="52" t="s">
        <v>2040</v>
      </c>
      <c r="R718" s="55" t="s">
        <v>64</v>
      </c>
      <c r="S718" s="52" t="s">
        <v>1870</v>
      </c>
    </row>
    <row r="719" spans="1:19" hidden="1" outlineLevel="2" x14ac:dyDescent="0.45">
      <c r="A719" t="s">
        <v>17</v>
      </c>
      <c r="B719" s="52" t="s">
        <v>57</v>
      </c>
      <c r="C719" s="52" t="s">
        <v>376</v>
      </c>
      <c r="D719" s="52" t="s">
        <v>377</v>
      </c>
      <c r="E719" s="52" t="s">
        <v>387</v>
      </c>
      <c r="F719" s="52" t="s">
        <v>2041</v>
      </c>
      <c r="G719" s="52" t="s">
        <v>60</v>
      </c>
      <c r="H719" s="54">
        <v>46113</v>
      </c>
      <c r="I719" s="52" t="s">
        <v>1836</v>
      </c>
      <c r="J719" s="52" t="s">
        <v>1886</v>
      </c>
      <c r="K719" s="52" t="s">
        <v>2042</v>
      </c>
      <c r="L719" s="52" t="s">
        <v>2042</v>
      </c>
      <c r="M719" s="52" t="s">
        <v>29</v>
      </c>
      <c r="N719" s="53">
        <v>-48612.23</v>
      </c>
      <c r="O719" s="53">
        <v>-48612.23</v>
      </c>
      <c r="P719" s="52" t="s">
        <v>2043</v>
      </c>
      <c r="Q719" s="52" t="s">
        <v>2044</v>
      </c>
      <c r="R719" s="55" t="s">
        <v>64</v>
      </c>
      <c r="S719" s="52" t="s">
        <v>1886</v>
      </c>
    </row>
    <row r="720" spans="1:19" hidden="1" outlineLevel="2" x14ac:dyDescent="0.45">
      <c r="A720" t="s">
        <v>17</v>
      </c>
      <c r="B720" s="52" t="s">
        <v>57</v>
      </c>
      <c r="C720" s="52" t="s">
        <v>376</v>
      </c>
      <c r="D720" s="52" t="s">
        <v>377</v>
      </c>
      <c r="E720" s="52" t="s">
        <v>387</v>
      </c>
      <c r="F720" s="52" t="s">
        <v>2045</v>
      </c>
      <c r="G720" s="52" t="s">
        <v>60</v>
      </c>
      <c r="H720" s="54">
        <v>46113</v>
      </c>
      <c r="I720" s="52" t="s">
        <v>1836</v>
      </c>
      <c r="J720" s="52" t="s">
        <v>1880</v>
      </c>
      <c r="K720" s="52" t="s">
        <v>2046</v>
      </c>
      <c r="L720" s="52" t="s">
        <v>2046</v>
      </c>
      <c r="M720" s="52" t="s">
        <v>29</v>
      </c>
      <c r="N720" s="53">
        <v>-43169.09</v>
      </c>
      <c r="O720" s="53">
        <v>-43169.09</v>
      </c>
      <c r="P720" s="52" t="s">
        <v>2047</v>
      </c>
      <c r="Q720" s="52" t="s">
        <v>2048</v>
      </c>
      <c r="R720" s="55" t="s">
        <v>64</v>
      </c>
      <c r="S720" s="52" t="s">
        <v>1880</v>
      </c>
    </row>
    <row r="721" spans="1:19" hidden="1" outlineLevel="2" x14ac:dyDescent="0.45">
      <c r="A721" t="s">
        <v>17</v>
      </c>
      <c r="B721" s="52" t="s">
        <v>66</v>
      </c>
      <c r="C721" s="52" t="s">
        <v>376</v>
      </c>
      <c r="D721" s="52" t="s">
        <v>377</v>
      </c>
      <c r="E721" s="52" t="s">
        <v>387</v>
      </c>
      <c r="F721" s="52" t="s">
        <v>2052</v>
      </c>
      <c r="G721" s="52" t="s">
        <v>60</v>
      </c>
      <c r="H721" s="54">
        <v>46113</v>
      </c>
      <c r="I721" s="52" t="s">
        <v>1836</v>
      </c>
      <c r="J721" s="52" t="s">
        <v>1908</v>
      </c>
      <c r="K721" s="52" t="s">
        <v>2053</v>
      </c>
      <c r="L721" s="52" t="s">
        <v>2053</v>
      </c>
      <c r="M721" s="52" t="s">
        <v>67</v>
      </c>
      <c r="N721" s="53">
        <v>-11800</v>
      </c>
      <c r="O721" s="53">
        <v>-40698.199999999997</v>
      </c>
      <c r="P721" s="52" t="s">
        <v>2054</v>
      </c>
      <c r="Q721" s="52" t="s">
        <v>2055</v>
      </c>
      <c r="R721" s="55" t="s">
        <v>64</v>
      </c>
      <c r="S721" s="52" t="s">
        <v>1908</v>
      </c>
    </row>
    <row r="722" spans="1:19" hidden="1" outlineLevel="2" x14ac:dyDescent="0.45">
      <c r="A722" t="s">
        <v>17</v>
      </c>
      <c r="B722" s="52" t="s">
        <v>57</v>
      </c>
      <c r="C722" s="52" t="s">
        <v>376</v>
      </c>
      <c r="D722" s="52" t="s">
        <v>377</v>
      </c>
      <c r="E722" s="52" t="s">
        <v>387</v>
      </c>
      <c r="F722" s="52" t="s">
        <v>2056</v>
      </c>
      <c r="G722" s="52" t="s">
        <v>60</v>
      </c>
      <c r="H722" s="54">
        <v>46113</v>
      </c>
      <c r="I722" s="52" t="s">
        <v>1836</v>
      </c>
      <c r="J722" s="52" t="s">
        <v>1891</v>
      </c>
      <c r="K722" s="52" t="s">
        <v>2057</v>
      </c>
      <c r="L722" s="52" t="s">
        <v>2057</v>
      </c>
      <c r="M722" s="52" t="s">
        <v>29</v>
      </c>
      <c r="N722" s="53">
        <v>-30105</v>
      </c>
      <c r="O722" s="53">
        <v>-30105</v>
      </c>
      <c r="P722" s="52" t="s">
        <v>2058</v>
      </c>
      <c r="Q722" s="52" t="s">
        <v>2059</v>
      </c>
      <c r="R722" s="55" t="s">
        <v>64</v>
      </c>
      <c r="S722" s="52" t="s">
        <v>1891</v>
      </c>
    </row>
    <row r="723" spans="1:19" hidden="1" outlineLevel="2" x14ac:dyDescent="0.45">
      <c r="A723" t="s">
        <v>17</v>
      </c>
      <c r="B723" s="52" t="s">
        <v>57</v>
      </c>
      <c r="C723" s="52" t="s">
        <v>1099</v>
      </c>
      <c r="D723" s="52" t="s">
        <v>1100</v>
      </c>
      <c r="E723" s="52" t="s">
        <v>387</v>
      </c>
      <c r="F723" s="52" t="s">
        <v>2060</v>
      </c>
      <c r="G723" s="52" t="s">
        <v>60</v>
      </c>
      <c r="H723" s="54">
        <v>46113</v>
      </c>
      <c r="I723" s="52" t="s">
        <v>1836</v>
      </c>
      <c r="J723" s="52" t="s">
        <v>1870</v>
      </c>
      <c r="K723" s="52" t="s">
        <v>1358</v>
      </c>
      <c r="L723" s="52" t="s">
        <v>1358</v>
      </c>
      <c r="M723" s="52" t="s">
        <v>29</v>
      </c>
      <c r="N723" s="53">
        <v>-29250</v>
      </c>
      <c r="O723" s="53">
        <v>-29250</v>
      </c>
      <c r="P723" s="52" t="s">
        <v>1359</v>
      </c>
      <c r="Q723" s="52" t="s">
        <v>2061</v>
      </c>
      <c r="R723" s="55" t="s">
        <v>64</v>
      </c>
      <c r="S723" s="52" t="s">
        <v>1870</v>
      </c>
    </row>
    <row r="724" spans="1:19" hidden="1" outlineLevel="2" x14ac:dyDescent="0.45">
      <c r="A724" t="s">
        <v>17</v>
      </c>
      <c r="B724" s="52" t="s">
        <v>66</v>
      </c>
      <c r="C724" s="52" t="s">
        <v>376</v>
      </c>
      <c r="D724" s="52" t="s">
        <v>377</v>
      </c>
      <c r="E724" s="52" t="s">
        <v>387</v>
      </c>
      <c r="F724" s="52" t="s">
        <v>2062</v>
      </c>
      <c r="G724" s="52" t="s">
        <v>60</v>
      </c>
      <c r="H724" s="54">
        <v>46113</v>
      </c>
      <c r="I724" s="52" t="s">
        <v>1836</v>
      </c>
      <c r="J724" s="52" t="s">
        <v>1988</v>
      </c>
      <c r="K724" s="52" t="s">
        <v>2063</v>
      </c>
      <c r="L724" s="52" t="s">
        <v>2063</v>
      </c>
      <c r="M724" s="52" t="s">
        <v>67</v>
      </c>
      <c r="N724" s="53">
        <v>-5900</v>
      </c>
      <c r="O724" s="53">
        <v>-20054.099999999999</v>
      </c>
      <c r="P724" s="52" t="s">
        <v>2064</v>
      </c>
      <c r="Q724" s="52" t="s">
        <v>2065</v>
      </c>
      <c r="R724" s="55" t="s">
        <v>64</v>
      </c>
      <c r="S724" s="52" t="s">
        <v>1988</v>
      </c>
    </row>
    <row r="725" spans="1:19" hidden="1" outlineLevel="2" x14ac:dyDescent="0.45">
      <c r="A725" t="s">
        <v>17</v>
      </c>
      <c r="B725" s="52" t="s">
        <v>57</v>
      </c>
      <c r="C725" s="52" t="s">
        <v>376</v>
      </c>
      <c r="D725" s="52" t="s">
        <v>377</v>
      </c>
      <c r="E725" s="52" t="s">
        <v>387</v>
      </c>
      <c r="F725" s="52" t="s">
        <v>2066</v>
      </c>
      <c r="G725" s="52" t="s">
        <v>60</v>
      </c>
      <c r="H725" s="54">
        <v>46113</v>
      </c>
      <c r="I725" s="52" t="s">
        <v>1836</v>
      </c>
      <c r="J725" s="52" t="s">
        <v>1886</v>
      </c>
      <c r="K725" s="52" t="s">
        <v>2067</v>
      </c>
      <c r="L725" s="52" t="s">
        <v>2067</v>
      </c>
      <c r="M725" s="52" t="s">
        <v>29</v>
      </c>
      <c r="N725" s="53">
        <v>-13700</v>
      </c>
      <c r="O725" s="53">
        <v>-13700</v>
      </c>
      <c r="P725" s="52" t="s">
        <v>2068</v>
      </c>
      <c r="Q725" s="52" t="s">
        <v>2044</v>
      </c>
      <c r="R725" s="55" t="s">
        <v>64</v>
      </c>
      <c r="S725" s="52" t="s">
        <v>1886</v>
      </c>
    </row>
    <row r="726" spans="1:19" hidden="1" outlineLevel="2" x14ac:dyDescent="0.45">
      <c r="A726" t="s">
        <v>17</v>
      </c>
      <c r="B726" s="52" t="s">
        <v>66</v>
      </c>
      <c r="C726" s="52" t="s">
        <v>376</v>
      </c>
      <c r="D726" s="52" t="s">
        <v>377</v>
      </c>
      <c r="E726" s="52" t="s">
        <v>387</v>
      </c>
      <c r="F726" s="52" t="s">
        <v>2069</v>
      </c>
      <c r="G726" s="52" t="s">
        <v>60</v>
      </c>
      <c r="H726" s="54">
        <v>46113</v>
      </c>
      <c r="I726" s="52" t="s">
        <v>1836</v>
      </c>
      <c r="J726" s="52" t="s">
        <v>1870</v>
      </c>
      <c r="K726" s="52" t="s">
        <v>2070</v>
      </c>
      <c r="L726" s="52" t="s">
        <v>2070</v>
      </c>
      <c r="M726" s="52" t="s">
        <v>67</v>
      </c>
      <c r="N726" s="53">
        <v>-3776</v>
      </c>
      <c r="O726" s="53">
        <v>-13197.12</v>
      </c>
      <c r="P726" s="52" t="s">
        <v>2071</v>
      </c>
      <c r="Q726" s="52" t="s">
        <v>2036</v>
      </c>
      <c r="R726" s="55" t="s">
        <v>64</v>
      </c>
      <c r="S726" s="52" t="s">
        <v>1870</v>
      </c>
    </row>
    <row r="727" spans="1:19" hidden="1" outlineLevel="2" x14ac:dyDescent="0.45">
      <c r="A727" t="s">
        <v>17</v>
      </c>
      <c r="B727" s="52" t="s">
        <v>57</v>
      </c>
      <c r="C727" s="52" t="s">
        <v>376</v>
      </c>
      <c r="D727" s="52" t="s">
        <v>377</v>
      </c>
      <c r="E727" s="52" t="s">
        <v>387</v>
      </c>
      <c r="F727" s="52" t="s">
        <v>2072</v>
      </c>
      <c r="G727" s="52" t="s">
        <v>60</v>
      </c>
      <c r="H727" s="54">
        <v>46113</v>
      </c>
      <c r="I727" s="52" t="s">
        <v>1836</v>
      </c>
      <c r="J727" s="52" t="s">
        <v>1880</v>
      </c>
      <c r="K727" s="52" t="s">
        <v>2073</v>
      </c>
      <c r="L727" s="52" t="s">
        <v>2073</v>
      </c>
      <c r="M727" s="52" t="s">
        <v>29</v>
      </c>
      <c r="N727" s="53">
        <v>-11835.31</v>
      </c>
      <c r="O727" s="53">
        <v>-11835.31</v>
      </c>
      <c r="P727" s="52" t="s">
        <v>2074</v>
      </c>
      <c r="Q727" s="52" t="s">
        <v>2075</v>
      </c>
      <c r="R727" s="55" t="s">
        <v>64</v>
      </c>
      <c r="S727" s="52" t="s">
        <v>1880</v>
      </c>
    </row>
    <row r="728" spans="1:19" hidden="1" outlineLevel="2" x14ac:dyDescent="0.45">
      <c r="A728" t="s">
        <v>17</v>
      </c>
      <c r="B728" s="52" t="s">
        <v>66</v>
      </c>
      <c r="C728" s="52" t="s">
        <v>682</v>
      </c>
      <c r="D728" s="52" t="s">
        <v>683</v>
      </c>
      <c r="E728" s="52" t="s">
        <v>387</v>
      </c>
      <c r="F728" s="52" t="s">
        <v>2076</v>
      </c>
      <c r="G728" s="52" t="s">
        <v>60</v>
      </c>
      <c r="H728" s="54">
        <v>46113</v>
      </c>
      <c r="I728" s="52" t="s">
        <v>1836</v>
      </c>
      <c r="J728" s="52" t="s">
        <v>1870</v>
      </c>
      <c r="K728" s="52" t="s">
        <v>2077</v>
      </c>
      <c r="L728" s="52" t="s">
        <v>2077</v>
      </c>
      <c r="M728" s="52" t="s">
        <v>67</v>
      </c>
      <c r="N728" s="53">
        <v>-3115.2</v>
      </c>
      <c r="O728" s="53">
        <v>-10887.62</v>
      </c>
      <c r="P728" s="52" t="s">
        <v>2078</v>
      </c>
      <c r="Q728" s="52" t="s">
        <v>2079</v>
      </c>
      <c r="R728" s="55" t="s">
        <v>64</v>
      </c>
      <c r="S728" s="52" t="s">
        <v>1870</v>
      </c>
    </row>
    <row r="729" spans="1:19" hidden="1" outlineLevel="2" x14ac:dyDescent="0.45">
      <c r="A729" t="s">
        <v>17</v>
      </c>
      <c r="B729" s="52" t="s">
        <v>57</v>
      </c>
      <c r="C729" s="52" t="s">
        <v>376</v>
      </c>
      <c r="D729" s="52" t="s">
        <v>377</v>
      </c>
      <c r="E729" s="52" t="s">
        <v>387</v>
      </c>
      <c r="F729" s="52" t="s">
        <v>2080</v>
      </c>
      <c r="G729" s="52" t="s">
        <v>60</v>
      </c>
      <c r="H729" s="54">
        <v>46113</v>
      </c>
      <c r="I729" s="52" t="s">
        <v>1836</v>
      </c>
      <c r="J729" s="52" t="s">
        <v>2081</v>
      </c>
      <c r="K729" s="52" t="s">
        <v>2082</v>
      </c>
      <c r="L729" s="52" t="s">
        <v>2082</v>
      </c>
      <c r="M729" s="52" t="s">
        <v>29</v>
      </c>
      <c r="N729" s="53">
        <v>-10000</v>
      </c>
      <c r="O729" s="53">
        <v>-10000</v>
      </c>
      <c r="P729" s="52" t="s">
        <v>2083</v>
      </c>
      <c r="Q729" s="52" t="s">
        <v>2084</v>
      </c>
      <c r="R729" s="55" t="s">
        <v>64</v>
      </c>
      <c r="S729" s="52" t="s">
        <v>2081</v>
      </c>
    </row>
    <row r="730" spans="1:19" hidden="1" outlineLevel="2" x14ac:dyDescent="0.45">
      <c r="A730" t="s">
        <v>17</v>
      </c>
      <c r="B730" s="52" t="s">
        <v>57</v>
      </c>
      <c r="C730" s="52" t="s">
        <v>697</v>
      </c>
      <c r="D730" s="52" t="s">
        <v>698</v>
      </c>
      <c r="E730" s="52" t="s">
        <v>387</v>
      </c>
      <c r="F730" s="52" t="s">
        <v>2085</v>
      </c>
      <c r="G730" s="52" t="s">
        <v>60</v>
      </c>
      <c r="H730" s="54">
        <v>46113</v>
      </c>
      <c r="I730" s="52" t="s">
        <v>1836</v>
      </c>
      <c r="J730" s="52" t="s">
        <v>1908</v>
      </c>
      <c r="K730" s="52" t="s">
        <v>2086</v>
      </c>
      <c r="L730" s="52" t="s">
        <v>2087</v>
      </c>
      <c r="M730" s="52" t="s">
        <v>29</v>
      </c>
      <c r="N730" s="53">
        <v>-9957.86</v>
      </c>
      <c r="O730" s="53">
        <v>-9957.86</v>
      </c>
      <c r="P730" s="52" t="s">
        <v>702</v>
      </c>
      <c r="Q730" s="52" t="s">
        <v>2088</v>
      </c>
      <c r="R730" s="55" t="s">
        <v>64</v>
      </c>
      <c r="S730" s="52" t="s">
        <v>1908</v>
      </c>
    </row>
    <row r="731" spans="1:19" hidden="1" outlineLevel="2" x14ac:dyDescent="0.45">
      <c r="A731" t="s">
        <v>17</v>
      </c>
      <c r="B731" s="52" t="s">
        <v>57</v>
      </c>
      <c r="C731" s="52" t="s">
        <v>376</v>
      </c>
      <c r="D731" s="52" t="s">
        <v>377</v>
      </c>
      <c r="E731" s="52" t="s">
        <v>387</v>
      </c>
      <c r="F731" s="52" t="s">
        <v>2089</v>
      </c>
      <c r="G731" s="52" t="s">
        <v>60</v>
      </c>
      <c r="H731" s="54">
        <v>46113</v>
      </c>
      <c r="I731" s="52" t="s">
        <v>1836</v>
      </c>
      <c r="J731" s="52" t="s">
        <v>1988</v>
      </c>
      <c r="K731" s="52" t="s">
        <v>2090</v>
      </c>
      <c r="L731" s="52" t="s">
        <v>2090</v>
      </c>
      <c r="M731" s="52" t="s">
        <v>29</v>
      </c>
      <c r="N731" s="53">
        <v>-8964.09</v>
      </c>
      <c r="O731" s="53">
        <v>-8964.09</v>
      </c>
      <c r="P731" s="52" t="s">
        <v>2091</v>
      </c>
      <c r="Q731" s="52" t="s">
        <v>2092</v>
      </c>
      <c r="R731" s="55" t="s">
        <v>64</v>
      </c>
      <c r="S731" s="52" t="s">
        <v>1988</v>
      </c>
    </row>
    <row r="732" spans="1:19" hidden="1" outlineLevel="2" x14ac:dyDescent="0.45">
      <c r="A732" t="s">
        <v>17</v>
      </c>
      <c r="B732" s="52" t="s">
        <v>57</v>
      </c>
      <c r="C732" s="52" t="s">
        <v>707</v>
      </c>
      <c r="D732" s="52" t="s">
        <v>708</v>
      </c>
      <c r="E732" s="52" t="s">
        <v>387</v>
      </c>
      <c r="F732" s="52" t="s">
        <v>2093</v>
      </c>
      <c r="G732" s="52" t="s">
        <v>60</v>
      </c>
      <c r="H732" s="54">
        <v>46113</v>
      </c>
      <c r="I732" s="52" t="s">
        <v>1836</v>
      </c>
      <c r="J732" s="52" t="s">
        <v>1908</v>
      </c>
      <c r="K732" s="52" t="s">
        <v>2094</v>
      </c>
      <c r="L732" s="52" t="s">
        <v>2095</v>
      </c>
      <c r="M732" s="52" t="s">
        <v>29</v>
      </c>
      <c r="N732" s="53">
        <v>-7653.54</v>
      </c>
      <c r="O732" s="53">
        <v>-7653.54</v>
      </c>
      <c r="P732" s="52" t="s">
        <v>712</v>
      </c>
      <c r="Q732" s="52" t="s">
        <v>2096</v>
      </c>
      <c r="R732" s="55" t="s">
        <v>64</v>
      </c>
      <c r="S732" s="52" t="s">
        <v>1908</v>
      </c>
    </row>
    <row r="733" spans="1:19" hidden="1" outlineLevel="2" x14ac:dyDescent="0.45">
      <c r="A733" t="s">
        <v>17</v>
      </c>
      <c r="B733" s="52" t="s">
        <v>57</v>
      </c>
      <c r="C733" s="52"/>
      <c r="D733" s="52" t="s">
        <v>1276</v>
      </c>
      <c r="E733" s="52" t="s">
        <v>387</v>
      </c>
      <c r="F733" s="52" t="s">
        <v>2097</v>
      </c>
      <c r="G733" s="52" t="s">
        <v>60</v>
      </c>
      <c r="H733" s="54">
        <v>46113</v>
      </c>
      <c r="I733" s="52" t="s">
        <v>1836</v>
      </c>
      <c r="J733" s="52" t="s">
        <v>1891</v>
      </c>
      <c r="K733" s="52"/>
      <c r="L733" s="52"/>
      <c r="M733" s="52" t="s">
        <v>29</v>
      </c>
      <c r="N733" s="53">
        <v>-7048</v>
      </c>
      <c r="O733" s="53">
        <v>-7048</v>
      </c>
      <c r="P733" s="52" t="s">
        <v>2098</v>
      </c>
      <c r="Q733" s="52" t="s">
        <v>2098</v>
      </c>
      <c r="R733" s="55" t="s">
        <v>64</v>
      </c>
      <c r="S733" s="52" t="s">
        <v>1891</v>
      </c>
    </row>
    <row r="734" spans="1:19" hidden="1" outlineLevel="2" x14ac:dyDescent="0.45">
      <c r="A734" t="s">
        <v>17</v>
      </c>
      <c r="B734" s="52" t="s">
        <v>57</v>
      </c>
      <c r="C734" s="52" t="s">
        <v>2099</v>
      </c>
      <c r="D734" s="52" t="s">
        <v>2100</v>
      </c>
      <c r="E734" s="52" t="s">
        <v>387</v>
      </c>
      <c r="F734" s="52" t="s">
        <v>2101</v>
      </c>
      <c r="G734" s="52" t="s">
        <v>60</v>
      </c>
      <c r="H734" s="54">
        <v>46113</v>
      </c>
      <c r="I734" s="52" t="s">
        <v>1836</v>
      </c>
      <c r="J734" s="52" t="s">
        <v>1886</v>
      </c>
      <c r="K734" s="52" t="s">
        <v>2102</v>
      </c>
      <c r="L734" s="52" t="s">
        <v>2102</v>
      </c>
      <c r="M734" s="52" t="s">
        <v>29</v>
      </c>
      <c r="N734" s="53">
        <v>-6750</v>
      </c>
      <c r="O734" s="53">
        <v>-6750</v>
      </c>
      <c r="P734" s="52" t="s">
        <v>2103</v>
      </c>
      <c r="Q734" s="52" t="s">
        <v>2104</v>
      </c>
      <c r="R734" s="55" t="s">
        <v>64</v>
      </c>
      <c r="S734" s="52" t="s">
        <v>1886</v>
      </c>
    </row>
    <row r="735" spans="1:19" hidden="1" outlineLevel="2" x14ac:dyDescent="0.45">
      <c r="A735" t="s">
        <v>17</v>
      </c>
      <c r="B735" s="52" t="s">
        <v>66</v>
      </c>
      <c r="C735" s="52"/>
      <c r="D735" s="52" t="s">
        <v>1276</v>
      </c>
      <c r="E735" s="52" t="s">
        <v>387</v>
      </c>
      <c r="F735" s="52" t="s">
        <v>2105</v>
      </c>
      <c r="G735" s="52" t="s">
        <v>60</v>
      </c>
      <c r="H735" s="54">
        <v>46113</v>
      </c>
      <c r="I735" s="52" t="s">
        <v>1836</v>
      </c>
      <c r="J735" s="52" t="s">
        <v>1975</v>
      </c>
      <c r="K735" s="52"/>
      <c r="L735" s="52"/>
      <c r="M735" s="52" t="s">
        <v>67</v>
      </c>
      <c r="N735" s="53">
        <v>-1821.04</v>
      </c>
      <c r="O735" s="53">
        <v>-6153.29</v>
      </c>
      <c r="P735" s="52" t="s">
        <v>2106</v>
      </c>
      <c r="Q735" s="52" t="s">
        <v>2106</v>
      </c>
      <c r="R735" s="55" t="s">
        <v>64</v>
      </c>
      <c r="S735" s="52" t="s">
        <v>1975</v>
      </c>
    </row>
    <row r="736" spans="1:19" hidden="1" outlineLevel="2" x14ac:dyDescent="0.45">
      <c r="A736" t="s">
        <v>17</v>
      </c>
      <c r="B736" s="52" t="s">
        <v>57</v>
      </c>
      <c r="C736" s="52" t="s">
        <v>2099</v>
      </c>
      <c r="D736" s="52" t="s">
        <v>2100</v>
      </c>
      <c r="E736" s="52" t="s">
        <v>387</v>
      </c>
      <c r="F736" s="52" t="s">
        <v>2107</v>
      </c>
      <c r="G736" s="52" t="s">
        <v>60</v>
      </c>
      <c r="H736" s="54">
        <v>46113</v>
      </c>
      <c r="I736" s="52" t="s">
        <v>1836</v>
      </c>
      <c r="J736" s="52" t="s">
        <v>1880</v>
      </c>
      <c r="K736" s="52" t="s">
        <v>2108</v>
      </c>
      <c r="L736" s="52" t="s">
        <v>2108</v>
      </c>
      <c r="M736" s="52" t="s">
        <v>29</v>
      </c>
      <c r="N736" s="53">
        <v>-5940</v>
      </c>
      <c r="O736" s="53">
        <v>-5940</v>
      </c>
      <c r="P736" s="52" t="s">
        <v>2109</v>
      </c>
      <c r="Q736" s="52" t="s">
        <v>2110</v>
      </c>
      <c r="R736" s="55" t="s">
        <v>64</v>
      </c>
      <c r="S736" s="52" t="s">
        <v>1880</v>
      </c>
    </row>
    <row r="737" spans="1:19" hidden="1" outlineLevel="2" x14ac:dyDescent="0.45">
      <c r="A737" t="s">
        <v>17</v>
      </c>
      <c r="B737" s="52" t="s">
        <v>57</v>
      </c>
      <c r="C737" s="52"/>
      <c r="D737" s="52" t="s">
        <v>1575</v>
      </c>
      <c r="E737" s="52" t="s">
        <v>387</v>
      </c>
      <c r="F737" s="52" t="s">
        <v>2111</v>
      </c>
      <c r="G737" s="52" t="s">
        <v>60</v>
      </c>
      <c r="H737" s="54">
        <v>46113</v>
      </c>
      <c r="I737" s="52" t="s">
        <v>1836</v>
      </c>
      <c r="J737" s="52" t="s">
        <v>1886</v>
      </c>
      <c r="K737" s="52"/>
      <c r="L737" s="52"/>
      <c r="M737" s="52" t="s">
        <v>29</v>
      </c>
      <c r="N737" s="53">
        <v>-4999</v>
      </c>
      <c r="O737" s="53">
        <v>-4999</v>
      </c>
      <c r="P737" s="52" t="s">
        <v>2112</v>
      </c>
      <c r="Q737" s="52" t="s">
        <v>2112</v>
      </c>
      <c r="R737" s="55" t="s">
        <v>64</v>
      </c>
      <c r="S737" s="52" t="s">
        <v>1886</v>
      </c>
    </row>
    <row r="738" spans="1:19" hidden="1" outlineLevel="2" x14ac:dyDescent="0.45">
      <c r="A738" t="s">
        <v>17</v>
      </c>
      <c r="B738" s="52" t="s">
        <v>57</v>
      </c>
      <c r="C738" s="52" t="s">
        <v>734</v>
      </c>
      <c r="D738" s="52" t="s">
        <v>735</v>
      </c>
      <c r="E738" s="52" t="s">
        <v>387</v>
      </c>
      <c r="F738" s="52" t="s">
        <v>2113</v>
      </c>
      <c r="G738" s="52" t="s">
        <v>60</v>
      </c>
      <c r="H738" s="54">
        <v>46113</v>
      </c>
      <c r="I738" s="52" t="s">
        <v>1836</v>
      </c>
      <c r="J738" s="52" t="s">
        <v>1908</v>
      </c>
      <c r="K738" s="52" t="s">
        <v>2114</v>
      </c>
      <c r="L738" s="52" t="s">
        <v>2115</v>
      </c>
      <c r="M738" s="52" t="s">
        <v>29</v>
      </c>
      <c r="N738" s="53">
        <v>-4670.9399999999996</v>
      </c>
      <c r="O738" s="53">
        <v>-4670.9399999999996</v>
      </c>
      <c r="P738" s="52" t="s">
        <v>739</v>
      </c>
      <c r="Q738" s="52" t="s">
        <v>2116</v>
      </c>
      <c r="R738" s="55" t="s">
        <v>64</v>
      </c>
      <c r="S738" s="52" t="s">
        <v>1908</v>
      </c>
    </row>
    <row r="739" spans="1:19" hidden="1" outlineLevel="2" x14ac:dyDescent="0.45">
      <c r="A739" t="s">
        <v>17</v>
      </c>
      <c r="B739" s="52" t="s">
        <v>57</v>
      </c>
      <c r="C739" s="52" t="s">
        <v>376</v>
      </c>
      <c r="D739" s="52" t="s">
        <v>377</v>
      </c>
      <c r="E739" s="52" t="s">
        <v>387</v>
      </c>
      <c r="F739" s="52" t="s">
        <v>2117</v>
      </c>
      <c r="G739" s="52" t="s">
        <v>60</v>
      </c>
      <c r="H739" s="54">
        <v>46113</v>
      </c>
      <c r="I739" s="52" t="s">
        <v>1836</v>
      </c>
      <c r="J739" s="52" t="s">
        <v>2001</v>
      </c>
      <c r="K739" s="52" t="s">
        <v>2118</v>
      </c>
      <c r="L739" s="52" t="s">
        <v>2118</v>
      </c>
      <c r="M739" s="52" t="s">
        <v>29</v>
      </c>
      <c r="N739" s="53">
        <v>-4345.7299999999996</v>
      </c>
      <c r="O739" s="53">
        <v>-4345.7299999999996</v>
      </c>
      <c r="P739" s="52" t="s">
        <v>2119</v>
      </c>
      <c r="Q739" s="52" t="s">
        <v>2120</v>
      </c>
      <c r="R739" s="55" t="s">
        <v>64</v>
      </c>
      <c r="S739" s="52" t="s">
        <v>2001</v>
      </c>
    </row>
    <row r="740" spans="1:19" hidden="1" outlineLevel="2" x14ac:dyDescent="0.45">
      <c r="A740" t="s">
        <v>17</v>
      </c>
      <c r="B740" s="52" t="s">
        <v>57</v>
      </c>
      <c r="C740" s="52" t="s">
        <v>758</v>
      </c>
      <c r="D740" s="52" t="s">
        <v>759</v>
      </c>
      <c r="E740" s="52" t="s">
        <v>387</v>
      </c>
      <c r="F740" s="52" t="s">
        <v>2121</v>
      </c>
      <c r="G740" s="52" t="s">
        <v>60</v>
      </c>
      <c r="H740" s="54">
        <v>46113</v>
      </c>
      <c r="I740" s="52" t="s">
        <v>1836</v>
      </c>
      <c r="J740" s="52" t="s">
        <v>1941</v>
      </c>
      <c r="K740" s="52" t="s">
        <v>2122</v>
      </c>
      <c r="L740" s="52" t="s">
        <v>2122</v>
      </c>
      <c r="M740" s="52" t="s">
        <v>29</v>
      </c>
      <c r="N740" s="53">
        <v>-4325.3999999999996</v>
      </c>
      <c r="O740" s="53">
        <v>-4325.3999999999996</v>
      </c>
      <c r="P740" s="52" t="s">
        <v>1499</v>
      </c>
      <c r="Q740" s="52" t="s">
        <v>2123</v>
      </c>
      <c r="R740" s="55" t="s">
        <v>64</v>
      </c>
      <c r="S740" s="52" t="s">
        <v>1941</v>
      </c>
    </row>
    <row r="741" spans="1:19" hidden="1" outlineLevel="2" x14ac:dyDescent="0.45">
      <c r="A741" t="s">
        <v>17</v>
      </c>
      <c r="B741" s="52" t="s">
        <v>57</v>
      </c>
      <c r="C741" s="52" t="s">
        <v>376</v>
      </c>
      <c r="D741" s="52" t="s">
        <v>377</v>
      </c>
      <c r="E741" s="52" t="s">
        <v>387</v>
      </c>
      <c r="F741" s="52" t="s">
        <v>2124</v>
      </c>
      <c r="G741" s="52" t="s">
        <v>60</v>
      </c>
      <c r="H741" s="54">
        <v>46113</v>
      </c>
      <c r="I741" s="52" t="s">
        <v>1836</v>
      </c>
      <c r="J741" s="52" t="s">
        <v>1870</v>
      </c>
      <c r="K741" s="52" t="s">
        <v>2125</v>
      </c>
      <c r="L741" s="52" t="s">
        <v>2125</v>
      </c>
      <c r="M741" s="52" t="s">
        <v>29</v>
      </c>
      <c r="N741" s="53">
        <v>-4012</v>
      </c>
      <c r="O741" s="53">
        <v>-4012</v>
      </c>
      <c r="P741" s="52" t="s">
        <v>2126</v>
      </c>
      <c r="Q741" s="52" t="s">
        <v>2127</v>
      </c>
      <c r="R741" s="55" t="s">
        <v>64</v>
      </c>
      <c r="S741" s="52" t="s">
        <v>1870</v>
      </c>
    </row>
    <row r="742" spans="1:19" hidden="1" outlineLevel="2" x14ac:dyDescent="0.45">
      <c r="A742" t="s">
        <v>17</v>
      </c>
      <c r="B742" s="52" t="s">
        <v>57</v>
      </c>
      <c r="C742" s="52" t="s">
        <v>376</v>
      </c>
      <c r="D742" s="52" t="s">
        <v>377</v>
      </c>
      <c r="E742" s="52" t="s">
        <v>387</v>
      </c>
      <c r="F742" s="52" t="s">
        <v>2128</v>
      </c>
      <c r="G742" s="52" t="s">
        <v>60</v>
      </c>
      <c r="H742" s="54">
        <v>46113</v>
      </c>
      <c r="I742" s="52" t="s">
        <v>1836</v>
      </c>
      <c r="J742" s="52" t="s">
        <v>1988</v>
      </c>
      <c r="K742" s="52" t="s">
        <v>2129</v>
      </c>
      <c r="L742" s="52" t="s">
        <v>2129</v>
      </c>
      <c r="M742" s="52" t="s">
        <v>29</v>
      </c>
      <c r="N742" s="53">
        <v>-4000</v>
      </c>
      <c r="O742" s="53">
        <v>-4000</v>
      </c>
      <c r="P742" s="52" t="s">
        <v>2130</v>
      </c>
      <c r="Q742" s="52" t="s">
        <v>2131</v>
      </c>
      <c r="R742" s="55" t="s">
        <v>64</v>
      </c>
      <c r="S742" s="52" t="s">
        <v>1988</v>
      </c>
    </row>
    <row r="743" spans="1:19" hidden="1" outlineLevel="2" x14ac:dyDescent="0.45">
      <c r="A743" t="s">
        <v>17</v>
      </c>
      <c r="B743" s="52" t="s">
        <v>57</v>
      </c>
      <c r="C743" s="52" t="s">
        <v>1365</v>
      </c>
      <c r="D743" s="52" t="s">
        <v>1366</v>
      </c>
      <c r="E743" s="52" t="s">
        <v>387</v>
      </c>
      <c r="F743" s="52" t="s">
        <v>1790</v>
      </c>
      <c r="G743" s="52" t="s">
        <v>60</v>
      </c>
      <c r="H743" s="54">
        <v>46113</v>
      </c>
      <c r="I743" s="52" t="s">
        <v>1836</v>
      </c>
      <c r="J743" s="52" t="s">
        <v>1988</v>
      </c>
      <c r="K743" s="52" t="s">
        <v>1369</v>
      </c>
      <c r="L743" s="52" t="s">
        <v>1369</v>
      </c>
      <c r="M743" s="52" t="s">
        <v>29</v>
      </c>
      <c r="N743" s="53">
        <v>-3648</v>
      </c>
      <c r="O743" s="53">
        <v>-3648</v>
      </c>
      <c r="P743" s="52" t="s">
        <v>1370</v>
      </c>
      <c r="Q743" s="52" t="s">
        <v>2132</v>
      </c>
      <c r="R743" s="55" t="s">
        <v>64</v>
      </c>
      <c r="S743" s="52" t="s">
        <v>1988</v>
      </c>
    </row>
    <row r="744" spans="1:19" hidden="1" outlineLevel="2" x14ac:dyDescent="0.45">
      <c r="A744" t="s">
        <v>17</v>
      </c>
      <c r="B744" s="52" t="s">
        <v>57</v>
      </c>
      <c r="C744" s="52"/>
      <c r="D744" s="52" t="s">
        <v>1575</v>
      </c>
      <c r="E744" s="52" t="s">
        <v>387</v>
      </c>
      <c r="F744" s="52" t="s">
        <v>2133</v>
      </c>
      <c r="G744" s="52" t="s">
        <v>60</v>
      </c>
      <c r="H744" s="54">
        <v>46113</v>
      </c>
      <c r="I744" s="52" t="s">
        <v>1836</v>
      </c>
      <c r="J744" s="52" t="s">
        <v>1891</v>
      </c>
      <c r="K744" s="52"/>
      <c r="L744" s="52"/>
      <c r="M744" s="52" t="s">
        <v>29</v>
      </c>
      <c r="N744" s="53">
        <v>-3478.84</v>
      </c>
      <c r="O744" s="53">
        <v>-3478.84</v>
      </c>
      <c r="P744" s="52" t="s">
        <v>2134</v>
      </c>
      <c r="Q744" s="52" t="s">
        <v>2134</v>
      </c>
      <c r="R744" s="55" t="s">
        <v>64</v>
      </c>
      <c r="S744" s="52" t="s">
        <v>1891</v>
      </c>
    </row>
    <row r="745" spans="1:19" hidden="1" outlineLevel="2" x14ac:dyDescent="0.45">
      <c r="A745" t="s">
        <v>17</v>
      </c>
      <c r="B745" s="52" t="s">
        <v>57</v>
      </c>
      <c r="C745" s="52" t="s">
        <v>774</v>
      </c>
      <c r="D745" s="52" t="s">
        <v>775</v>
      </c>
      <c r="E745" s="52" t="s">
        <v>387</v>
      </c>
      <c r="F745" s="52" t="s">
        <v>2135</v>
      </c>
      <c r="G745" s="52" t="s">
        <v>60</v>
      </c>
      <c r="H745" s="54">
        <v>46113</v>
      </c>
      <c r="I745" s="52" t="s">
        <v>1836</v>
      </c>
      <c r="J745" s="52" t="s">
        <v>1886</v>
      </c>
      <c r="K745" s="52" t="s">
        <v>777</v>
      </c>
      <c r="L745" s="52" t="s">
        <v>777</v>
      </c>
      <c r="M745" s="52" t="s">
        <v>29</v>
      </c>
      <c r="N745" s="53">
        <v>-3396.53</v>
      </c>
      <c r="O745" s="53">
        <v>-3396.53</v>
      </c>
      <c r="P745" s="52" t="s">
        <v>778</v>
      </c>
      <c r="Q745" s="52" t="s">
        <v>2136</v>
      </c>
      <c r="R745" s="55" t="s">
        <v>64</v>
      </c>
      <c r="S745" s="52" t="s">
        <v>1886</v>
      </c>
    </row>
    <row r="746" spans="1:19" hidden="1" outlineLevel="2" x14ac:dyDescent="0.45">
      <c r="A746" t="s">
        <v>17</v>
      </c>
      <c r="B746" s="52" t="s">
        <v>57</v>
      </c>
      <c r="C746" s="52" t="s">
        <v>774</v>
      </c>
      <c r="D746" s="52" t="s">
        <v>775</v>
      </c>
      <c r="E746" s="52" t="s">
        <v>387</v>
      </c>
      <c r="F746" s="52" t="s">
        <v>2137</v>
      </c>
      <c r="G746" s="52" t="s">
        <v>60</v>
      </c>
      <c r="H746" s="54">
        <v>46113</v>
      </c>
      <c r="I746" s="52" t="s">
        <v>1836</v>
      </c>
      <c r="J746" s="52" t="s">
        <v>1988</v>
      </c>
      <c r="K746" s="52" t="s">
        <v>777</v>
      </c>
      <c r="L746" s="52" t="s">
        <v>777</v>
      </c>
      <c r="M746" s="52" t="s">
        <v>29</v>
      </c>
      <c r="N746" s="53">
        <v>-3000</v>
      </c>
      <c r="O746" s="53">
        <v>-3000</v>
      </c>
      <c r="P746" s="52" t="s">
        <v>778</v>
      </c>
      <c r="Q746" s="52" t="s">
        <v>2138</v>
      </c>
      <c r="R746" s="55" t="s">
        <v>64</v>
      </c>
      <c r="S746" s="52" t="s">
        <v>1988</v>
      </c>
    </row>
    <row r="747" spans="1:19" hidden="1" outlineLevel="2" x14ac:dyDescent="0.45">
      <c r="A747" t="s">
        <v>17</v>
      </c>
      <c r="B747" s="52" t="s">
        <v>57</v>
      </c>
      <c r="C747" s="52" t="s">
        <v>747</v>
      </c>
      <c r="D747" s="52" t="s">
        <v>748</v>
      </c>
      <c r="E747" s="52" t="s">
        <v>387</v>
      </c>
      <c r="F747" s="52" t="s">
        <v>2139</v>
      </c>
      <c r="G747" s="52" t="s">
        <v>60</v>
      </c>
      <c r="H747" s="54">
        <v>46113</v>
      </c>
      <c r="I747" s="52" t="s">
        <v>1836</v>
      </c>
      <c r="J747" s="52" t="s">
        <v>1941</v>
      </c>
      <c r="K747" s="52" t="s">
        <v>2140</v>
      </c>
      <c r="L747" s="52" t="s">
        <v>2140</v>
      </c>
      <c r="M747" s="52" t="s">
        <v>29</v>
      </c>
      <c r="N747" s="53">
        <v>-2883.57</v>
      </c>
      <c r="O747" s="53">
        <v>-2883.57</v>
      </c>
      <c r="P747" s="52" t="s">
        <v>2141</v>
      </c>
      <c r="Q747" s="52" t="s">
        <v>2142</v>
      </c>
      <c r="R747" s="55" t="s">
        <v>64</v>
      </c>
      <c r="S747" s="52" t="s">
        <v>1941</v>
      </c>
    </row>
    <row r="748" spans="1:19" hidden="1" outlineLevel="2" x14ac:dyDescent="0.45">
      <c r="A748" t="s">
        <v>17</v>
      </c>
      <c r="B748" s="52" t="s">
        <v>57</v>
      </c>
      <c r="C748" s="52" t="s">
        <v>376</v>
      </c>
      <c r="D748" s="52" t="s">
        <v>377</v>
      </c>
      <c r="E748" s="52" t="s">
        <v>387</v>
      </c>
      <c r="F748" s="52" t="s">
        <v>2143</v>
      </c>
      <c r="G748" s="52" t="s">
        <v>60</v>
      </c>
      <c r="H748" s="54">
        <v>46113</v>
      </c>
      <c r="I748" s="52" t="s">
        <v>1836</v>
      </c>
      <c r="J748" s="52" t="s">
        <v>1908</v>
      </c>
      <c r="K748" s="52" t="s">
        <v>2144</v>
      </c>
      <c r="L748" s="52" t="s">
        <v>2144</v>
      </c>
      <c r="M748" s="52" t="s">
        <v>29</v>
      </c>
      <c r="N748" s="53">
        <v>-2500</v>
      </c>
      <c r="O748" s="53">
        <v>-2500</v>
      </c>
      <c r="P748" s="52" t="s">
        <v>2145</v>
      </c>
      <c r="Q748" s="52" t="s">
        <v>2146</v>
      </c>
      <c r="R748" s="55" t="s">
        <v>64</v>
      </c>
      <c r="S748" s="52" t="s">
        <v>1908</v>
      </c>
    </row>
    <row r="749" spans="1:19" hidden="1" outlineLevel="2" x14ac:dyDescent="0.45">
      <c r="A749" t="s">
        <v>17</v>
      </c>
      <c r="B749" s="52" t="s">
        <v>57</v>
      </c>
      <c r="C749" s="52" t="s">
        <v>747</v>
      </c>
      <c r="D749" s="52" t="s">
        <v>748</v>
      </c>
      <c r="E749" s="52" t="s">
        <v>387</v>
      </c>
      <c r="F749" s="52" t="s">
        <v>2147</v>
      </c>
      <c r="G749" s="52" t="s">
        <v>60</v>
      </c>
      <c r="H749" s="54">
        <v>46113</v>
      </c>
      <c r="I749" s="52" t="s">
        <v>1836</v>
      </c>
      <c r="J749" s="52" t="s">
        <v>1941</v>
      </c>
      <c r="K749" s="52" t="s">
        <v>2148</v>
      </c>
      <c r="L749" s="52" t="s">
        <v>2148</v>
      </c>
      <c r="M749" s="52" t="s">
        <v>29</v>
      </c>
      <c r="N749" s="53">
        <v>-2476.46</v>
      </c>
      <c r="O749" s="53">
        <v>-2476.46</v>
      </c>
      <c r="P749" s="52" t="s">
        <v>2149</v>
      </c>
      <c r="Q749" s="52" t="s">
        <v>2142</v>
      </c>
      <c r="R749" s="55" t="s">
        <v>64</v>
      </c>
      <c r="S749" s="52" t="s">
        <v>1941</v>
      </c>
    </row>
    <row r="750" spans="1:19" hidden="1" outlineLevel="2" x14ac:dyDescent="0.45">
      <c r="A750" t="s">
        <v>17</v>
      </c>
      <c r="B750" s="52" t="s">
        <v>57</v>
      </c>
      <c r="C750" s="52" t="s">
        <v>758</v>
      </c>
      <c r="D750" s="52" t="s">
        <v>759</v>
      </c>
      <c r="E750" s="52" t="s">
        <v>387</v>
      </c>
      <c r="F750" s="52" t="s">
        <v>2150</v>
      </c>
      <c r="G750" s="52" t="s">
        <v>60</v>
      </c>
      <c r="H750" s="54">
        <v>46113</v>
      </c>
      <c r="I750" s="52" t="s">
        <v>1836</v>
      </c>
      <c r="J750" s="52" t="s">
        <v>1941</v>
      </c>
      <c r="K750" s="52" t="s">
        <v>2151</v>
      </c>
      <c r="L750" s="52" t="s">
        <v>2151</v>
      </c>
      <c r="M750" s="52" t="s">
        <v>29</v>
      </c>
      <c r="N750" s="53">
        <v>-2343.4</v>
      </c>
      <c r="O750" s="53">
        <v>-2343.4</v>
      </c>
      <c r="P750" s="52" t="s">
        <v>2152</v>
      </c>
      <c r="Q750" s="52" t="s">
        <v>2153</v>
      </c>
      <c r="R750" s="55" t="s">
        <v>64</v>
      </c>
      <c r="S750" s="52" t="s">
        <v>1941</v>
      </c>
    </row>
    <row r="751" spans="1:19" hidden="1" outlineLevel="2" x14ac:dyDescent="0.45">
      <c r="A751" t="s">
        <v>17</v>
      </c>
      <c r="B751" s="52" t="s">
        <v>57</v>
      </c>
      <c r="C751" s="52" t="s">
        <v>774</v>
      </c>
      <c r="D751" s="52" t="s">
        <v>775</v>
      </c>
      <c r="E751" s="52" t="s">
        <v>387</v>
      </c>
      <c r="F751" s="52" t="s">
        <v>2154</v>
      </c>
      <c r="G751" s="52" t="s">
        <v>60</v>
      </c>
      <c r="H751" s="54">
        <v>46113</v>
      </c>
      <c r="I751" s="52" t="s">
        <v>1836</v>
      </c>
      <c r="J751" s="52" t="s">
        <v>1891</v>
      </c>
      <c r="K751" s="52" t="s">
        <v>777</v>
      </c>
      <c r="L751" s="52" t="s">
        <v>777</v>
      </c>
      <c r="M751" s="52" t="s">
        <v>29</v>
      </c>
      <c r="N751" s="53">
        <v>-2233.4</v>
      </c>
      <c r="O751" s="53">
        <v>-2233.4</v>
      </c>
      <c r="P751" s="52" t="s">
        <v>778</v>
      </c>
      <c r="Q751" s="52" t="s">
        <v>2155</v>
      </c>
      <c r="R751" s="55" t="s">
        <v>64</v>
      </c>
      <c r="S751" s="52" t="s">
        <v>1891</v>
      </c>
    </row>
    <row r="752" spans="1:19" hidden="1" outlineLevel="2" x14ac:dyDescent="0.45">
      <c r="A752" t="s">
        <v>17</v>
      </c>
      <c r="B752" s="52" t="s">
        <v>57</v>
      </c>
      <c r="C752" s="52" t="s">
        <v>376</v>
      </c>
      <c r="D752" s="52" t="s">
        <v>377</v>
      </c>
      <c r="E752" s="52" t="s">
        <v>387</v>
      </c>
      <c r="F752" s="52" t="s">
        <v>2156</v>
      </c>
      <c r="G752" s="52" t="s">
        <v>60</v>
      </c>
      <c r="H752" s="54">
        <v>46113</v>
      </c>
      <c r="I752" s="52" t="s">
        <v>1836</v>
      </c>
      <c r="J752" s="52" t="s">
        <v>1865</v>
      </c>
      <c r="K752" s="52" t="s">
        <v>2157</v>
      </c>
      <c r="L752" s="52" t="s">
        <v>2157</v>
      </c>
      <c r="M752" s="52" t="s">
        <v>29</v>
      </c>
      <c r="N752" s="53">
        <v>-2065</v>
      </c>
      <c r="O752" s="53">
        <v>-2065</v>
      </c>
      <c r="P752" s="52" t="s">
        <v>2158</v>
      </c>
      <c r="Q752" s="52" t="s">
        <v>2159</v>
      </c>
      <c r="R752" s="55" t="s">
        <v>64</v>
      </c>
      <c r="S752" s="52" t="s">
        <v>1865</v>
      </c>
    </row>
    <row r="753" spans="1:19" hidden="1" outlineLevel="2" x14ac:dyDescent="0.45">
      <c r="A753" t="s">
        <v>17</v>
      </c>
      <c r="B753" s="52" t="s">
        <v>57</v>
      </c>
      <c r="C753" s="52" t="s">
        <v>376</v>
      </c>
      <c r="D753" s="52" t="s">
        <v>377</v>
      </c>
      <c r="E753" s="52" t="s">
        <v>387</v>
      </c>
      <c r="F753" s="52" t="s">
        <v>2160</v>
      </c>
      <c r="G753" s="52" t="s">
        <v>60</v>
      </c>
      <c r="H753" s="54">
        <v>46113</v>
      </c>
      <c r="I753" s="52" t="s">
        <v>1836</v>
      </c>
      <c r="J753" s="52" t="s">
        <v>1870</v>
      </c>
      <c r="K753" s="52" t="s">
        <v>2125</v>
      </c>
      <c r="L753" s="52" t="s">
        <v>2125</v>
      </c>
      <c r="M753" s="52" t="s">
        <v>29</v>
      </c>
      <c r="N753" s="53">
        <v>-2000</v>
      </c>
      <c r="O753" s="53">
        <v>-2000</v>
      </c>
      <c r="P753" s="52" t="s">
        <v>2126</v>
      </c>
      <c r="Q753" s="52" t="s">
        <v>2127</v>
      </c>
      <c r="R753" s="55" t="s">
        <v>64</v>
      </c>
      <c r="S753" s="52" t="s">
        <v>1870</v>
      </c>
    </row>
    <row r="754" spans="1:19" hidden="1" outlineLevel="2" x14ac:dyDescent="0.45">
      <c r="A754" t="s">
        <v>17</v>
      </c>
      <c r="B754" s="52" t="s">
        <v>66</v>
      </c>
      <c r="C754" s="52" t="s">
        <v>669</v>
      </c>
      <c r="D754" s="52" t="s">
        <v>670</v>
      </c>
      <c r="E754" s="52" t="s">
        <v>387</v>
      </c>
      <c r="F754" s="52" t="s">
        <v>2161</v>
      </c>
      <c r="G754" s="52" t="s">
        <v>60</v>
      </c>
      <c r="H754" s="54">
        <v>46113</v>
      </c>
      <c r="I754" s="52" t="s">
        <v>1836</v>
      </c>
      <c r="J754" s="52" t="s">
        <v>1880</v>
      </c>
      <c r="K754" s="52" t="s">
        <v>2162</v>
      </c>
      <c r="L754" s="52" t="s">
        <v>2162</v>
      </c>
      <c r="M754" s="52" t="s">
        <v>67</v>
      </c>
      <c r="N754" s="53">
        <v>-519.20000000000005</v>
      </c>
      <c r="O754" s="53">
        <v>-1832.26</v>
      </c>
      <c r="P754" s="52" t="s">
        <v>2163</v>
      </c>
      <c r="Q754" s="52" t="s">
        <v>2164</v>
      </c>
      <c r="R754" s="55" t="s">
        <v>64</v>
      </c>
      <c r="S754" s="52" t="s">
        <v>1880</v>
      </c>
    </row>
    <row r="755" spans="1:19" hidden="1" outlineLevel="2" x14ac:dyDescent="0.45">
      <c r="A755" t="s">
        <v>17</v>
      </c>
      <c r="B755" s="52" t="s">
        <v>57</v>
      </c>
      <c r="C755" s="52" t="s">
        <v>829</v>
      </c>
      <c r="D755" s="52" t="s">
        <v>830</v>
      </c>
      <c r="E755" s="52" t="s">
        <v>387</v>
      </c>
      <c r="F755" s="52" t="s">
        <v>2165</v>
      </c>
      <c r="G755" s="52" t="s">
        <v>60</v>
      </c>
      <c r="H755" s="54">
        <v>46113</v>
      </c>
      <c r="I755" s="52" t="s">
        <v>1836</v>
      </c>
      <c r="J755" s="52" t="s">
        <v>1908</v>
      </c>
      <c r="K755" s="52" t="s">
        <v>2166</v>
      </c>
      <c r="L755" s="52" t="s">
        <v>2167</v>
      </c>
      <c r="M755" s="52" t="s">
        <v>29</v>
      </c>
      <c r="N755" s="53">
        <v>-1808.4</v>
      </c>
      <c r="O755" s="53">
        <v>-1808.4</v>
      </c>
      <c r="P755" s="52" t="s">
        <v>834</v>
      </c>
      <c r="Q755" s="52" t="s">
        <v>2168</v>
      </c>
      <c r="R755" s="55" t="s">
        <v>64</v>
      </c>
      <c r="S755" s="52" t="s">
        <v>1908</v>
      </c>
    </row>
    <row r="756" spans="1:19" s="1" customFormat="1" hidden="1" outlineLevel="2" x14ac:dyDescent="0.45">
      <c r="A756" t="s">
        <v>17</v>
      </c>
      <c r="B756" s="52" t="s">
        <v>57</v>
      </c>
      <c r="C756" s="52" t="s">
        <v>376</v>
      </c>
      <c r="D756" s="52" t="s">
        <v>377</v>
      </c>
      <c r="E756" s="52" t="s">
        <v>387</v>
      </c>
      <c r="F756" s="52" t="s">
        <v>2169</v>
      </c>
      <c r="G756" s="52" t="s">
        <v>60</v>
      </c>
      <c r="H756" s="54">
        <v>46113</v>
      </c>
      <c r="I756" s="52" t="s">
        <v>1836</v>
      </c>
      <c r="J756" s="52" t="s">
        <v>1870</v>
      </c>
      <c r="K756" s="52" t="s">
        <v>2125</v>
      </c>
      <c r="L756" s="52" t="s">
        <v>2125</v>
      </c>
      <c r="M756" s="52" t="s">
        <v>29</v>
      </c>
      <c r="N756" s="53">
        <v>-1700</v>
      </c>
      <c r="O756" s="53">
        <v>-1700</v>
      </c>
      <c r="P756" s="52" t="s">
        <v>2126</v>
      </c>
      <c r="Q756" s="52" t="s">
        <v>2127</v>
      </c>
      <c r="R756" s="55" t="s">
        <v>64</v>
      </c>
      <c r="S756" s="52" t="s">
        <v>1870</v>
      </c>
    </row>
    <row r="757" spans="1:19" hidden="1" outlineLevel="2" x14ac:dyDescent="0.45">
      <c r="A757" t="s">
        <v>17</v>
      </c>
      <c r="B757" s="52" t="s">
        <v>57</v>
      </c>
      <c r="C757" s="52" t="s">
        <v>805</v>
      </c>
      <c r="D757" s="52" t="s">
        <v>806</v>
      </c>
      <c r="E757" s="52" t="s">
        <v>387</v>
      </c>
      <c r="F757" s="52" t="s">
        <v>2170</v>
      </c>
      <c r="G757" s="52" t="s">
        <v>60</v>
      </c>
      <c r="H757" s="54">
        <v>46113</v>
      </c>
      <c r="I757" s="52" t="s">
        <v>1836</v>
      </c>
      <c r="J757" s="52" t="s">
        <v>1941</v>
      </c>
      <c r="K757" s="52" t="s">
        <v>2171</v>
      </c>
      <c r="L757" s="52" t="s">
        <v>2171</v>
      </c>
      <c r="M757" s="52" t="s">
        <v>29</v>
      </c>
      <c r="N757" s="53">
        <v>-1652</v>
      </c>
      <c r="O757" s="53">
        <v>-1652</v>
      </c>
      <c r="P757" s="52" t="s">
        <v>2172</v>
      </c>
      <c r="Q757" s="52" t="s">
        <v>2173</v>
      </c>
      <c r="R757" s="55" t="s">
        <v>64</v>
      </c>
      <c r="S757" s="52" t="s">
        <v>1941</v>
      </c>
    </row>
    <row r="758" spans="1:19" hidden="1" outlineLevel="2" x14ac:dyDescent="0.45">
      <c r="A758" t="s">
        <v>17</v>
      </c>
      <c r="B758" s="52" t="s">
        <v>57</v>
      </c>
      <c r="C758" s="52" t="s">
        <v>682</v>
      </c>
      <c r="D758" s="52" t="s">
        <v>683</v>
      </c>
      <c r="E758" s="52" t="s">
        <v>387</v>
      </c>
      <c r="F758" s="52" t="s">
        <v>2174</v>
      </c>
      <c r="G758" s="52" t="s">
        <v>60</v>
      </c>
      <c r="H758" s="54">
        <v>46113</v>
      </c>
      <c r="I758" s="52" t="s">
        <v>1836</v>
      </c>
      <c r="J758" s="52" t="s">
        <v>1988</v>
      </c>
      <c r="K758" s="52" t="s">
        <v>2077</v>
      </c>
      <c r="L758" s="52" t="s">
        <v>2077</v>
      </c>
      <c r="M758" s="52" t="s">
        <v>29</v>
      </c>
      <c r="N758" s="53">
        <v>-1431</v>
      </c>
      <c r="O758" s="53">
        <v>-1431</v>
      </c>
      <c r="P758" s="52" t="s">
        <v>2078</v>
      </c>
      <c r="Q758" s="52" t="s">
        <v>2132</v>
      </c>
      <c r="R758" s="55" t="s">
        <v>64</v>
      </c>
      <c r="S758" s="52" t="s">
        <v>1988</v>
      </c>
    </row>
    <row r="759" spans="1:19" hidden="1" outlineLevel="2" x14ac:dyDescent="0.45">
      <c r="A759" t="s">
        <v>17</v>
      </c>
      <c r="B759" s="52" t="s">
        <v>57</v>
      </c>
      <c r="C759" s="52" t="s">
        <v>697</v>
      </c>
      <c r="D759" s="52" t="s">
        <v>698</v>
      </c>
      <c r="E759" s="52" t="s">
        <v>387</v>
      </c>
      <c r="F759" s="52" t="s">
        <v>2085</v>
      </c>
      <c r="G759" s="52" t="s">
        <v>60</v>
      </c>
      <c r="H759" s="54">
        <v>46113</v>
      </c>
      <c r="I759" s="52" t="s">
        <v>1836</v>
      </c>
      <c r="J759" s="52" t="s">
        <v>1908</v>
      </c>
      <c r="K759" s="52" t="s">
        <v>2175</v>
      </c>
      <c r="L759" s="52" t="s">
        <v>2176</v>
      </c>
      <c r="M759" s="52" t="s">
        <v>29</v>
      </c>
      <c r="N759" s="53">
        <v>-1031.97</v>
      </c>
      <c r="O759" s="53">
        <v>-1031.97</v>
      </c>
      <c r="P759" s="52" t="s">
        <v>2177</v>
      </c>
      <c r="Q759" s="52" t="s">
        <v>2088</v>
      </c>
      <c r="R759" s="55" t="s">
        <v>64</v>
      </c>
      <c r="S759" s="52" t="s">
        <v>1908</v>
      </c>
    </row>
    <row r="760" spans="1:19" hidden="1" outlineLevel="2" x14ac:dyDescent="0.45">
      <c r="A760" t="s">
        <v>17</v>
      </c>
      <c r="B760" s="52" t="s">
        <v>57</v>
      </c>
      <c r="C760" s="52" t="s">
        <v>2178</v>
      </c>
      <c r="D760" s="52" t="s">
        <v>2179</v>
      </c>
      <c r="E760" s="52" t="s">
        <v>387</v>
      </c>
      <c r="F760" s="52" t="s">
        <v>2180</v>
      </c>
      <c r="G760" s="52" t="s">
        <v>60</v>
      </c>
      <c r="H760" s="54">
        <v>46113</v>
      </c>
      <c r="I760" s="52" t="s">
        <v>1836</v>
      </c>
      <c r="J760" s="52" t="s">
        <v>1891</v>
      </c>
      <c r="K760" s="52" t="s">
        <v>2181</v>
      </c>
      <c r="L760" s="52" t="s">
        <v>2181</v>
      </c>
      <c r="M760" s="52" t="s">
        <v>29</v>
      </c>
      <c r="N760" s="53">
        <v>-1021</v>
      </c>
      <c r="O760" s="53">
        <v>-1021</v>
      </c>
      <c r="P760" s="52" t="s">
        <v>2182</v>
      </c>
      <c r="Q760" s="52" t="s">
        <v>2183</v>
      </c>
      <c r="R760" s="55" t="s">
        <v>64</v>
      </c>
      <c r="S760" s="52" t="s">
        <v>1891</v>
      </c>
    </row>
    <row r="761" spans="1:19" hidden="1" outlineLevel="2" x14ac:dyDescent="0.45">
      <c r="A761" t="s">
        <v>17</v>
      </c>
      <c r="B761" s="52" t="s">
        <v>57</v>
      </c>
      <c r="C761" s="52" t="s">
        <v>2184</v>
      </c>
      <c r="D761" s="52" t="s">
        <v>2185</v>
      </c>
      <c r="E761" s="52" t="s">
        <v>387</v>
      </c>
      <c r="F761" s="52" t="s">
        <v>2186</v>
      </c>
      <c r="G761" s="52" t="s">
        <v>60</v>
      </c>
      <c r="H761" s="54">
        <v>46113</v>
      </c>
      <c r="I761" s="52" t="s">
        <v>1836</v>
      </c>
      <c r="J761" s="52" t="s">
        <v>1891</v>
      </c>
      <c r="K761" s="52" t="s">
        <v>2187</v>
      </c>
      <c r="L761" s="52" t="s">
        <v>2187</v>
      </c>
      <c r="M761" s="52" t="s">
        <v>29</v>
      </c>
      <c r="N761" s="53">
        <v>-920.84</v>
      </c>
      <c r="O761" s="53">
        <v>-920.84</v>
      </c>
      <c r="P761" s="52" t="s">
        <v>2188</v>
      </c>
      <c r="Q761" s="52" t="s">
        <v>2189</v>
      </c>
      <c r="R761" s="55" t="s">
        <v>64</v>
      </c>
      <c r="S761" s="52" t="s">
        <v>1891</v>
      </c>
    </row>
    <row r="762" spans="1:19" hidden="1" outlineLevel="2" x14ac:dyDescent="0.45">
      <c r="A762" t="s">
        <v>17</v>
      </c>
      <c r="B762" s="52" t="s">
        <v>57</v>
      </c>
      <c r="C762" s="52" t="s">
        <v>1245</v>
      </c>
      <c r="D762" s="52" t="s">
        <v>1246</v>
      </c>
      <c r="E762" s="52" t="s">
        <v>387</v>
      </c>
      <c r="F762" s="52" t="s">
        <v>2190</v>
      </c>
      <c r="G762" s="52" t="s">
        <v>60</v>
      </c>
      <c r="H762" s="54">
        <v>46113</v>
      </c>
      <c r="I762" s="52" t="s">
        <v>1836</v>
      </c>
      <c r="J762" s="52" t="s">
        <v>1975</v>
      </c>
      <c r="K762" s="52" t="s">
        <v>2191</v>
      </c>
      <c r="L762" s="52" t="s">
        <v>2191</v>
      </c>
      <c r="M762" s="52" t="s">
        <v>29</v>
      </c>
      <c r="N762" s="53">
        <v>-800</v>
      </c>
      <c r="O762" s="53">
        <v>-800</v>
      </c>
      <c r="P762" s="52" t="s">
        <v>2192</v>
      </c>
      <c r="Q762" s="52" t="s">
        <v>2193</v>
      </c>
      <c r="R762" s="55" t="s">
        <v>64</v>
      </c>
      <c r="S762" s="52" t="s">
        <v>1975</v>
      </c>
    </row>
    <row r="763" spans="1:19" hidden="1" outlineLevel="2" x14ac:dyDescent="0.45">
      <c r="A763" t="s">
        <v>17</v>
      </c>
      <c r="B763" s="52" t="s">
        <v>57</v>
      </c>
      <c r="C763" s="52" t="s">
        <v>774</v>
      </c>
      <c r="D763" s="52" t="s">
        <v>775</v>
      </c>
      <c r="E763" s="52" t="s">
        <v>387</v>
      </c>
      <c r="F763" s="52" t="s">
        <v>2154</v>
      </c>
      <c r="G763" s="52" t="s">
        <v>60</v>
      </c>
      <c r="H763" s="54">
        <v>46113</v>
      </c>
      <c r="I763" s="52" t="s">
        <v>1836</v>
      </c>
      <c r="J763" s="52" t="s">
        <v>1891</v>
      </c>
      <c r="K763" s="52" t="s">
        <v>777</v>
      </c>
      <c r="L763" s="52" t="s">
        <v>777</v>
      </c>
      <c r="M763" s="52" t="s">
        <v>29</v>
      </c>
      <c r="N763" s="53">
        <v>-766.6</v>
      </c>
      <c r="O763" s="53">
        <v>-766.6</v>
      </c>
      <c r="P763" s="52" t="s">
        <v>778</v>
      </c>
      <c r="Q763" s="52" t="s">
        <v>2155</v>
      </c>
      <c r="R763" s="55" t="s">
        <v>64</v>
      </c>
      <c r="S763" s="52" t="s">
        <v>1891</v>
      </c>
    </row>
    <row r="764" spans="1:19" hidden="1" outlineLevel="2" x14ac:dyDescent="0.45">
      <c r="A764" t="s">
        <v>17</v>
      </c>
      <c r="B764" s="52" t="s">
        <v>57</v>
      </c>
      <c r="C764" s="52" t="s">
        <v>850</v>
      </c>
      <c r="D764" s="52" t="s">
        <v>851</v>
      </c>
      <c r="E764" s="52" t="s">
        <v>387</v>
      </c>
      <c r="F764" s="52" t="s">
        <v>2194</v>
      </c>
      <c r="G764" s="52" t="s">
        <v>60</v>
      </c>
      <c r="H764" s="54">
        <v>46113</v>
      </c>
      <c r="I764" s="52" t="s">
        <v>1836</v>
      </c>
      <c r="J764" s="52" t="s">
        <v>1865</v>
      </c>
      <c r="K764" s="52" t="s">
        <v>2195</v>
      </c>
      <c r="L764" s="52" t="s">
        <v>2195</v>
      </c>
      <c r="M764" s="52" t="s">
        <v>29</v>
      </c>
      <c r="N764" s="53">
        <v>-700</v>
      </c>
      <c r="O764" s="53">
        <v>-700</v>
      </c>
      <c r="P764" s="52" t="s">
        <v>2196</v>
      </c>
      <c r="Q764" s="52" t="s">
        <v>2197</v>
      </c>
      <c r="R764" s="55" t="s">
        <v>64</v>
      </c>
      <c r="S764" s="52" t="s">
        <v>1865</v>
      </c>
    </row>
    <row r="765" spans="1:19" hidden="1" outlineLevel="2" x14ac:dyDescent="0.45">
      <c r="A765" t="s">
        <v>17</v>
      </c>
      <c r="B765" s="52" t="s">
        <v>57</v>
      </c>
      <c r="C765" s="52" t="s">
        <v>1547</v>
      </c>
      <c r="D765" s="52" t="s">
        <v>1548</v>
      </c>
      <c r="E765" s="52" t="s">
        <v>387</v>
      </c>
      <c r="F765" s="52" t="s">
        <v>2198</v>
      </c>
      <c r="G765" s="52" t="s">
        <v>60</v>
      </c>
      <c r="H765" s="54">
        <v>46113</v>
      </c>
      <c r="I765" s="52" t="s">
        <v>1836</v>
      </c>
      <c r="J765" s="52" t="s">
        <v>1908</v>
      </c>
      <c r="K765" s="52" t="s">
        <v>2199</v>
      </c>
      <c r="L765" s="52" t="s">
        <v>2199</v>
      </c>
      <c r="M765" s="52" t="s">
        <v>29</v>
      </c>
      <c r="N765" s="53">
        <v>-679.68</v>
      </c>
      <c r="O765" s="53">
        <v>-679.68</v>
      </c>
      <c r="P765" s="52" t="s">
        <v>2200</v>
      </c>
      <c r="Q765" s="52" t="s">
        <v>1911</v>
      </c>
      <c r="R765" s="55" t="s">
        <v>64</v>
      </c>
      <c r="S765" s="52" t="s">
        <v>1908</v>
      </c>
    </row>
    <row r="766" spans="1:19" hidden="1" outlineLevel="2" x14ac:dyDescent="0.45">
      <c r="A766" t="s">
        <v>17</v>
      </c>
      <c r="B766" s="52" t="s">
        <v>57</v>
      </c>
      <c r="C766" s="52"/>
      <c r="D766" s="52" t="s">
        <v>610</v>
      </c>
      <c r="E766" s="52" t="s">
        <v>387</v>
      </c>
      <c r="F766" s="52" t="s">
        <v>2201</v>
      </c>
      <c r="G766" s="52" t="s">
        <v>60</v>
      </c>
      <c r="H766" s="54">
        <v>46113</v>
      </c>
      <c r="I766" s="52" t="s">
        <v>1836</v>
      </c>
      <c r="J766" s="52" t="s">
        <v>2001</v>
      </c>
      <c r="K766" s="52" t="s">
        <v>2202</v>
      </c>
      <c r="L766" s="52" t="s">
        <v>2202</v>
      </c>
      <c r="M766" s="52" t="s">
        <v>29</v>
      </c>
      <c r="N766" s="53">
        <v>-620</v>
      </c>
      <c r="O766" s="53">
        <v>-620</v>
      </c>
      <c r="P766" s="52" t="s">
        <v>2203</v>
      </c>
      <c r="Q766" s="52" t="s">
        <v>2204</v>
      </c>
      <c r="R766" s="55" t="s">
        <v>64</v>
      </c>
      <c r="S766" s="52" t="s">
        <v>2001</v>
      </c>
    </row>
    <row r="767" spans="1:19" hidden="1" outlineLevel="2" x14ac:dyDescent="0.45">
      <c r="A767" t="s">
        <v>17</v>
      </c>
      <c r="B767" s="52" t="s">
        <v>57</v>
      </c>
      <c r="C767" s="52" t="s">
        <v>774</v>
      </c>
      <c r="D767" s="52" t="s">
        <v>775</v>
      </c>
      <c r="E767" s="52" t="s">
        <v>387</v>
      </c>
      <c r="F767" s="52" t="s">
        <v>2135</v>
      </c>
      <c r="G767" s="52" t="s">
        <v>60</v>
      </c>
      <c r="H767" s="54">
        <v>46113</v>
      </c>
      <c r="I767" s="52" t="s">
        <v>1836</v>
      </c>
      <c r="J767" s="52" t="s">
        <v>1886</v>
      </c>
      <c r="K767" s="52" t="s">
        <v>777</v>
      </c>
      <c r="L767" s="52" t="s">
        <v>777</v>
      </c>
      <c r="M767" s="52" t="s">
        <v>29</v>
      </c>
      <c r="N767" s="53">
        <v>-603.47</v>
      </c>
      <c r="O767" s="53">
        <v>-603.47</v>
      </c>
      <c r="P767" s="52" t="s">
        <v>778</v>
      </c>
      <c r="Q767" s="52" t="s">
        <v>2136</v>
      </c>
      <c r="R767" s="55" t="s">
        <v>64</v>
      </c>
      <c r="S767" s="52" t="s">
        <v>1886</v>
      </c>
    </row>
    <row r="768" spans="1:19" hidden="1" outlineLevel="2" x14ac:dyDescent="0.45">
      <c r="A768" t="s">
        <v>17</v>
      </c>
      <c r="B768" s="52" t="s">
        <v>57</v>
      </c>
      <c r="C768" s="52" t="s">
        <v>870</v>
      </c>
      <c r="D768" s="52" t="s">
        <v>871</v>
      </c>
      <c r="E768" s="52" t="s">
        <v>387</v>
      </c>
      <c r="F768" s="52" t="s">
        <v>2205</v>
      </c>
      <c r="G768" s="52" t="s">
        <v>60</v>
      </c>
      <c r="H768" s="54">
        <v>46113</v>
      </c>
      <c r="I768" s="52" t="s">
        <v>1836</v>
      </c>
      <c r="J768" s="52" t="s">
        <v>1886</v>
      </c>
      <c r="K768" s="52"/>
      <c r="L768" s="52"/>
      <c r="M768" s="52" t="s">
        <v>29</v>
      </c>
      <c r="N768" s="53">
        <v>-593.99</v>
      </c>
      <c r="O768" s="53">
        <v>-593.99</v>
      </c>
      <c r="P768" s="52" t="s">
        <v>2206</v>
      </c>
      <c r="Q768" s="52" t="s">
        <v>2206</v>
      </c>
      <c r="R768" s="55" t="s">
        <v>64</v>
      </c>
      <c r="S768" s="52" t="s">
        <v>1886</v>
      </c>
    </row>
    <row r="769" spans="1:19" hidden="1" outlineLevel="2" x14ac:dyDescent="0.45">
      <c r="A769" t="s">
        <v>17</v>
      </c>
      <c r="B769" s="52" t="s">
        <v>57</v>
      </c>
      <c r="C769" s="52" t="s">
        <v>870</v>
      </c>
      <c r="D769" s="52" t="s">
        <v>871</v>
      </c>
      <c r="E769" s="52" t="s">
        <v>387</v>
      </c>
      <c r="F769" s="52" t="s">
        <v>2207</v>
      </c>
      <c r="G769" s="52" t="s">
        <v>60</v>
      </c>
      <c r="H769" s="54">
        <v>46113</v>
      </c>
      <c r="I769" s="52" t="s">
        <v>1836</v>
      </c>
      <c r="J769" s="52" t="s">
        <v>1975</v>
      </c>
      <c r="K769" s="52"/>
      <c r="L769" s="52"/>
      <c r="M769" s="52" t="s">
        <v>29</v>
      </c>
      <c r="N769" s="53">
        <v>-530</v>
      </c>
      <c r="O769" s="53">
        <v>-530</v>
      </c>
      <c r="P769" s="52" t="s">
        <v>2208</v>
      </c>
      <c r="Q769" s="52" t="s">
        <v>2208</v>
      </c>
      <c r="R769" s="55" t="s">
        <v>64</v>
      </c>
      <c r="S769" s="52" t="s">
        <v>1975</v>
      </c>
    </row>
    <row r="770" spans="1:19" hidden="1" outlineLevel="2" x14ac:dyDescent="0.45">
      <c r="A770" t="s">
        <v>17</v>
      </c>
      <c r="B770" s="52" t="s">
        <v>57</v>
      </c>
      <c r="C770" s="52" t="s">
        <v>2209</v>
      </c>
      <c r="D770" s="52" t="s">
        <v>2210</v>
      </c>
      <c r="E770" s="52" t="s">
        <v>387</v>
      </c>
      <c r="F770" s="52" t="s">
        <v>2211</v>
      </c>
      <c r="G770" s="52" t="s">
        <v>60</v>
      </c>
      <c r="H770" s="54">
        <v>46113</v>
      </c>
      <c r="I770" s="52" t="s">
        <v>1836</v>
      </c>
      <c r="J770" s="52" t="s">
        <v>1891</v>
      </c>
      <c r="K770" s="52" t="s">
        <v>2212</v>
      </c>
      <c r="L770" s="52" t="s">
        <v>2212</v>
      </c>
      <c r="M770" s="52" t="s">
        <v>29</v>
      </c>
      <c r="N770" s="53">
        <v>-513.6</v>
      </c>
      <c r="O770" s="53">
        <v>-513.6</v>
      </c>
      <c r="P770" s="52" t="s">
        <v>2213</v>
      </c>
      <c r="Q770" s="52" t="s">
        <v>2214</v>
      </c>
      <c r="R770" s="55" t="s">
        <v>64</v>
      </c>
      <c r="S770" s="52" t="s">
        <v>1891</v>
      </c>
    </row>
    <row r="771" spans="1:19" hidden="1" outlineLevel="2" x14ac:dyDescent="0.45">
      <c r="A771" t="s">
        <v>17</v>
      </c>
      <c r="B771" s="52" t="s">
        <v>57</v>
      </c>
      <c r="C771" s="52" t="s">
        <v>870</v>
      </c>
      <c r="D771" s="52" t="s">
        <v>871</v>
      </c>
      <c r="E771" s="52" t="s">
        <v>387</v>
      </c>
      <c r="F771" s="52" t="s">
        <v>2215</v>
      </c>
      <c r="G771" s="52" t="s">
        <v>60</v>
      </c>
      <c r="H771" s="54">
        <v>46113</v>
      </c>
      <c r="I771" s="52" t="s">
        <v>1836</v>
      </c>
      <c r="J771" s="52" t="s">
        <v>1886</v>
      </c>
      <c r="K771" s="52"/>
      <c r="L771" s="52"/>
      <c r="M771" s="52" t="s">
        <v>29</v>
      </c>
      <c r="N771" s="53">
        <v>-507.1</v>
      </c>
      <c r="O771" s="53">
        <v>-507.1</v>
      </c>
      <c r="P771" s="52" t="s">
        <v>2216</v>
      </c>
      <c r="Q771" s="52" t="s">
        <v>2216</v>
      </c>
      <c r="R771" s="55" t="s">
        <v>64</v>
      </c>
      <c r="S771" s="52" t="s">
        <v>1886</v>
      </c>
    </row>
    <row r="772" spans="1:19" hidden="1" outlineLevel="2" x14ac:dyDescent="0.45">
      <c r="A772" t="s">
        <v>17</v>
      </c>
      <c r="B772" s="52" t="s">
        <v>57</v>
      </c>
      <c r="C772" s="52" t="s">
        <v>1304</v>
      </c>
      <c r="D772" s="52" t="s">
        <v>1305</v>
      </c>
      <c r="E772" s="52" t="s">
        <v>387</v>
      </c>
      <c r="F772" s="52" t="s">
        <v>2217</v>
      </c>
      <c r="G772" s="52" t="s">
        <v>60</v>
      </c>
      <c r="H772" s="54">
        <v>46113</v>
      </c>
      <c r="I772" s="52" t="s">
        <v>1836</v>
      </c>
      <c r="J772" s="52" t="s">
        <v>1891</v>
      </c>
      <c r="K772" s="52" t="s">
        <v>2218</v>
      </c>
      <c r="L772" s="52" t="s">
        <v>2218</v>
      </c>
      <c r="M772" s="52" t="s">
        <v>29</v>
      </c>
      <c r="N772" s="53">
        <v>-499</v>
      </c>
      <c r="O772" s="53">
        <v>-499</v>
      </c>
      <c r="P772" s="52" t="s">
        <v>2219</v>
      </c>
      <c r="Q772" s="52" t="s">
        <v>2220</v>
      </c>
      <c r="R772" s="55" t="s">
        <v>64</v>
      </c>
      <c r="S772" s="52" t="s">
        <v>1891</v>
      </c>
    </row>
    <row r="773" spans="1:19" hidden="1" outlineLevel="2" x14ac:dyDescent="0.45">
      <c r="A773" t="s">
        <v>17</v>
      </c>
      <c r="B773" s="52" t="s">
        <v>57</v>
      </c>
      <c r="C773" s="52" t="s">
        <v>870</v>
      </c>
      <c r="D773" s="52" t="s">
        <v>871</v>
      </c>
      <c r="E773" s="52" t="s">
        <v>387</v>
      </c>
      <c r="F773" s="52" t="s">
        <v>2205</v>
      </c>
      <c r="G773" s="52" t="s">
        <v>60</v>
      </c>
      <c r="H773" s="54">
        <v>46113</v>
      </c>
      <c r="I773" s="52" t="s">
        <v>1836</v>
      </c>
      <c r="J773" s="52" t="s">
        <v>1886</v>
      </c>
      <c r="K773" s="52"/>
      <c r="L773" s="52"/>
      <c r="M773" s="52" t="s">
        <v>29</v>
      </c>
      <c r="N773" s="53">
        <v>-487.3</v>
      </c>
      <c r="O773" s="53">
        <v>-487.3</v>
      </c>
      <c r="P773" s="52" t="s">
        <v>2206</v>
      </c>
      <c r="Q773" s="52" t="s">
        <v>2206</v>
      </c>
      <c r="R773" s="55" t="s">
        <v>64</v>
      </c>
      <c r="S773" s="52" t="s">
        <v>1886</v>
      </c>
    </row>
    <row r="774" spans="1:19" hidden="1" outlineLevel="2" x14ac:dyDescent="0.45">
      <c r="A774" t="s">
        <v>17</v>
      </c>
      <c r="B774" s="52" t="s">
        <v>66</v>
      </c>
      <c r="C774" s="52"/>
      <c r="D774" s="52" t="s">
        <v>610</v>
      </c>
      <c r="E774" s="52" t="s">
        <v>387</v>
      </c>
      <c r="F774" s="52" t="s">
        <v>2221</v>
      </c>
      <c r="G774" s="52" t="s">
        <v>60</v>
      </c>
      <c r="H774" s="54">
        <v>46113</v>
      </c>
      <c r="I774" s="52" t="s">
        <v>1836</v>
      </c>
      <c r="J774" s="52" t="s">
        <v>1891</v>
      </c>
      <c r="K774" s="52" t="s">
        <v>2222</v>
      </c>
      <c r="L774" s="52" t="s">
        <v>2222</v>
      </c>
      <c r="M774" s="52" t="s">
        <v>67</v>
      </c>
      <c r="N774" s="53">
        <v>-129.80000000000001</v>
      </c>
      <c r="O774" s="53">
        <v>-447.03</v>
      </c>
      <c r="P774" s="52" t="s">
        <v>2223</v>
      </c>
      <c r="Q774" s="52" t="s">
        <v>2224</v>
      </c>
      <c r="R774" s="55" t="s">
        <v>64</v>
      </c>
      <c r="S774" s="52" t="s">
        <v>1891</v>
      </c>
    </row>
    <row r="775" spans="1:19" hidden="1" outlineLevel="2" x14ac:dyDescent="0.45">
      <c r="A775" t="s">
        <v>17</v>
      </c>
      <c r="B775" s="52" t="s">
        <v>57</v>
      </c>
      <c r="C775" s="52"/>
      <c r="D775" s="52" t="s">
        <v>1575</v>
      </c>
      <c r="E775" s="52" t="s">
        <v>387</v>
      </c>
      <c r="F775" s="52" t="s">
        <v>2133</v>
      </c>
      <c r="G775" s="52" t="s">
        <v>60</v>
      </c>
      <c r="H775" s="54">
        <v>46113</v>
      </c>
      <c r="I775" s="52" t="s">
        <v>1836</v>
      </c>
      <c r="J775" s="52" t="s">
        <v>1891</v>
      </c>
      <c r="K775" s="52"/>
      <c r="L775" s="52"/>
      <c r="M775" s="52" t="s">
        <v>29</v>
      </c>
      <c r="N775" s="53">
        <v>-420</v>
      </c>
      <c r="O775" s="53">
        <v>-420</v>
      </c>
      <c r="P775" s="52" t="s">
        <v>2134</v>
      </c>
      <c r="Q775" s="52" t="s">
        <v>2134</v>
      </c>
      <c r="R775" s="55" t="s">
        <v>64</v>
      </c>
      <c r="S775" s="52" t="s">
        <v>1891</v>
      </c>
    </row>
    <row r="776" spans="1:19" hidden="1" outlineLevel="2" x14ac:dyDescent="0.45">
      <c r="A776" t="s">
        <v>17</v>
      </c>
      <c r="B776" s="52" t="s">
        <v>66</v>
      </c>
      <c r="C776" s="52" t="s">
        <v>1627</v>
      </c>
      <c r="D776" s="52" t="s">
        <v>1628</v>
      </c>
      <c r="E776" s="52" t="s">
        <v>387</v>
      </c>
      <c r="F776" s="52" t="s">
        <v>2225</v>
      </c>
      <c r="G776" s="52" t="s">
        <v>60</v>
      </c>
      <c r="H776" s="54">
        <v>46113</v>
      </c>
      <c r="I776" s="52" t="s">
        <v>1836</v>
      </c>
      <c r="J776" s="52" t="s">
        <v>1880</v>
      </c>
      <c r="K776" s="52" t="s">
        <v>2226</v>
      </c>
      <c r="L776" s="52" t="s">
        <v>2226</v>
      </c>
      <c r="M776" s="52" t="s">
        <v>67</v>
      </c>
      <c r="N776" s="53">
        <v>-118</v>
      </c>
      <c r="O776" s="53">
        <v>-416.42</v>
      </c>
      <c r="P776" s="52" t="s">
        <v>2227</v>
      </c>
      <c r="Q776" s="52" t="s">
        <v>2228</v>
      </c>
      <c r="R776" s="55" t="s">
        <v>64</v>
      </c>
      <c r="S776" s="52" t="s">
        <v>1880</v>
      </c>
    </row>
    <row r="777" spans="1:19" hidden="1" outlineLevel="2" x14ac:dyDescent="0.45">
      <c r="A777" t="s">
        <v>17</v>
      </c>
      <c r="B777" s="52" t="s">
        <v>57</v>
      </c>
      <c r="C777" s="52" t="s">
        <v>780</v>
      </c>
      <c r="D777" s="52" t="s">
        <v>781</v>
      </c>
      <c r="E777" s="52" t="s">
        <v>387</v>
      </c>
      <c r="F777" s="52" t="s">
        <v>2229</v>
      </c>
      <c r="G777" s="52" t="s">
        <v>60</v>
      </c>
      <c r="H777" s="54">
        <v>46113</v>
      </c>
      <c r="I777" s="52" t="s">
        <v>1836</v>
      </c>
      <c r="J777" s="52" t="s">
        <v>1886</v>
      </c>
      <c r="K777" s="52" t="s">
        <v>2230</v>
      </c>
      <c r="L777" s="52" t="s">
        <v>2230</v>
      </c>
      <c r="M777" s="52" t="s">
        <v>29</v>
      </c>
      <c r="N777" s="53">
        <v>-396.48</v>
      </c>
      <c r="O777" s="53">
        <v>-396.48</v>
      </c>
      <c r="P777" s="52" t="s">
        <v>2231</v>
      </c>
      <c r="Q777" s="52" t="s">
        <v>2232</v>
      </c>
      <c r="R777" s="55" t="s">
        <v>64</v>
      </c>
      <c r="S777" s="52" t="s">
        <v>1886</v>
      </c>
    </row>
    <row r="778" spans="1:19" hidden="1" outlineLevel="2" x14ac:dyDescent="0.45">
      <c r="A778" t="s">
        <v>17</v>
      </c>
      <c r="B778" s="52" t="s">
        <v>57</v>
      </c>
      <c r="C778" s="52" t="s">
        <v>2233</v>
      </c>
      <c r="D778" s="52" t="s">
        <v>2234</v>
      </c>
      <c r="E778" s="52" t="s">
        <v>387</v>
      </c>
      <c r="F778" s="52" t="s">
        <v>2235</v>
      </c>
      <c r="G778" s="52" t="s">
        <v>60</v>
      </c>
      <c r="H778" s="54">
        <v>46113</v>
      </c>
      <c r="I778" s="52" t="s">
        <v>1836</v>
      </c>
      <c r="J778" s="52" t="s">
        <v>1975</v>
      </c>
      <c r="K778" s="52" t="s">
        <v>2236</v>
      </c>
      <c r="L778" s="52" t="s">
        <v>2236</v>
      </c>
      <c r="M778" s="52" t="s">
        <v>29</v>
      </c>
      <c r="N778" s="53">
        <v>-310</v>
      </c>
      <c r="O778" s="53">
        <v>-310</v>
      </c>
      <c r="P778" s="52" t="s">
        <v>2237</v>
      </c>
      <c r="Q778" s="52" t="s">
        <v>2238</v>
      </c>
      <c r="R778" s="55" t="s">
        <v>64</v>
      </c>
      <c r="S778" s="52" t="s">
        <v>1975</v>
      </c>
    </row>
    <row r="779" spans="1:19" hidden="1" outlineLevel="2" x14ac:dyDescent="0.45">
      <c r="A779" t="s">
        <v>17</v>
      </c>
      <c r="B779" s="52" t="s">
        <v>57</v>
      </c>
      <c r="C779" s="52" t="s">
        <v>785</v>
      </c>
      <c r="D779" s="52" t="s">
        <v>786</v>
      </c>
      <c r="E779" s="52" t="s">
        <v>387</v>
      </c>
      <c r="F779" s="52" t="s">
        <v>2239</v>
      </c>
      <c r="G779" s="52" t="s">
        <v>60</v>
      </c>
      <c r="H779" s="54">
        <v>46113</v>
      </c>
      <c r="I779" s="52" t="s">
        <v>1836</v>
      </c>
      <c r="J779" s="52" t="s">
        <v>1988</v>
      </c>
      <c r="K779" s="52" t="s">
        <v>2240</v>
      </c>
      <c r="L779" s="52" t="s">
        <v>2240</v>
      </c>
      <c r="M779" s="52" t="s">
        <v>29</v>
      </c>
      <c r="N779" s="53">
        <v>-305</v>
      </c>
      <c r="O779" s="53">
        <v>-305</v>
      </c>
      <c r="P779" s="52" t="s">
        <v>2241</v>
      </c>
      <c r="Q779" s="52" t="s">
        <v>2132</v>
      </c>
      <c r="R779" s="55" t="s">
        <v>64</v>
      </c>
      <c r="S779" s="52" t="s">
        <v>1988</v>
      </c>
    </row>
    <row r="780" spans="1:19" hidden="1" outlineLevel="2" x14ac:dyDescent="0.45">
      <c r="A780" t="s">
        <v>17</v>
      </c>
      <c r="B780" s="52" t="s">
        <v>57</v>
      </c>
      <c r="C780" s="52" t="s">
        <v>2242</v>
      </c>
      <c r="D780" s="52" t="s">
        <v>2243</v>
      </c>
      <c r="E780" s="52" t="s">
        <v>387</v>
      </c>
      <c r="F780" s="52" t="s">
        <v>2244</v>
      </c>
      <c r="G780" s="52" t="s">
        <v>60</v>
      </c>
      <c r="H780" s="54">
        <v>46113</v>
      </c>
      <c r="I780" s="52" t="s">
        <v>1836</v>
      </c>
      <c r="J780" s="52" t="s">
        <v>1908</v>
      </c>
      <c r="K780" s="52" t="s">
        <v>2245</v>
      </c>
      <c r="L780" s="52" t="s">
        <v>2245</v>
      </c>
      <c r="M780" s="52" t="s">
        <v>29</v>
      </c>
      <c r="N780" s="53">
        <v>-260</v>
      </c>
      <c r="O780" s="53">
        <v>-260</v>
      </c>
      <c r="P780" s="52" t="s">
        <v>2246</v>
      </c>
      <c r="Q780" s="52" t="s">
        <v>1911</v>
      </c>
      <c r="R780" s="55" t="s">
        <v>64</v>
      </c>
      <c r="S780" s="52" t="s">
        <v>1908</v>
      </c>
    </row>
    <row r="781" spans="1:19" hidden="1" outlineLevel="2" x14ac:dyDescent="0.45">
      <c r="A781" t="s">
        <v>17</v>
      </c>
      <c r="B781" s="52" t="s">
        <v>57</v>
      </c>
      <c r="C781" s="52" t="s">
        <v>2242</v>
      </c>
      <c r="D781" s="52" t="s">
        <v>2243</v>
      </c>
      <c r="E781" s="52" t="s">
        <v>387</v>
      </c>
      <c r="F781" s="52" t="s">
        <v>2247</v>
      </c>
      <c r="G781" s="52" t="s">
        <v>60</v>
      </c>
      <c r="H781" s="54">
        <v>46113</v>
      </c>
      <c r="I781" s="52" t="s">
        <v>1836</v>
      </c>
      <c r="J781" s="52" t="s">
        <v>1988</v>
      </c>
      <c r="K781" s="52" t="s">
        <v>2245</v>
      </c>
      <c r="L781" s="52" t="s">
        <v>2245</v>
      </c>
      <c r="M781" s="52" t="s">
        <v>29</v>
      </c>
      <c r="N781" s="53">
        <v>-260</v>
      </c>
      <c r="O781" s="53">
        <v>-260</v>
      </c>
      <c r="P781" s="52" t="s">
        <v>2246</v>
      </c>
      <c r="Q781" s="52" t="s">
        <v>2248</v>
      </c>
      <c r="R781" s="55" t="s">
        <v>64</v>
      </c>
      <c r="S781" s="52" t="s">
        <v>1988</v>
      </c>
    </row>
    <row r="782" spans="1:19" hidden="1" outlineLevel="2" x14ac:dyDescent="0.45">
      <c r="A782" t="s">
        <v>17</v>
      </c>
      <c r="B782" s="52" t="s">
        <v>57</v>
      </c>
      <c r="C782" s="52" t="s">
        <v>780</v>
      </c>
      <c r="D782" s="52" t="s">
        <v>781</v>
      </c>
      <c r="E782" s="52" t="s">
        <v>387</v>
      </c>
      <c r="F782" s="52" t="s">
        <v>1140</v>
      </c>
      <c r="G782" s="52" t="s">
        <v>60</v>
      </c>
      <c r="H782" s="54">
        <v>46113</v>
      </c>
      <c r="I782" s="52" t="s">
        <v>1836</v>
      </c>
      <c r="J782" s="52" t="s">
        <v>1988</v>
      </c>
      <c r="K782" s="52" t="s">
        <v>2249</v>
      </c>
      <c r="L782" s="52" t="s">
        <v>2249</v>
      </c>
      <c r="M782" s="52" t="s">
        <v>29</v>
      </c>
      <c r="N782" s="53">
        <v>-204</v>
      </c>
      <c r="O782" s="53">
        <v>-204</v>
      </c>
      <c r="P782" s="52" t="s">
        <v>2250</v>
      </c>
      <c r="Q782" s="52" t="s">
        <v>2132</v>
      </c>
      <c r="R782" s="55" t="s">
        <v>64</v>
      </c>
      <c r="S782" s="52" t="s">
        <v>1988</v>
      </c>
    </row>
    <row r="783" spans="1:19" hidden="1" outlineLevel="2" x14ac:dyDescent="0.45">
      <c r="A783" t="s">
        <v>17</v>
      </c>
      <c r="B783" s="52" t="s">
        <v>57</v>
      </c>
      <c r="C783" s="52" t="s">
        <v>838</v>
      </c>
      <c r="D783" s="52" t="s">
        <v>839</v>
      </c>
      <c r="E783" s="52" t="s">
        <v>387</v>
      </c>
      <c r="F783" s="52" t="s">
        <v>2251</v>
      </c>
      <c r="G783" s="52" t="s">
        <v>60</v>
      </c>
      <c r="H783" s="54">
        <v>46113</v>
      </c>
      <c r="I783" s="52" t="s">
        <v>1836</v>
      </c>
      <c r="J783" s="52" t="s">
        <v>1886</v>
      </c>
      <c r="K783" s="52" t="s">
        <v>2252</v>
      </c>
      <c r="L783" s="52" t="s">
        <v>2252</v>
      </c>
      <c r="M783" s="52" t="s">
        <v>29</v>
      </c>
      <c r="N783" s="53">
        <v>-119.98</v>
      </c>
      <c r="O783" s="53">
        <v>-119.98</v>
      </c>
      <c r="P783" s="52" t="s">
        <v>2253</v>
      </c>
      <c r="Q783" s="52" t="s">
        <v>2254</v>
      </c>
      <c r="R783" s="55" t="s">
        <v>64</v>
      </c>
      <c r="S783" s="52" t="s">
        <v>1886</v>
      </c>
    </row>
    <row r="784" spans="1:19" hidden="1" outlineLevel="2" x14ac:dyDescent="0.45">
      <c r="A784" t="s">
        <v>17</v>
      </c>
      <c r="B784" s="52" t="s">
        <v>57</v>
      </c>
      <c r="C784" s="52" t="s">
        <v>1245</v>
      </c>
      <c r="D784" s="52" t="s">
        <v>1246</v>
      </c>
      <c r="E784" s="52" t="s">
        <v>387</v>
      </c>
      <c r="F784" s="52" t="s">
        <v>2190</v>
      </c>
      <c r="G784" s="52" t="s">
        <v>60</v>
      </c>
      <c r="H784" s="54">
        <v>46113</v>
      </c>
      <c r="I784" s="52" t="s">
        <v>1836</v>
      </c>
      <c r="J784" s="52" t="s">
        <v>1975</v>
      </c>
      <c r="K784" s="52" t="s">
        <v>2255</v>
      </c>
      <c r="L784" s="52" t="s">
        <v>2255</v>
      </c>
      <c r="M784" s="52" t="s">
        <v>29</v>
      </c>
      <c r="N784" s="53">
        <v>-100</v>
      </c>
      <c r="O784" s="53">
        <v>-100</v>
      </c>
      <c r="P784" s="52" t="s">
        <v>2256</v>
      </c>
      <c r="Q784" s="52" t="s">
        <v>2193</v>
      </c>
      <c r="R784" s="55" t="s">
        <v>64</v>
      </c>
      <c r="S784" s="52" t="s">
        <v>1975</v>
      </c>
    </row>
    <row r="785" spans="1:19" hidden="1" outlineLevel="2" x14ac:dyDescent="0.45">
      <c r="A785" t="s">
        <v>17</v>
      </c>
      <c r="B785" s="52" t="s">
        <v>57</v>
      </c>
      <c r="C785" s="52" t="s">
        <v>1609</v>
      </c>
      <c r="D785" s="52" t="s">
        <v>1610</v>
      </c>
      <c r="E785" s="52" t="s">
        <v>387</v>
      </c>
      <c r="F785" s="52" t="s">
        <v>2257</v>
      </c>
      <c r="G785" s="52" t="s">
        <v>60</v>
      </c>
      <c r="H785" s="54">
        <v>46113</v>
      </c>
      <c r="I785" s="52" t="s">
        <v>1836</v>
      </c>
      <c r="J785" s="52" t="s">
        <v>1988</v>
      </c>
      <c r="K785" s="52" t="s">
        <v>2258</v>
      </c>
      <c r="L785" s="52" t="s">
        <v>2258</v>
      </c>
      <c r="M785" s="52" t="s">
        <v>29</v>
      </c>
      <c r="N785" s="53">
        <v>-93</v>
      </c>
      <c r="O785" s="53">
        <v>-93</v>
      </c>
      <c r="P785" s="52" t="s">
        <v>2259</v>
      </c>
      <c r="Q785" s="52" t="s">
        <v>2132</v>
      </c>
      <c r="R785" s="55" t="s">
        <v>64</v>
      </c>
      <c r="S785" s="52" t="s">
        <v>1988</v>
      </c>
    </row>
    <row r="786" spans="1:19" hidden="1" outlineLevel="2" x14ac:dyDescent="0.45">
      <c r="A786" t="s">
        <v>17</v>
      </c>
      <c r="B786" s="52" t="s">
        <v>57</v>
      </c>
      <c r="C786" s="52" t="s">
        <v>376</v>
      </c>
      <c r="D786" s="52" t="s">
        <v>377</v>
      </c>
      <c r="E786" s="52" t="s">
        <v>387</v>
      </c>
      <c r="F786" s="52" t="s">
        <v>2260</v>
      </c>
      <c r="G786" s="52" t="s">
        <v>60</v>
      </c>
      <c r="H786" s="54">
        <v>46113</v>
      </c>
      <c r="I786" s="52" t="s">
        <v>1836</v>
      </c>
      <c r="J786" s="52" t="s">
        <v>1891</v>
      </c>
      <c r="K786" s="52" t="s">
        <v>2261</v>
      </c>
      <c r="L786" s="52" t="s">
        <v>2261</v>
      </c>
      <c r="M786" s="52" t="s">
        <v>29</v>
      </c>
      <c r="N786" s="53">
        <v>-75.7</v>
      </c>
      <c r="O786" s="53">
        <v>-75.7</v>
      </c>
      <c r="P786" s="52" t="s">
        <v>2262</v>
      </c>
      <c r="Q786" s="52" t="s">
        <v>2263</v>
      </c>
      <c r="R786" s="55" t="s">
        <v>64</v>
      </c>
      <c r="S786" s="52" t="s">
        <v>1891</v>
      </c>
    </row>
    <row r="787" spans="1:19" hidden="1" outlineLevel="2" x14ac:dyDescent="0.45">
      <c r="A787" t="s">
        <v>17</v>
      </c>
      <c r="B787" s="52" t="s">
        <v>57</v>
      </c>
      <c r="C787" s="52" t="s">
        <v>349</v>
      </c>
      <c r="D787" s="52" t="s">
        <v>350</v>
      </c>
      <c r="E787" s="52" t="s">
        <v>387</v>
      </c>
      <c r="F787" s="52" t="s">
        <v>2264</v>
      </c>
      <c r="G787" s="52" t="s">
        <v>60</v>
      </c>
      <c r="H787" s="54">
        <v>46113</v>
      </c>
      <c r="I787" s="52" t="s">
        <v>1836</v>
      </c>
      <c r="J787" s="52" t="s">
        <v>1880</v>
      </c>
      <c r="K787" s="52" t="s">
        <v>2265</v>
      </c>
      <c r="L787" s="52" t="s">
        <v>2265</v>
      </c>
      <c r="M787" s="52" t="s">
        <v>29</v>
      </c>
      <c r="N787" s="53">
        <v>-75.45</v>
      </c>
      <c r="O787" s="53">
        <v>-75.45</v>
      </c>
      <c r="P787" s="52" t="s">
        <v>2027</v>
      </c>
      <c r="Q787" s="52" t="s">
        <v>2266</v>
      </c>
      <c r="R787" s="55" t="s">
        <v>64</v>
      </c>
      <c r="S787" s="52" t="s">
        <v>1880</v>
      </c>
    </row>
    <row r="788" spans="1:19" hidden="1" outlineLevel="2" x14ac:dyDescent="0.45">
      <c r="A788" t="s">
        <v>17</v>
      </c>
      <c r="B788" s="52" t="s">
        <v>57</v>
      </c>
      <c r="C788" s="52" t="s">
        <v>376</v>
      </c>
      <c r="D788" s="52" t="s">
        <v>377</v>
      </c>
      <c r="E788" s="52" t="s">
        <v>387</v>
      </c>
      <c r="F788" s="52" t="s">
        <v>2267</v>
      </c>
      <c r="G788" s="52" t="s">
        <v>60</v>
      </c>
      <c r="H788" s="54">
        <v>46113</v>
      </c>
      <c r="I788" s="52" t="s">
        <v>1836</v>
      </c>
      <c r="J788" s="52" t="s">
        <v>1891</v>
      </c>
      <c r="K788" s="52" t="s">
        <v>2261</v>
      </c>
      <c r="L788" s="52" t="s">
        <v>2261</v>
      </c>
      <c r="M788" s="52" t="s">
        <v>29</v>
      </c>
      <c r="N788" s="53">
        <v>-67.2</v>
      </c>
      <c r="O788" s="53">
        <v>-67.2</v>
      </c>
      <c r="P788" s="52" t="s">
        <v>2262</v>
      </c>
      <c r="Q788" s="52" t="s">
        <v>2263</v>
      </c>
      <c r="R788" s="55" t="s">
        <v>64</v>
      </c>
      <c r="S788" s="52" t="s">
        <v>1891</v>
      </c>
    </row>
    <row r="789" spans="1:19" hidden="1" outlineLevel="2" x14ac:dyDescent="0.45">
      <c r="A789" t="s">
        <v>17</v>
      </c>
      <c r="B789" s="52" t="s">
        <v>57</v>
      </c>
      <c r="C789" s="52" t="s">
        <v>911</v>
      </c>
      <c r="D789" s="52" t="s">
        <v>912</v>
      </c>
      <c r="E789" s="52" t="s">
        <v>387</v>
      </c>
      <c r="F789" s="52" t="s">
        <v>1277</v>
      </c>
      <c r="G789" s="52" t="s">
        <v>60</v>
      </c>
      <c r="H789" s="54">
        <v>46113</v>
      </c>
      <c r="I789" s="52" t="s">
        <v>1836</v>
      </c>
      <c r="J789" s="52" t="s">
        <v>1988</v>
      </c>
      <c r="K789" s="52" t="s">
        <v>2268</v>
      </c>
      <c r="L789" s="52" t="s">
        <v>2268</v>
      </c>
      <c r="M789" s="52" t="s">
        <v>29</v>
      </c>
      <c r="N789" s="53">
        <v>-48</v>
      </c>
      <c r="O789" s="53">
        <v>-48</v>
      </c>
      <c r="P789" s="52" t="s">
        <v>2269</v>
      </c>
      <c r="Q789" s="52" t="s">
        <v>2132</v>
      </c>
      <c r="R789" s="55" t="s">
        <v>64</v>
      </c>
      <c r="S789" s="52" t="s">
        <v>1988</v>
      </c>
    </row>
    <row r="790" spans="1:19" hidden="1" outlineLevel="2" x14ac:dyDescent="0.45">
      <c r="A790" t="s">
        <v>17</v>
      </c>
      <c r="B790" s="52" t="s">
        <v>57</v>
      </c>
      <c r="C790" s="52" t="s">
        <v>780</v>
      </c>
      <c r="D790" s="52" t="s">
        <v>781</v>
      </c>
      <c r="E790" s="52" t="s">
        <v>387</v>
      </c>
      <c r="F790" s="52" t="s">
        <v>2229</v>
      </c>
      <c r="G790" s="52" t="s">
        <v>60</v>
      </c>
      <c r="H790" s="54">
        <v>46113</v>
      </c>
      <c r="I790" s="52" t="s">
        <v>1836</v>
      </c>
      <c r="J790" s="52" t="s">
        <v>1886</v>
      </c>
      <c r="K790" s="52" t="s">
        <v>2230</v>
      </c>
      <c r="L790" s="52" t="s">
        <v>2230</v>
      </c>
      <c r="M790" s="52" t="s">
        <v>29</v>
      </c>
      <c r="N790" s="53">
        <v>-16.52</v>
      </c>
      <c r="O790" s="53">
        <v>-16.52</v>
      </c>
      <c r="P790" s="52" t="s">
        <v>2231</v>
      </c>
      <c r="Q790" s="52" t="s">
        <v>2232</v>
      </c>
      <c r="R790" s="55" t="s">
        <v>64</v>
      </c>
      <c r="S790" s="52" t="s">
        <v>1886</v>
      </c>
    </row>
    <row r="791" spans="1:19" s="70" customFormat="1" hidden="1" outlineLevel="2" x14ac:dyDescent="0.45">
      <c r="A791" s="70" t="s">
        <v>17</v>
      </c>
      <c r="B791" s="71" t="s">
        <v>66</v>
      </c>
      <c r="C791" s="71" t="s">
        <v>1365</v>
      </c>
      <c r="D791" s="71" t="s">
        <v>1366</v>
      </c>
      <c r="E791" s="71" t="s">
        <v>387</v>
      </c>
      <c r="F791" s="71" t="s">
        <v>2049</v>
      </c>
      <c r="G791" s="71" t="s">
        <v>60</v>
      </c>
      <c r="H791" s="72">
        <v>46113</v>
      </c>
      <c r="I791" s="71" t="s">
        <v>1836</v>
      </c>
      <c r="J791" s="71" t="s">
        <v>1870</v>
      </c>
      <c r="K791" s="71" t="s">
        <v>2050</v>
      </c>
      <c r="L791" s="71" t="s">
        <v>2050</v>
      </c>
      <c r="M791" s="71" t="s">
        <v>67</v>
      </c>
      <c r="N791" s="73">
        <v>-11800</v>
      </c>
      <c r="O791" s="73">
        <v>-41241</v>
      </c>
      <c r="P791" s="71" t="s">
        <v>1336</v>
      </c>
      <c r="Q791" s="71" t="s">
        <v>2051</v>
      </c>
      <c r="R791" s="75" t="s">
        <v>64</v>
      </c>
      <c r="S791" s="71" t="s">
        <v>1870</v>
      </c>
    </row>
    <row r="792" spans="1:19" s="70" customFormat="1" hidden="1" outlineLevel="2" x14ac:dyDescent="0.45">
      <c r="A792" s="70" t="s">
        <v>17</v>
      </c>
      <c r="B792" s="71" t="s">
        <v>66</v>
      </c>
      <c r="C792" s="71" t="s">
        <v>1365</v>
      </c>
      <c r="D792" s="71" t="s">
        <v>1366</v>
      </c>
      <c r="E792" s="71" t="s">
        <v>71</v>
      </c>
      <c r="F792" s="71" t="s">
        <v>2270</v>
      </c>
      <c r="G792" s="71" t="s">
        <v>73</v>
      </c>
      <c r="H792" s="72">
        <v>46113</v>
      </c>
      <c r="I792" s="71" t="s">
        <v>1836</v>
      </c>
      <c r="J792" s="71" t="s">
        <v>1950</v>
      </c>
      <c r="K792" s="71" t="s">
        <v>2271</v>
      </c>
      <c r="L792" s="71" t="s">
        <v>2271</v>
      </c>
      <c r="M792" s="71" t="s">
        <v>67</v>
      </c>
      <c r="N792" s="73">
        <v>11800</v>
      </c>
      <c r="O792" s="73">
        <v>40910.6</v>
      </c>
      <c r="P792" s="71" t="s">
        <v>2272</v>
      </c>
      <c r="Q792" s="71" t="s">
        <v>2273</v>
      </c>
      <c r="R792" s="75" t="s">
        <v>64</v>
      </c>
      <c r="S792" s="71" t="s">
        <v>1870</v>
      </c>
    </row>
    <row r="793" spans="1:19" s="70" customFormat="1" outlineLevel="1" collapsed="1" x14ac:dyDescent="0.45">
      <c r="A793" s="76" t="s">
        <v>1744</v>
      </c>
      <c r="B793" s="74"/>
      <c r="C793" s="74"/>
      <c r="D793" s="74"/>
      <c r="E793" s="74"/>
      <c r="F793" s="74"/>
      <c r="G793" s="74"/>
      <c r="H793" s="77"/>
      <c r="I793" s="74"/>
      <c r="J793" s="74"/>
      <c r="K793" s="74"/>
      <c r="L793" s="74"/>
      <c r="M793" s="74"/>
      <c r="N793" s="78"/>
      <c r="O793" s="73">
        <f>SUBTOTAL(9,O696:O792)</f>
        <v>-820967.39999999979</v>
      </c>
      <c r="P793" s="74"/>
      <c r="Q793" s="74"/>
      <c r="R793" s="79"/>
      <c r="S793" s="74"/>
    </row>
    <row r="794" spans="1:19" hidden="1" outlineLevel="2" x14ac:dyDescent="0.45">
      <c r="A794" t="s">
        <v>18</v>
      </c>
      <c r="B794" s="52" t="s">
        <v>65</v>
      </c>
      <c r="C794" s="52" t="s">
        <v>1745</v>
      </c>
      <c r="D794" s="52" t="s">
        <v>1746</v>
      </c>
      <c r="E794" s="52" t="s">
        <v>387</v>
      </c>
      <c r="F794" s="52" t="s">
        <v>2274</v>
      </c>
      <c r="G794" s="52" t="s">
        <v>60</v>
      </c>
      <c r="H794" s="54">
        <v>46113</v>
      </c>
      <c r="I794" s="52" t="s">
        <v>1836</v>
      </c>
      <c r="J794" s="52" t="s">
        <v>2081</v>
      </c>
      <c r="K794" s="52" t="s">
        <v>2275</v>
      </c>
      <c r="L794" s="52" t="s">
        <v>2276</v>
      </c>
      <c r="M794" s="52" t="s">
        <v>29</v>
      </c>
      <c r="N794" s="53">
        <v>-31372</v>
      </c>
      <c r="O794" s="53">
        <v>-31372</v>
      </c>
      <c r="P794" s="52" t="s">
        <v>1762</v>
      </c>
      <c r="Q794" s="52" t="s">
        <v>2277</v>
      </c>
      <c r="R794" s="52" t="s">
        <v>64</v>
      </c>
      <c r="S794" s="52" t="s">
        <v>2081</v>
      </c>
    </row>
    <row r="795" spans="1:19" hidden="1" outlineLevel="2" x14ac:dyDescent="0.45">
      <c r="A795" t="s">
        <v>18</v>
      </c>
      <c r="B795" s="52" t="s">
        <v>65</v>
      </c>
      <c r="C795" s="52" t="s">
        <v>1745</v>
      </c>
      <c r="D795" s="52" t="s">
        <v>1746</v>
      </c>
      <c r="E795" s="52" t="s">
        <v>387</v>
      </c>
      <c r="F795" s="52" t="s">
        <v>2274</v>
      </c>
      <c r="G795" s="52" t="s">
        <v>60</v>
      </c>
      <c r="H795" s="54">
        <v>46113</v>
      </c>
      <c r="I795" s="52" t="s">
        <v>1836</v>
      </c>
      <c r="J795" s="52" t="s">
        <v>2081</v>
      </c>
      <c r="K795" s="52" t="s">
        <v>2278</v>
      </c>
      <c r="L795" s="52" t="s">
        <v>2279</v>
      </c>
      <c r="M795" s="52" t="s">
        <v>29</v>
      </c>
      <c r="N795" s="53">
        <v>-17321</v>
      </c>
      <c r="O795" s="53">
        <v>-17321</v>
      </c>
      <c r="P795" s="52" t="s">
        <v>1766</v>
      </c>
      <c r="Q795" s="52" t="s">
        <v>2277</v>
      </c>
      <c r="R795" s="52" t="s">
        <v>64</v>
      </c>
      <c r="S795" s="52" t="s">
        <v>2081</v>
      </c>
    </row>
    <row r="796" spans="1:19" hidden="1" outlineLevel="2" x14ac:dyDescent="0.45">
      <c r="A796" t="s">
        <v>18</v>
      </c>
      <c r="B796" s="52" t="s">
        <v>65</v>
      </c>
      <c r="C796" s="52" t="s">
        <v>1745</v>
      </c>
      <c r="D796" s="52" t="s">
        <v>1746</v>
      </c>
      <c r="E796" s="52" t="s">
        <v>387</v>
      </c>
      <c r="F796" s="52" t="s">
        <v>2274</v>
      </c>
      <c r="G796" s="52" t="s">
        <v>60</v>
      </c>
      <c r="H796" s="54">
        <v>46113</v>
      </c>
      <c r="I796" s="52" t="s">
        <v>1836</v>
      </c>
      <c r="J796" s="52" t="s">
        <v>2081</v>
      </c>
      <c r="K796" s="52" t="s">
        <v>2280</v>
      </c>
      <c r="L796" s="52" t="s">
        <v>2280</v>
      </c>
      <c r="M796" s="52" t="s">
        <v>29</v>
      </c>
      <c r="N796" s="53">
        <v>-8491</v>
      </c>
      <c r="O796" s="53">
        <v>-8491</v>
      </c>
      <c r="P796" s="52" t="s">
        <v>2281</v>
      </c>
      <c r="Q796" s="52" t="s">
        <v>2277</v>
      </c>
      <c r="R796" s="52" t="s">
        <v>64</v>
      </c>
      <c r="S796" s="52" t="s">
        <v>2081</v>
      </c>
    </row>
    <row r="797" spans="1:19" hidden="1" outlineLevel="2" x14ac:dyDescent="0.45">
      <c r="A797" t="s">
        <v>18</v>
      </c>
      <c r="B797" s="52" t="s">
        <v>65</v>
      </c>
      <c r="C797" s="52" t="s">
        <v>1745</v>
      </c>
      <c r="D797" s="52" t="s">
        <v>1746</v>
      </c>
      <c r="E797" s="52" t="s">
        <v>387</v>
      </c>
      <c r="F797" s="52" t="s">
        <v>2274</v>
      </c>
      <c r="G797" s="52" t="s">
        <v>60</v>
      </c>
      <c r="H797" s="54">
        <v>46113</v>
      </c>
      <c r="I797" s="52" t="s">
        <v>1836</v>
      </c>
      <c r="J797" s="52" t="s">
        <v>2081</v>
      </c>
      <c r="K797" s="52" t="s">
        <v>2282</v>
      </c>
      <c r="L797" s="52" t="s">
        <v>2283</v>
      </c>
      <c r="M797" s="52" t="s">
        <v>29</v>
      </c>
      <c r="N797" s="53">
        <v>-6925</v>
      </c>
      <c r="O797" s="53">
        <v>-6925</v>
      </c>
      <c r="P797" s="52" t="s">
        <v>1769</v>
      </c>
      <c r="Q797" s="52" t="s">
        <v>2277</v>
      </c>
      <c r="R797" s="52" t="s">
        <v>64</v>
      </c>
      <c r="S797" s="52" t="s">
        <v>2081</v>
      </c>
    </row>
    <row r="798" spans="1:19" hidden="1" outlineLevel="2" x14ac:dyDescent="0.45">
      <c r="A798" t="s">
        <v>18</v>
      </c>
      <c r="B798" s="52" t="s">
        <v>65</v>
      </c>
      <c r="C798" s="52" t="s">
        <v>1745</v>
      </c>
      <c r="D798" s="52" t="s">
        <v>1746</v>
      </c>
      <c r="E798" s="52" t="s">
        <v>387</v>
      </c>
      <c r="F798" s="52" t="s">
        <v>2284</v>
      </c>
      <c r="G798" s="52" t="s">
        <v>60</v>
      </c>
      <c r="H798" s="54">
        <v>46113</v>
      </c>
      <c r="I798" s="52" t="s">
        <v>1836</v>
      </c>
      <c r="J798" s="52" t="s">
        <v>2285</v>
      </c>
      <c r="K798" s="52" t="s">
        <v>2286</v>
      </c>
      <c r="L798" s="52" t="s">
        <v>2286</v>
      </c>
      <c r="M798" s="52" t="s">
        <v>29</v>
      </c>
      <c r="N798" s="53">
        <v>-53465</v>
      </c>
      <c r="O798" s="53">
        <v>-53465</v>
      </c>
      <c r="P798" s="52" t="s">
        <v>2287</v>
      </c>
      <c r="Q798" s="52" t="s">
        <v>2288</v>
      </c>
      <c r="R798" s="52" t="s">
        <v>64</v>
      </c>
      <c r="S798" s="52" t="s">
        <v>2285</v>
      </c>
    </row>
    <row r="799" spans="1:19" hidden="1" outlineLevel="2" x14ac:dyDescent="0.45">
      <c r="A799" t="s">
        <v>18</v>
      </c>
      <c r="B799" s="52" t="s">
        <v>57</v>
      </c>
      <c r="C799" s="52" t="s">
        <v>1745</v>
      </c>
      <c r="D799" s="52" t="s">
        <v>1746</v>
      </c>
      <c r="E799" s="52" t="s">
        <v>387</v>
      </c>
      <c r="F799" s="52" t="s">
        <v>2289</v>
      </c>
      <c r="G799" s="52" t="s">
        <v>60</v>
      </c>
      <c r="H799" s="54">
        <v>46113</v>
      </c>
      <c r="I799" s="52" t="s">
        <v>1836</v>
      </c>
      <c r="J799" s="52" t="s">
        <v>2285</v>
      </c>
      <c r="K799" s="52" t="s">
        <v>2290</v>
      </c>
      <c r="L799" s="52" t="s">
        <v>2290</v>
      </c>
      <c r="M799" s="52" t="s">
        <v>29</v>
      </c>
      <c r="N799" s="53">
        <v>-73398</v>
      </c>
      <c r="O799" s="53">
        <v>-73398</v>
      </c>
      <c r="P799" s="52" t="s">
        <v>2287</v>
      </c>
      <c r="Q799" s="52" t="s">
        <v>2291</v>
      </c>
      <c r="R799" s="52" t="s">
        <v>64</v>
      </c>
      <c r="S799" s="52" t="s">
        <v>2285</v>
      </c>
    </row>
    <row r="800" spans="1:19" hidden="1" outlineLevel="2" x14ac:dyDescent="0.45">
      <c r="A800" t="s">
        <v>18</v>
      </c>
      <c r="B800" s="52" t="s">
        <v>57</v>
      </c>
      <c r="C800" s="52" t="s">
        <v>1745</v>
      </c>
      <c r="D800" s="52" t="s">
        <v>1746</v>
      </c>
      <c r="E800" s="52" t="s">
        <v>387</v>
      </c>
      <c r="F800" s="52" t="s">
        <v>2292</v>
      </c>
      <c r="G800" s="52" t="s">
        <v>60</v>
      </c>
      <c r="H800" s="54">
        <v>46113</v>
      </c>
      <c r="I800" s="52" t="s">
        <v>1836</v>
      </c>
      <c r="J800" s="52" t="s">
        <v>2285</v>
      </c>
      <c r="K800" s="52" t="s">
        <v>2293</v>
      </c>
      <c r="L800" s="52" t="s">
        <v>2293</v>
      </c>
      <c r="M800" s="52" t="s">
        <v>29</v>
      </c>
      <c r="N800" s="53">
        <v>-74669</v>
      </c>
      <c r="O800" s="53">
        <v>-74669</v>
      </c>
      <c r="P800" s="52" t="s">
        <v>2294</v>
      </c>
      <c r="Q800" s="52" t="s">
        <v>2295</v>
      </c>
      <c r="R800" s="52" t="s">
        <v>64</v>
      </c>
      <c r="S800" s="52" t="s">
        <v>2285</v>
      </c>
    </row>
    <row r="801" spans="1:19" hidden="1" outlineLevel="2" x14ac:dyDescent="0.45">
      <c r="A801" t="s">
        <v>18</v>
      </c>
      <c r="B801" s="52" t="s">
        <v>65</v>
      </c>
      <c r="C801" s="52" t="s">
        <v>1745</v>
      </c>
      <c r="D801" s="52" t="s">
        <v>1746</v>
      </c>
      <c r="E801" s="52" t="s">
        <v>387</v>
      </c>
      <c r="F801" s="52" t="s">
        <v>2274</v>
      </c>
      <c r="G801" s="52" t="s">
        <v>60</v>
      </c>
      <c r="H801" s="54">
        <v>46113</v>
      </c>
      <c r="I801" s="52" t="s">
        <v>1836</v>
      </c>
      <c r="J801" s="52" t="s">
        <v>2081</v>
      </c>
      <c r="K801" s="52" t="s">
        <v>2296</v>
      </c>
      <c r="L801" s="52" t="s">
        <v>2297</v>
      </c>
      <c r="M801" s="52" t="s">
        <v>29</v>
      </c>
      <c r="N801" s="53">
        <v>-844</v>
      </c>
      <c r="O801" s="53">
        <v>-844</v>
      </c>
      <c r="P801" s="52" t="s">
        <v>2298</v>
      </c>
      <c r="Q801" s="52" t="s">
        <v>2277</v>
      </c>
      <c r="R801" s="52" t="s">
        <v>64</v>
      </c>
      <c r="S801" s="52" t="s">
        <v>2081</v>
      </c>
    </row>
    <row r="802" spans="1:19" hidden="1" outlineLevel="2" x14ac:dyDescent="0.45">
      <c r="A802" t="s">
        <v>18</v>
      </c>
      <c r="B802" s="52" t="s">
        <v>57</v>
      </c>
      <c r="C802" s="52" t="s">
        <v>1745</v>
      </c>
      <c r="D802" s="52" t="s">
        <v>1746</v>
      </c>
      <c r="E802" s="52" t="s">
        <v>387</v>
      </c>
      <c r="F802" s="52" t="s">
        <v>2299</v>
      </c>
      <c r="G802" s="52" t="s">
        <v>60</v>
      </c>
      <c r="H802" s="54">
        <v>46113</v>
      </c>
      <c r="I802" s="52" t="s">
        <v>1836</v>
      </c>
      <c r="J802" s="52" t="s">
        <v>1880</v>
      </c>
      <c r="K802" s="52" t="s">
        <v>2300</v>
      </c>
      <c r="L802" s="52" t="s">
        <v>2300</v>
      </c>
      <c r="M802" s="52" t="s">
        <v>29</v>
      </c>
      <c r="N802" s="53">
        <v>-200780</v>
      </c>
      <c r="O802" s="53">
        <v>-200780</v>
      </c>
      <c r="P802" s="52" t="s">
        <v>2301</v>
      </c>
      <c r="Q802" s="52" t="s">
        <v>2302</v>
      </c>
      <c r="R802" s="52" t="s">
        <v>64</v>
      </c>
      <c r="S802" s="52" t="s">
        <v>1880</v>
      </c>
    </row>
    <row r="803" spans="1:19" outlineLevel="1" collapsed="1" x14ac:dyDescent="0.45">
      <c r="A803" s="1" t="s">
        <v>1834</v>
      </c>
      <c r="B803" s="52"/>
      <c r="C803" s="52"/>
      <c r="D803" s="52"/>
      <c r="E803" s="52"/>
      <c r="F803" s="52"/>
      <c r="G803" s="52"/>
      <c r="H803" s="54"/>
      <c r="I803" s="52"/>
      <c r="J803" s="52"/>
      <c r="K803" s="52"/>
      <c r="L803" s="52"/>
      <c r="M803" s="52"/>
      <c r="N803" s="53"/>
      <c r="O803" s="53">
        <f>SUBTOTAL(9,O794:O802)</f>
        <v>-467265</v>
      </c>
      <c r="P803" s="52"/>
      <c r="Q803" s="52"/>
      <c r="R803" s="52"/>
      <c r="S803" s="52"/>
    </row>
    <row r="804" spans="1:19" x14ac:dyDescent="0.45">
      <c r="A804" s="1" t="s">
        <v>3384</v>
      </c>
      <c r="B804" s="52"/>
      <c r="C804" s="52"/>
      <c r="D804" s="52"/>
      <c r="E804" s="52"/>
      <c r="F804" s="52"/>
      <c r="G804" s="52"/>
      <c r="H804" s="54"/>
      <c r="I804" s="52"/>
      <c r="J804" s="52"/>
      <c r="K804" s="52"/>
      <c r="L804" s="52"/>
      <c r="M804" s="52"/>
      <c r="N804" s="53"/>
      <c r="O804" s="92">
        <f>SUBTOTAL(9,O666:O802)</f>
        <v>-1203441.0299999998</v>
      </c>
      <c r="P804" s="52"/>
      <c r="Q804" s="52"/>
      <c r="R804" s="52"/>
      <c r="S804" s="52"/>
    </row>
    <row r="805" spans="1:19" x14ac:dyDescent="0.45">
      <c r="B805" s="52"/>
      <c r="C805" s="52"/>
      <c r="D805" s="52"/>
      <c r="E805" s="52"/>
      <c r="F805" s="52"/>
      <c r="G805" s="52"/>
      <c r="H805" s="54"/>
      <c r="I805" s="52"/>
      <c r="J805" s="52"/>
      <c r="K805" s="52"/>
      <c r="L805" s="52"/>
      <c r="M805" s="52"/>
      <c r="N805" s="53"/>
      <c r="O805" s="53"/>
      <c r="P805" s="52"/>
      <c r="Q805" s="52"/>
      <c r="R805" s="52"/>
      <c r="S805" s="52"/>
    </row>
    <row r="806" spans="1:19" x14ac:dyDescent="0.45">
      <c r="A806" s="44" t="s">
        <v>37</v>
      </c>
      <c r="B806" s="45" t="s">
        <v>38</v>
      </c>
      <c r="C806" s="46" t="s">
        <v>39</v>
      </c>
      <c r="D806" s="46" t="s">
        <v>40</v>
      </c>
      <c r="E806" s="46" t="s">
        <v>41</v>
      </c>
      <c r="F806" s="47" t="s">
        <v>42</v>
      </c>
      <c r="G806" s="47" t="s">
        <v>43</v>
      </c>
      <c r="H806" s="46" t="s">
        <v>44</v>
      </c>
      <c r="I806" s="47" t="s">
        <v>45</v>
      </c>
      <c r="J806" s="46" t="s">
        <v>46</v>
      </c>
      <c r="K806" s="47" t="s">
        <v>47</v>
      </c>
      <c r="L806" s="47" t="s">
        <v>48</v>
      </c>
      <c r="M806" s="45" t="s">
        <v>49</v>
      </c>
      <c r="N806" s="48" t="s">
        <v>50</v>
      </c>
      <c r="O806" s="48" t="s">
        <v>51</v>
      </c>
      <c r="P806" s="47" t="s">
        <v>52</v>
      </c>
      <c r="Q806" s="47" t="s">
        <v>53</v>
      </c>
      <c r="R806" s="49" t="s">
        <v>54</v>
      </c>
      <c r="S806" s="46" t="s">
        <v>55</v>
      </c>
    </row>
    <row r="807" spans="1:19" hidden="1" outlineLevel="2" x14ac:dyDescent="0.45">
      <c r="A807" t="s">
        <v>14</v>
      </c>
      <c r="B807" s="52" t="s">
        <v>57</v>
      </c>
      <c r="C807" s="52" t="s">
        <v>187</v>
      </c>
      <c r="D807" s="52" t="s">
        <v>188</v>
      </c>
      <c r="E807" s="52" t="s">
        <v>71</v>
      </c>
      <c r="F807" s="52" t="s">
        <v>2303</v>
      </c>
      <c r="G807" s="52" t="s">
        <v>73</v>
      </c>
      <c r="H807" s="54">
        <v>46143</v>
      </c>
      <c r="I807" s="52" t="s">
        <v>2304</v>
      </c>
      <c r="J807" s="52" t="s">
        <v>2305</v>
      </c>
      <c r="K807" s="52" t="s">
        <v>1866</v>
      </c>
      <c r="L807" s="52" t="s">
        <v>1866</v>
      </c>
      <c r="M807" s="52" t="s">
        <v>29</v>
      </c>
      <c r="N807" s="53">
        <v>103840</v>
      </c>
      <c r="O807" s="53">
        <v>103840</v>
      </c>
      <c r="P807" s="52" t="s">
        <v>1867</v>
      </c>
      <c r="Q807" s="52" t="s">
        <v>2306</v>
      </c>
      <c r="R807" s="52" t="s">
        <v>64</v>
      </c>
      <c r="S807" s="52" t="s">
        <v>383</v>
      </c>
    </row>
    <row r="808" spans="1:19" hidden="1" outlineLevel="2" x14ac:dyDescent="0.45">
      <c r="A808" t="s">
        <v>14</v>
      </c>
      <c r="B808" s="52" t="s">
        <v>57</v>
      </c>
      <c r="C808" s="52" t="s">
        <v>187</v>
      </c>
      <c r="D808" s="52" t="s">
        <v>188</v>
      </c>
      <c r="E808" s="52" t="s">
        <v>71</v>
      </c>
      <c r="F808" s="52" t="s">
        <v>2307</v>
      </c>
      <c r="G808" s="52" t="s">
        <v>73</v>
      </c>
      <c r="H808" s="54">
        <v>46143</v>
      </c>
      <c r="I808" s="52" t="s">
        <v>2304</v>
      </c>
      <c r="J808" s="52" t="s">
        <v>2308</v>
      </c>
      <c r="K808" s="52" t="s">
        <v>2309</v>
      </c>
      <c r="L808" s="52" t="s">
        <v>2309</v>
      </c>
      <c r="M808" s="52" t="s">
        <v>29</v>
      </c>
      <c r="N808" s="53">
        <v>103840</v>
      </c>
      <c r="O808" s="53">
        <v>103840</v>
      </c>
      <c r="P808" s="52" t="s">
        <v>1875</v>
      </c>
      <c r="Q808" s="52" t="s">
        <v>2310</v>
      </c>
      <c r="R808" s="52" t="s">
        <v>64</v>
      </c>
      <c r="S808" s="52" t="s">
        <v>2311</v>
      </c>
    </row>
    <row r="809" spans="1:19" hidden="1" outlineLevel="2" x14ac:dyDescent="0.45">
      <c r="A809" t="s">
        <v>14</v>
      </c>
      <c r="B809" s="52" t="s">
        <v>65</v>
      </c>
      <c r="C809" s="52" t="s">
        <v>187</v>
      </c>
      <c r="D809" s="52" t="s">
        <v>188</v>
      </c>
      <c r="E809" s="52" t="s">
        <v>71</v>
      </c>
      <c r="F809" s="52" t="s">
        <v>2312</v>
      </c>
      <c r="G809" s="52" t="s">
        <v>73</v>
      </c>
      <c r="H809" s="54">
        <v>46143</v>
      </c>
      <c r="I809" s="52" t="s">
        <v>2304</v>
      </c>
      <c r="J809" s="52" t="s">
        <v>2313</v>
      </c>
      <c r="K809" s="52" t="s">
        <v>1874</v>
      </c>
      <c r="L809" s="52" t="s">
        <v>1874</v>
      </c>
      <c r="M809" s="52" t="s">
        <v>29</v>
      </c>
      <c r="N809" s="53">
        <v>14160</v>
      </c>
      <c r="O809" s="53">
        <v>14160</v>
      </c>
      <c r="P809" s="52" t="s">
        <v>1875</v>
      </c>
      <c r="Q809" s="52" t="s">
        <v>2314</v>
      </c>
      <c r="R809" s="52" t="s">
        <v>64</v>
      </c>
      <c r="S809" s="52" t="s">
        <v>383</v>
      </c>
    </row>
    <row r="810" spans="1:19" hidden="1" outlineLevel="2" x14ac:dyDescent="0.45">
      <c r="A810" t="s">
        <v>14</v>
      </c>
      <c r="B810" s="52" t="s">
        <v>65</v>
      </c>
      <c r="C810" s="52" t="s">
        <v>187</v>
      </c>
      <c r="D810" s="52" t="s">
        <v>188</v>
      </c>
      <c r="E810" s="52" t="s">
        <v>71</v>
      </c>
      <c r="F810" s="52" t="s">
        <v>2315</v>
      </c>
      <c r="G810" s="52" t="s">
        <v>73</v>
      </c>
      <c r="H810" s="54">
        <v>46143</v>
      </c>
      <c r="I810" s="52" t="s">
        <v>2304</v>
      </c>
      <c r="J810" s="52" t="s">
        <v>2316</v>
      </c>
      <c r="K810" s="52" t="s">
        <v>2309</v>
      </c>
      <c r="L810" s="52" t="s">
        <v>2309</v>
      </c>
      <c r="M810" s="52" t="s">
        <v>29</v>
      </c>
      <c r="N810" s="53">
        <v>14160</v>
      </c>
      <c r="O810" s="53">
        <v>14160</v>
      </c>
      <c r="P810" s="52" t="s">
        <v>1875</v>
      </c>
      <c r="Q810" s="52" t="s">
        <v>2317</v>
      </c>
      <c r="R810" s="52" t="s">
        <v>64</v>
      </c>
      <c r="S810" s="52" t="s">
        <v>2311</v>
      </c>
    </row>
    <row r="811" spans="1:19" hidden="1" outlineLevel="2" x14ac:dyDescent="0.45">
      <c r="A811" t="s">
        <v>14</v>
      </c>
      <c r="B811" s="52" t="s">
        <v>65</v>
      </c>
      <c r="C811" s="52" t="s">
        <v>187</v>
      </c>
      <c r="D811" s="52" t="s">
        <v>188</v>
      </c>
      <c r="E811" s="52" t="s">
        <v>71</v>
      </c>
      <c r="F811" s="52" t="s">
        <v>2318</v>
      </c>
      <c r="G811" s="52" t="s">
        <v>73</v>
      </c>
      <c r="H811" s="54">
        <v>46143</v>
      </c>
      <c r="I811" s="52" t="s">
        <v>2304</v>
      </c>
      <c r="J811" s="52" t="s">
        <v>2316</v>
      </c>
      <c r="K811" s="52" t="s">
        <v>329</v>
      </c>
      <c r="L811" s="52" t="s">
        <v>329</v>
      </c>
      <c r="M811" s="52" t="s">
        <v>29</v>
      </c>
      <c r="N811" s="53">
        <v>14160</v>
      </c>
      <c r="O811" s="53">
        <v>14160</v>
      </c>
      <c r="P811" s="52" t="s">
        <v>265</v>
      </c>
      <c r="Q811" s="52" t="s">
        <v>2319</v>
      </c>
      <c r="R811" s="52" t="s">
        <v>64</v>
      </c>
      <c r="S811" s="52" t="s">
        <v>301</v>
      </c>
    </row>
    <row r="812" spans="1:19" hidden="1" outlineLevel="2" x14ac:dyDescent="0.45">
      <c r="A812" t="s">
        <v>14</v>
      </c>
      <c r="B812" s="52" t="s">
        <v>57</v>
      </c>
      <c r="C812" s="52" t="s">
        <v>187</v>
      </c>
      <c r="D812" s="52" t="s">
        <v>188</v>
      </c>
      <c r="E812" s="52" t="s">
        <v>71</v>
      </c>
      <c r="F812" s="52" t="s">
        <v>2320</v>
      </c>
      <c r="G812" s="52" t="s">
        <v>73</v>
      </c>
      <c r="H812" s="54">
        <v>46143</v>
      </c>
      <c r="I812" s="52" t="s">
        <v>2304</v>
      </c>
      <c r="J812" s="52" t="s">
        <v>2321</v>
      </c>
      <c r="K812" s="52" t="s">
        <v>2322</v>
      </c>
      <c r="L812" s="52" t="s">
        <v>2322</v>
      </c>
      <c r="M812" s="52" t="s">
        <v>29</v>
      </c>
      <c r="N812" s="53">
        <v>103840</v>
      </c>
      <c r="O812" s="53">
        <v>103840</v>
      </c>
      <c r="P812" s="52" t="s">
        <v>2323</v>
      </c>
      <c r="Q812" s="52" t="s">
        <v>2306</v>
      </c>
      <c r="R812" s="52" t="s">
        <v>64</v>
      </c>
      <c r="S812" s="52" t="s">
        <v>383</v>
      </c>
    </row>
    <row r="813" spans="1:19" hidden="1" outlineLevel="2" x14ac:dyDescent="0.45">
      <c r="A813" t="s">
        <v>14</v>
      </c>
      <c r="B813" s="52" t="s">
        <v>57</v>
      </c>
      <c r="C813" s="52" t="s">
        <v>88</v>
      </c>
      <c r="D813" s="52" t="s">
        <v>89</v>
      </c>
      <c r="E813" s="52" t="s">
        <v>71</v>
      </c>
      <c r="F813" s="52" t="s">
        <v>2324</v>
      </c>
      <c r="G813" s="52" t="s">
        <v>73</v>
      </c>
      <c r="H813" s="54">
        <v>46143</v>
      </c>
      <c r="I813" s="52" t="s">
        <v>2304</v>
      </c>
      <c r="J813" s="52" t="s">
        <v>2325</v>
      </c>
      <c r="K813" s="52" t="s">
        <v>92</v>
      </c>
      <c r="L813" s="52" t="s">
        <v>92</v>
      </c>
      <c r="M813" s="52" t="s">
        <v>29</v>
      </c>
      <c r="N813" s="53">
        <v>95918.21</v>
      </c>
      <c r="O813" s="53">
        <v>95918.21</v>
      </c>
      <c r="P813" s="52" t="s">
        <v>93</v>
      </c>
      <c r="Q813" s="52" t="s">
        <v>2326</v>
      </c>
      <c r="R813" s="52" t="s">
        <v>64</v>
      </c>
      <c r="S813" s="52" t="s">
        <v>95</v>
      </c>
    </row>
    <row r="814" spans="1:19" outlineLevel="1" collapsed="1" x14ac:dyDescent="0.45">
      <c r="A814" s="1" t="s">
        <v>337</v>
      </c>
      <c r="B814" s="52"/>
      <c r="C814" s="52"/>
      <c r="D814" s="52"/>
      <c r="E814" s="52"/>
      <c r="F814" s="52"/>
      <c r="G814" s="52"/>
      <c r="H814" s="54"/>
      <c r="I814" s="52"/>
      <c r="J814" s="52"/>
      <c r="K814" s="52"/>
      <c r="L814" s="52"/>
      <c r="M814" s="52"/>
      <c r="N814" s="53"/>
      <c r="O814" s="53">
        <f>SUBTOTAL(9,O807:O813)</f>
        <v>449918.21</v>
      </c>
      <c r="P814" s="52"/>
      <c r="Q814" s="52"/>
      <c r="R814" s="52"/>
      <c r="S814" s="52"/>
    </row>
    <row r="815" spans="1:19" hidden="1" outlineLevel="2" x14ac:dyDescent="0.45">
      <c r="A815" t="s">
        <v>15</v>
      </c>
      <c r="B815" s="52" t="s">
        <v>57</v>
      </c>
      <c r="C815" s="52"/>
      <c r="D815" s="52" t="s">
        <v>338</v>
      </c>
      <c r="E815" s="52" t="s">
        <v>71</v>
      </c>
      <c r="F815" s="52" t="s">
        <v>2327</v>
      </c>
      <c r="G815" s="52" t="s">
        <v>73</v>
      </c>
      <c r="H815" s="54">
        <v>46143</v>
      </c>
      <c r="I815" s="52" t="s">
        <v>2304</v>
      </c>
      <c r="J815" s="52" t="s">
        <v>2328</v>
      </c>
      <c r="K815" s="52" t="s">
        <v>2329</v>
      </c>
      <c r="L815" s="52" t="s">
        <v>2329</v>
      </c>
      <c r="M815" s="52" t="s">
        <v>29</v>
      </c>
      <c r="N815" s="53">
        <v>275240</v>
      </c>
      <c r="O815" s="53">
        <v>275240</v>
      </c>
      <c r="P815" s="52" t="s">
        <v>2330</v>
      </c>
      <c r="Q815" s="52" t="s">
        <v>2331</v>
      </c>
      <c r="R815" s="52" t="s">
        <v>64</v>
      </c>
      <c r="S815" s="52" t="s">
        <v>2328</v>
      </c>
    </row>
    <row r="816" spans="1:19" hidden="1" outlineLevel="2" x14ac:dyDescent="0.45">
      <c r="A816" t="s">
        <v>15</v>
      </c>
      <c r="B816" s="52" t="s">
        <v>57</v>
      </c>
      <c r="C816" s="52" t="s">
        <v>1877</v>
      </c>
      <c r="D816" s="52" t="s">
        <v>1878</v>
      </c>
      <c r="E816" s="52" t="s">
        <v>71</v>
      </c>
      <c r="F816" s="52" t="s">
        <v>2332</v>
      </c>
      <c r="G816" s="52" t="s">
        <v>73</v>
      </c>
      <c r="H816" s="54">
        <v>46143</v>
      </c>
      <c r="I816" s="52" t="s">
        <v>2304</v>
      </c>
      <c r="J816" s="52" t="s">
        <v>2333</v>
      </c>
      <c r="K816" s="52" t="s">
        <v>2334</v>
      </c>
      <c r="L816" s="52" t="s">
        <v>2334</v>
      </c>
      <c r="M816" s="52" t="s">
        <v>29</v>
      </c>
      <c r="N816" s="53">
        <v>76100</v>
      </c>
      <c r="O816" s="53">
        <v>76100</v>
      </c>
      <c r="P816" s="52" t="s">
        <v>2335</v>
      </c>
      <c r="Q816" s="52" t="s">
        <v>2336</v>
      </c>
      <c r="R816" s="52" t="s">
        <v>64</v>
      </c>
      <c r="S816" s="52" t="s">
        <v>2333</v>
      </c>
    </row>
    <row r="817" spans="1:19" hidden="1" outlineLevel="2" x14ac:dyDescent="0.45">
      <c r="A817" s="56" t="s">
        <v>15</v>
      </c>
      <c r="B817" s="57" t="s">
        <v>57</v>
      </c>
      <c r="C817" s="57" t="s">
        <v>376</v>
      </c>
      <c r="D817" s="57" t="s">
        <v>377</v>
      </c>
      <c r="E817" s="57" t="s">
        <v>71</v>
      </c>
      <c r="F817" s="57" t="s">
        <v>2337</v>
      </c>
      <c r="G817" s="57" t="s">
        <v>73</v>
      </c>
      <c r="H817" s="54">
        <v>46143</v>
      </c>
      <c r="I817" s="57" t="s">
        <v>2304</v>
      </c>
      <c r="J817" s="57" t="s">
        <v>2338</v>
      </c>
      <c r="K817" s="57" t="s">
        <v>2339</v>
      </c>
      <c r="L817" s="57" t="s">
        <v>2339</v>
      </c>
      <c r="M817" s="57" t="s">
        <v>29</v>
      </c>
      <c r="N817" s="58">
        <v>500000</v>
      </c>
      <c r="O817" s="58">
        <v>500000</v>
      </c>
      <c r="P817" s="57" t="s">
        <v>2340</v>
      </c>
      <c r="Q817" s="57" t="s">
        <v>2341</v>
      </c>
      <c r="R817" s="57" t="s">
        <v>64</v>
      </c>
      <c r="S817" s="57" t="s">
        <v>2338</v>
      </c>
    </row>
    <row r="818" spans="1:19" hidden="1" outlineLevel="2" x14ac:dyDescent="0.45">
      <c r="A818" t="s">
        <v>15</v>
      </c>
      <c r="B818" s="52" t="s">
        <v>57</v>
      </c>
      <c r="C818" s="52" t="s">
        <v>911</v>
      </c>
      <c r="D818" s="52" t="s">
        <v>912</v>
      </c>
      <c r="E818" s="52" t="s">
        <v>71</v>
      </c>
      <c r="F818" s="52" t="s">
        <v>2342</v>
      </c>
      <c r="G818" s="52" t="s">
        <v>73</v>
      </c>
      <c r="H818" s="54">
        <v>46143</v>
      </c>
      <c r="I818" s="52" t="s">
        <v>2304</v>
      </c>
      <c r="J818" s="52" t="s">
        <v>2343</v>
      </c>
      <c r="K818" s="52" t="s">
        <v>2344</v>
      </c>
      <c r="L818" s="52" t="s">
        <v>2344</v>
      </c>
      <c r="M818" s="52" t="s">
        <v>29</v>
      </c>
      <c r="N818" s="53">
        <v>48</v>
      </c>
      <c r="O818" s="53">
        <v>48</v>
      </c>
      <c r="P818" s="52" t="s">
        <v>2345</v>
      </c>
      <c r="Q818" s="52" t="s">
        <v>2346</v>
      </c>
      <c r="R818" s="55" t="s">
        <v>64</v>
      </c>
      <c r="S818" s="52" t="s">
        <v>2343</v>
      </c>
    </row>
    <row r="819" spans="1:19" hidden="1" outlineLevel="2" x14ac:dyDescent="0.45">
      <c r="A819" t="s">
        <v>15</v>
      </c>
      <c r="B819" s="52" t="s">
        <v>57</v>
      </c>
      <c r="C819" s="52" t="s">
        <v>2184</v>
      </c>
      <c r="D819" s="52" t="s">
        <v>2185</v>
      </c>
      <c r="E819" s="52" t="s">
        <v>71</v>
      </c>
      <c r="F819" s="52" t="s">
        <v>2347</v>
      </c>
      <c r="G819" s="52" t="s">
        <v>73</v>
      </c>
      <c r="H819" s="54">
        <v>46143</v>
      </c>
      <c r="I819" s="52" t="s">
        <v>2304</v>
      </c>
      <c r="J819" s="52" t="s">
        <v>2311</v>
      </c>
      <c r="K819" s="52" t="s">
        <v>2348</v>
      </c>
      <c r="L819" s="52" t="s">
        <v>2348</v>
      </c>
      <c r="M819" s="52" t="s">
        <v>29</v>
      </c>
      <c r="N819" s="53">
        <v>100</v>
      </c>
      <c r="O819" s="53">
        <v>100</v>
      </c>
      <c r="P819" s="52" t="s">
        <v>2349</v>
      </c>
      <c r="Q819" s="52" t="s">
        <v>2350</v>
      </c>
      <c r="R819" s="55" t="s">
        <v>64</v>
      </c>
      <c r="S819" s="52" t="s">
        <v>2311</v>
      </c>
    </row>
    <row r="820" spans="1:19" hidden="1" outlineLevel="2" x14ac:dyDescent="0.45">
      <c r="A820" t="s">
        <v>15</v>
      </c>
      <c r="B820" s="52" t="s">
        <v>57</v>
      </c>
      <c r="C820" s="52" t="s">
        <v>2351</v>
      </c>
      <c r="D820" s="52" t="s">
        <v>2352</v>
      </c>
      <c r="E820" s="52" t="s">
        <v>71</v>
      </c>
      <c r="F820" s="52" t="s">
        <v>2353</v>
      </c>
      <c r="G820" s="52" t="s">
        <v>73</v>
      </c>
      <c r="H820" s="54">
        <v>46143</v>
      </c>
      <c r="I820" s="52" t="s">
        <v>2304</v>
      </c>
      <c r="J820" s="52" t="s">
        <v>2354</v>
      </c>
      <c r="K820" s="52" t="s">
        <v>2355</v>
      </c>
      <c r="L820" s="52" t="s">
        <v>2355</v>
      </c>
      <c r="M820" s="52" t="s">
        <v>29</v>
      </c>
      <c r="N820" s="53">
        <v>104.17</v>
      </c>
      <c r="O820" s="53">
        <v>104.17</v>
      </c>
      <c r="P820" s="52" t="s">
        <v>2356</v>
      </c>
      <c r="Q820" s="52" t="s">
        <v>118</v>
      </c>
      <c r="R820" s="55" t="s">
        <v>64</v>
      </c>
      <c r="S820" s="52" t="s">
        <v>2354</v>
      </c>
    </row>
    <row r="821" spans="1:19" hidden="1" outlineLevel="2" x14ac:dyDescent="0.45">
      <c r="A821" t="s">
        <v>15</v>
      </c>
      <c r="B821" s="52" t="s">
        <v>57</v>
      </c>
      <c r="C821" s="52" t="s">
        <v>187</v>
      </c>
      <c r="D821" s="52" t="s">
        <v>188</v>
      </c>
      <c r="E821" s="52" t="s">
        <v>71</v>
      </c>
      <c r="F821" s="52" t="s">
        <v>2357</v>
      </c>
      <c r="G821" s="52" t="s">
        <v>73</v>
      </c>
      <c r="H821" s="54">
        <v>46143</v>
      </c>
      <c r="I821" s="52" t="s">
        <v>2304</v>
      </c>
      <c r="J821" s="52" t="s">
        <v>2333</v>
      </c>
      <c r="K821" s="52" t="s">
        <v>2358</v>
      </c>
      <c r="L821" s="52" t="s">
        <v>2358</v>
      </c>
      <c r="M821" s="52" t="s">
        <v>29</v>
      </c>
      <c r="N821" s="53">
        <v>2496.88</v>
      </c>
      <c r="O821" s="53">
        <v>2496.88</v>
      </c>
      <c r="P821" s="52" t="s">
        <v>2359</v>
      </c>
      <c r="Q821" s="52" t="s">
        <v>2360</v>
      </c>
      <c r="R821" s="55" t="s">
        <v>64</v>
      </c>
      <c r="S821" s="52" t="s">
        <v>276</v>
      </c>
    </row>
    <row r="822" spans="1:19" outlineLevel="1" collapsed="1" x14ac:dyDescent="0.45">
      <c r="A822" s="1" t="s">
        <v>384</v>
      </c>
      <c r="B822" s="52"/>
      <c r="C822" s="52"/>
      <c r="D822" s="52"/>
      <c r="E822" s="52"/>
      <c r="F822" s="52"/>
      <c r="G822" s="52"/>
      <c r="H822" s="54"/>
      <c r="I822" s="52"/>
      <c r="J822" s="52"/>
      <c r="K822" s="52"/>
      <c r="L822" s="52"/>
      <c r="M822" s="52"/>
      <c r="N822" s="53"/>
      <c r="O822" s="53">
        <f>SUBTOTAL(9,O815:O821)</f>
        <v>854089.05</v>
      </c>
      <c r="P822" s="52"/>
      <c r="Q822" s="52"/>
      <c r="R822" s="55"/>
      <c r="S822" s="52"/>
    </row>
    <row r="823" spans="1:19" hidden="1" outlineLevel="2" x14ac:dyDescent="0.45">
      <c r="A823" t="s">
        <v>16</v>
      </c>
      <c r="B823" s="52" t="s">
        <v>57</v>
      </c>
      <c r="C823" s="52" t="s">
        <v>2361</v>
      </c>
      <c r="D823" s="52" t="s">
        <v>2362</v>
      </c>
      <c r="E823" s="52" t="s">
        <v>387</v>
      </c>
      <c r="F823" s="52" t="s">
        <v>2363</v>
      </c>
      <c r="G823" s="52" t="s">
        <v>60</v>
      </c>
      <c r="H823" s="54">
        <v>46143</v>
      </c>
      <c r="I823" s="52" t="s">
        <v>2304</v>
      </c>
      <c r="J823" s="52" t="s">
        <v>2316</v>
      </c>
      <c r="K823" s="52" t="s">
        <v>2364</v>
      </c>
      <c r="L823" s="52" t="s">
        <v>2364</v>
      </c>
      <c r="M823" s="52" t="s">
        <v>29</v>
      </c>
      <c r="N823" s="53">
        <v>-480</v>
      </c>
      <c r="O823" s="53">
        <v>-480</v>
      </c>
      <c r="P823" s="52" t="s">
        <v>2365</v>
      </c>
      <c r="Q823" s="52" t="s">
        <v>2366</v>
      </c>
      <c r="R823" s="52" t="s">
        <v>64</v>
      </c>
      <c r="S823" s="52" t="s">
        <v>2316</v>
      </c>
    </row>
    <row r="824" spans="1:19" hidden="1" outlineLevel="2" x14ac:dyDescent="0.45">
      <c r="A824" t="s">
        <v>16</v>
      </c>
      <c r="B824" s="52" t="s">
        <v>66</v>
      </c>
      <c r="C824" s="52" t="s">
        <v>2367</v>
      </c>
      <c r="D824" s="52" t="s">
        <v>2368</v>
      </c>
      <c r="E824" s="52" t="s">
        <v>387</v>
      </c>
      <c r="F824" s="52" t="s">
        <v>2369</v>
      </c>
      <c r="G824" s="52" t="s">
        <v>60</v>
      </c>
      <c r="H824" s="54">
        <v>46143</v>
      </c>
      <c r="I824" s="52" t="s">
        <v>2304</v>
      </c>
      <c r="J824" s="52" t="s">
        <v>2343</v>
      </c>
      <c r="K824" s="52" t="s">
        <v>2370</v>
      </c>
      <c r="L824" s="52" t="s">
        <v>2370</v>
      </c>
      <c r="M824" s="52" t="s">
        <v>67</v>
      </c>
      <c r="N824" s="53">
        <v>-5000</v>
      </c>
      <c r="O824" s="53">
        <v>-17100</v>
      </c>
      <c r="P824" s="52" t="s">
        <v>2371</v>
      </c>
      <c r="Q824" s="52" t="s">
        <v>2372</v>
      </c>
      <c r="R824" s="52" t="s">
        <v>64</v>
      </c>
      <c r="S824" s="52" t="s">
        <v>2343</v>
      </c>
    </row>
    <row r="825" spans="1:19" hidden="1" outlineLevel="2" x14ac:dyDescent="0.45">
      <c r="A825" t="s">
        <v>16</v>
      </c>
      <c r="B825" s="52" t="s">
        <v>57</v>
      </c>
      <c r="C825" s="52" t="s">
        <v>448</v>
      </c>
      <c r="D825" s="52" t="s">
        <v>449</v>
      </c>
      <c r="E825" s="52" t="s">
        <v>387</v>
      </c>
      <c r="F825" s="52" t="s">
        <v>2373</v>
      </c>
      <c r="G825" s="52" t="s">
        <v>60</v>
      </c>
      <c r="H825" s="54">
        <v>46143</v>
      </c>
      <c r="I825" s="52" t="s">
        <v>2304</v>
      </c>
      <c r="J825" s="52" t="s">
        <v>2343</v>
      </c>
      <c r="K825" s="52" t="s">
        <v>1898</v>
      </c>
      <c r="L825" s="52" t="s">
        <v>1898</v>
      </c>
      <c r="M825" s="52" t="s">
        <v>29</v>
      </c>
      <c r="N825" s="53">
        <v>-4800</v>
      </c>
      <c r="O825" s="53">
        <v>-4800</v>
      </c>
      <c r="P825" s="52" t="s">
        <v>2374</v>
      </c>
      <c r="Q825" s="52" t="s">
        <v>2375</v>
      </c>
      <c r="R825" s="52" t="s">
        <v>64</v>
      </c>
      <c r="S825" s="52" t="s">
        <v>2343</v>
      </c>
    </row>
    <row r="826" spans="1:19" hidden="1" outlineLevel="2" x14ac:dyDescent="0.45">
      <c r="A826" t="s">
        <v>16</v>
      </c>
      <c r="B826" s="52" t="s">
        <v>57</v>
      </c>
      <c r="C826" s="52" t="s">
        <v>448</v>
      </c>
      <c r="D826" s="52" t="s">
        <v>449</v>
      </c>
      <c r="E826" s="52" t="s">
        <v>387</v>
      </c>
      <c r="F826" s="52" t="s">
        <v>2373</v>
      </c>
      <c r="G826" s="52" t="s">
        <v>60</v>
      </c>
      <c r="H826" s="54">
        <v>46143</v>
      </c>
      <c r="I826" s="52" t="s">
        <v>2304</v>
      </c>
      <c r="J826" s="52" t="s">
        <v>2343</v>
      </c>
      <c r="K826" s="52" t="s">
        <v>1898</v>
      </c>
      <c r="L826" s="52" t="s">
        <v>1898</v>
      </c>
      <c r="M826" s="52" t="s">
        <v>29</v>
      </c>
      <c r="N826" s="53">
        <v>-200</v>
      </c>
      <c r="O826" s="53">
        <v>-200</v>
      </c>
      <c r="P826" s="52" t="s">
        <v>2374</v>
      </c>
      <c r="Q826" s="52" t="s">
        <v>2375</v>
      </c>
      <c r="R826" s="52" t="s">
        <v>64</v>
      </c>
      <c r="S826" s="52" t="s">
        <v>2343</v>
      </c>
    </row>
    <row r="827" spans="1:19" hidden="1" outlineLevel="2" x14ac:dyDescent="0.45">
      <c r="A827" t="s">
        <v>16</v>
      </c>
      <c r="B827" s="52" t="s">
        <v>57</v>
      </c>
      <c r="C827" s="52" t="s">
        <v>455</v>
      </c>
      <c r="D827" s="52" t="s">
        <v>456</v>
      </c>
      <c r="E827" s="52" t="s">
        <v>387</v>
      </c>
      <c r="F827" s="52" t="s">
        <v>2376</v>
      </c>
      <c r="G827" s="52" t="s">
        <v>60</v>
      </c>
      <c r="H827" s="54">
        <v>46143</v>
      </c>
      <c r="I827" s="52" t="s">
        <v>2304</v>
      </c>
      <c r="J827" s="52" t="s">
        <v>2328</v>
      </c>
      <c r="K827" s="52" t="s">
        <v>2377</v>
      </c>
      <c r="L827" s="52" t="s">
        <v>2377</v>
      </c>
      <c r="M827" s="52" t="s">
        <v>29</v>
      </c>
      <c r="N827" s="53">
        <v>-600</v>
      </c>
      <c r="O827" s="53">
        <v>-600</v>
      </c>
      <c r="P827" s="52" t="s">
        <v>2378</v>
      </c>
      <c r="Q827" s="52" t="s">
        <v>2379</v>
      </c>
      <c r="R827" s="52" t="s">
        <v>64</v>
      </c>
      <c r="S827" s="52" t="s">
        <v>2328</v>
      </c>
    </row>
    <row r="828" spans="1:19" hidden="1" outlineLevel="2" x14ac:dyDescent="0.45">
      <c r="A828" t="s">
        <v>16</v>
      </c>
      <c r="B828" s="52" t="s">
        <v>66</v>
      </c>
      <c r="C828" s="52" t="s">
        <v>523</v>
      </c>
      <c r="D828" s="52" t="s">
        <v>524</v>
      </c>
      <c r="E828" s="52" t="s">
        <v>387</v>
      </c>
      <c r="F828" s="52" t="s">
        <v>2380</v>
      </c>
      <c r="G828" s="52" t="s">
        <v>60</v>
      </c>
      <c r="H828" s="54">
        <v>46143</v>
      </c>
      <c r="I828" s="52" t="s">
        <v>2304</v>
      </c>
      <c r="J828" s="52" t="s">
        <v>2321</v>
      </c>
      <c r="K828" s="52" t="s">
        <v>2381</v>
      </c>
      <c r="L828" s="52" t="s">
        <v>2381</v>
      </c>
      <c r="M828" s="52" t="s">
        <v>67</v>
      </c>
      <c r="N828" s="53">
        <v>-2500</v>
      </c>
      <c r="O828" s="53">
        <v>-8547.5</v>
      </c>
      <c r="P828" s="52" t="s">
        <v>2382</v>
      </c>
      <c r="Q828" s="52" t="s">
        <v>2383</v>
      </c>
      <c r="R828" s="52" t="s">
        <v>64</v>
      </c>
      <c r="S828" s="52" t="s">
        <v>2321</v>
      </c>
    </row>
    <row r="829" spans="1:19" hidden="1" outlineLevel="2" x14ac:dyDescent="0.45">
      <c r="A829" t="s">
        <v>16</v>
      </c>
      <c r="B829" s="52" t="s">
        <v>57</v>
      </c>
      <c r="C829" s="52" t="s">
        <v>404</v>
      </c>
      <c r="D829" s="52" t="s">
        <v>405</v>
      </c>
      <c r="E829" s="52" t="s">
        <v>387</v>
      </c>
      <c r="F829" s="52" t="s">
        <v>2384</v>
      </c>
      <c r="G829" s="52" t="s">
        <v>60</v>
      </c>
      <c r="H829" s="54">
        <v>46143</v>
      </c>
      <c r="I829" s="52" t="s">
        <v>2304</v>
      </c>
      <c r="J829" s="52" t="s">
        <v>2328</v>
      </c>
      <c r="K829" s="52" t="s">
        <v>2385</v>
      </c>
      <c r="L829" s="52" t="s">
        <v>2385</v>
      </c>
      <c r="M829" s="52" t="s">
        <v>29</v>
      </c>
      <c r="N829" s="53">
        <v>-26864</v>
      </c>
      <c r="O829" s="53">
        <v>-26864</v>
      </c>
      <c r="P829" s="52" t="s">
        <v>2386</v>
      </c>
      <c r="Q829" s="52" t="s">
        <v>2387</v>
      </c>
      <c r="R829" s="52" t="s">
        <v>64</v>
      </c>
      <c r="S829" s="52" t="s">
        <v>2328</v>
      </c>
    </row>
    <row r="830" spans="1:19" hidden="1" outlineLevel="2" x14ac:dyDescent="0.45">
      <c r="A830" t="s">
        <v>16</v>
      </c>
      <c r="B830" s="52" t="s">
        <v>57</v>
      </c>
      <c r="C830" s="52" t="s">
        <v>410</v>
      </c>
      <c r="D830" s="52" t="s">
        <v>411</v>
      </c>
      <c r="E830" s="52" t="s">
        <v>387</v>
      </c>
      <c r="F830" s="52" t="s">
        <v>2376</v>
      </c>
      <c r="G830" s="52" t="s">
        <v>60</v>
      </c>
      <c r="H830" s="54">
        <v>46143</v>
      </c>
      <c r="I830" s="52" t="s">
        <v>2304</v>
      </c>
      <c r="J830" s="52" t="s">
        <v>2328</v>
      </c>
      <c r="K830" s="52" t="s">
        <v>2388</v>
      </c>
      <c r="L830" s="52" t="s">
        <v>2388</v>
      </c>
      <c r="M830" s="52" t="s">
        <v>29</v>
      </c>
      <c r="N830" s="53">
        <v>-20000</v>
      </c>
      <c r="O830" s="53">
        <v>-20000</v>
      </c>
      <c r="P830" s="52" t="s">
        <v>2389</v>
      </c>
      <c r="Q830" s="52" t="s">
        <v>2379</v>
      </c>
      <c r="R830" s="52" t="s">
        <v>64</v>
      </c>
      <c r="S830" s="52" t="s">
        <v>2328</v>
      </c>
    </row>
    <row r="831" spans="1:19" hidden="1" outlineLevel="2" x14ac:dyDescent="0.45">
      <c r="A831" t="s">
        <v>16</v>
      </c>
      <c r="B831" s="52" t="s">
        <v>57</v>
      </c>
      <c r="C831" s="52" t="s">
        <v>349</v>
      </c>
      <c r="D831" s="52" t="s">
        <v>350</v>
      </c>
      <c r="E831" s="52" t="s">
        <v>387</v>
      </c>
      <c r="F831" s="52" t="s">
        <v>2390</v>
      </c>
      <c r="G831" s="52" t="s">
        <v>60</v>
      </c>
      <c r="H831" s="54">
        <v>46143</v>
      </c>
      <c r="I831" s="52" t="s">
        <v>2304</v>
      </c>
      <c r="J831" s="52" t="s">
        <v>2328</v>
      </c>
      <c r="K831" s="52" t="s">
        <v>2391</v>
      </c>
      <c r="L831" s="52" t="s">
        <v>2392</v>
      </c>
      <c r="M831" s="52" t="s">
        <v>29</v>
      </c>
      <c r="N831" s="53">
        <v>-133549.57</v>
      </c>
      <c r="O831" s="53">
        <v>-133549.57</v>
      </c>
      <c r="P831" s="52" t="s">
        <v>434</v>
      </c>
      <c r="Q831" s="52" t="s">
        <v>2393</v>
      </c>
      <c r="R831" s="52" t="s">
        <v>64</v>
      </c>
      <c r="S831" s="52" t="s">
        <v>2328</v>
      </c>
    </row>
    <row r="832" spans="1:19" hidden="1" outlineLevel="2" x14ac:dyDescent="0.45">
      <c r="A832" t="s">
        <v>16</v>
      </c>
      <c r="B832" s="52" t="s">
        <v>57</v>
      </c>
      <c r="C832" s="52" t="s">
        <v>349</v>
      </c>
      <c r="D832" s="52" t="s">
        <v>350</v>
      </c>
      <c r="E832" s="52" t="s">
        <v>387</v>
      </c>
      <c r="F832" s="52" t="s">
        <v>2394</v>
      </c>
      <c r="G832" s="52" t="s">
        <v>60</v>
      </c>
      <c r="H832" s="54">
        <v>46143</v>
      </c>
      <c r="I832" s="52" t="s">
        <v>2304</v>
      </c>
      <c r="J832" s="52" t="s">
        <v>2328</v>
      </c>
      <c r="K832" s="52" t="s">
        <v>2391</v>
      </c>
      <c r="L832" s="52" t="s">
        <v>2392</v>
      </c>
      <c r="M832" s="52" t="s">
        <v>29</v>
      </c>
      <c r="N832" s="53">
        <v>-25957.919999999998</v>
      </c>
      <c r="O832" s="53">
        <v>-25957.919999999998</v>
      </c>
      <c r="P832" s="52" t="s">
        <v>434</v>
      </c>
      <c r="Q832" s="52" t="s">
        <v>2395</v>
      </c>
      <c r="R832" s="52" t="s">
        <v>64</v>
      </c>
      <c r="S832" s="52" t="s">
        <v>2328</v>
      </c>
    </row>
    <row r="833" spans="1:19" hidden="1" outlineLevel="2" x14ac:dyDescent="0.45">
      <c r="A833" t="s">
        <v>16</v>
      </c>
      <c r="B833" s="52" t="s">
        <v>57</v>
      </c>
      <c r="C833" s="52" t="s">
        <v>438</v>
      </c>
      <c r="D833" s="52" t="s">
        <v>439</v>
      </c>
      <c r="E833" s="52" t="s">
        <v>387</v>
      </c>
      <c r="F833" s="52" t="s">
        <v>2394</v>
      </c>
      <c r="G833" s="52" t="s">
        <v>60</v>
      </c>
      <c r="H833" s="54">
        <v>46143</v>
      </c>
      <c r="I833" s="52" t="s">
        <v>2304</v>
      </c>
      <c r="J833" s="52" t="s">
        <v>2328</v>
      </c>
      <c r="K833" s="52" t="s">
        <v>2396</v>
      </c>
      <c r="L833" s="52" t="s">
        <v>2397</v>
      </c>
      <c r="M833" s="52" t="s">
        <v>29</v>
      </c>
      <c r="N833" s="53">
        <v>-7990.09</v>
      </c>
      <c r="O833" s="53">
        <v>-7990.09</v>
      </c>
      <c r="P833" s="52" t="s">
        <v>434</v>
      </c>
      <c r="Q833" s="52" t="s">
        <v>2395</v>
      </c>
      <c r="R833" s="52" t="s">
        <v>64</v>
      </c>
      <c r="S833" s="52" t="s">
        <v>2328</v>
      </c>
    </row>
    <row r="834" spans="1:19" hidden="1" outlineLevel="2" x14ac:dyDescent="0.45">
      <c r="A834" t="s">
        <v>16</v>
      </c>
      <c r="B834" s="52" t="s">
        <v>57</v>
      </c>
      <c r="C834" s="52" t="s">
        <v>442</v>
      </c>
      <c r="D834" s="52" t="s">
        <v>443</v>
      </c>
      <c r="E834" s="52" t="s">
        <v>387</v>
      </c>
      <c r="F834" s="52" t="s">
        <v>2394</v>
      </c>
      <c r="G834" s="52" t="s">
        <v>60</v>
      </c>
      <c r="H834" s="54">
        <v>46143</v>
      </c>
      <c r="I834" s="52" t="s">
        <v>2304</v>
      </c>
      <c r="J834" s="52" t="s">
        <v>2328</v>
      </c>
      <c r="K834" s="52" t="s">
        <v>2398</v>
      </c>
      <c r="L834" s="52" t="s">
        <v>2399</v>
      </c>
      <c r="M834" s="52" t="s">
        <v>29</v>
      </c>
      <c r="N834" s="53">
        <v>-20004.14</v>
      </c>
      <c r="O834" s="53">
        <v>-20004.14</v>
      </c>
      <c r="P834" s="52" t="s">
        <v>434</v>
      </c>
      <c r="Q834" s="52" t="s">
        <v>2395</v>
      </c>
      <c r="R834" s="52" t="s">
        <v>64</v>
      </c>
      <c r="S834" s="52" t="s">
        <v>2328</v>
      </c>
    </row>
    <row r="835" spans="1:19" hidden="1" outlineLevel="2" x14ac:dyDescent="0.45">
      <c r="A835" t="s">
        <v>16</v>
      </c>
      <c r="B835" s="52" t="s">
        <v>57</v>
      </c>
      <c r="C835" s="52" t="s">
        <v>427</v>
      </c>
      <c r="D835" s="52" t="s">
        <v>428</v>
      </c>
      <c r="E835" s="52" t="s">
        <v>387</v>
      </c>
      <c r="F835" s="52" t="s">
        <v>2394</v>
      </c>
      <c r="G835" s="52" t="s">
        <v>60</v>
      </c>
      <c r="H835" s="54">
        <v>46143</v>
      </c>
      <c r="I835" s="52" t="s">
        <v>2304</v>
      </c>
      <c r="J835" s="52" t="s">
        <v>2328</v>
      </c>
      <c r="K835" s="52" t="s">
        <v>2400</v>
      </c>
      <c r="L835" s="52" t="s">
        <v>2401</v>
      </c>
      <c r="M835" s="52" t="s">
        <v>29</v>
      </c>
      <c r="N835" s="53">
        <v>-1838.31</v>
      </c>
      <c r="O835" s="53">
        <v>-1838.31</v>
      </c>
      <c r="P835" s="52" t="s">
        <v>434</v>
      </c>
      <c r="Q835" s="52" t="s">
        <v>2395</v>
      </c>
      <c r="R835" s="52" t="s">
        <v>64</v>
      </c>
      <c r="S835" s="52" t="s">
        <v>2328</v>
      </c>
    </row>
    <row r="836" spans="1:19" hidden="1" outlineLevel="2" x14ac:dyDescent="0.45">
      <c r="A836" t="s">
        <v>16</v>
      </c>
      <c r="B836" s="52" t="s">
        <v>57</v>
      </c>
      <c r="C836" s="52" t="s">
        <v>349</v>
      </c>
      <c r="D836" s="52" t="s">
        <v>350</v>
      </c>
      <c r="E836" s="52" t="s">
        <v>387</v>
      </c>
      <c r="F836" s="52" t="s">
        <v>2402</v>
      </c>
      <c r="G836" s="52" t="s">
        <v>60</v>
      </c>
      <c r="H836" s="54">
        <v>46143</v>
      </c>
      <c r="I836" s="52" t="s">
        <v>2304</v>
      </c>
      <c r="J836" s="52" t="s">
        <v>2328</v>
      </c>
      <c r="K836" s="52" t="s">
        <v>2403</v>
      </c>
      <c r="L836" s="52" t="s">
        <v>2404</v>
      </c>
      <c r="M836" s="52" t="s">
        <v>29</v>
      </c>
      <c r="N836" s="53">
        <v>-1500</v>
      </c>
      <c r="O836" s="53">
        <v>-1500</v>
      </c>
      <c r="P836" s="52" t="s">
        <v>425</v>
      </c>
      <c r="Q836" s="52" t="s">
        <v>2405</v>
      </c>
      <c r="R836" s="52" t="s">
        <v>64</v>
      </c>
      <c r="S836" s="52" t="s">
        <v>2328</v>
      </c>
    </row>
    <row r="837" spans="1:19" hidden="1" outlineLevel="2" x14ac:dyDescent="0.45">
      <c r="A837" t="s">
        <v>16</v>
      </c>
      <c r="B837" s="52" t="s">
        <v>57</v>
      </c>
      <c r="C837" s="52" t="s">
        <v>427</v>
      </c>
      <c r="D837" s="52" t="s">
        <v>428</v>
      </c>
      <c r="E837" s="52" t="s">
        <v>387</v>
      </c>
      <c r="F837" s="52" t="s">
        <v>2406</v>
      </c>
      <c r="G837" s="52" t="s">
        <v>60</v>
      </c>
      <c r="H837" s="54">
        <v>46143</v>
      </c>
      <c r="I837" s="52" t="s">
        <v>2304</v>
      </c>
      <c r="J837" s="52" t="s">
        <v>2328</v>
      </c>
      <c r="K837" s="52" t="s">
        <v>2407</v>
      </c>
      <c r="L837" s="52" t="s">
        <v>2408</v>
      </c>
      <c r="M837" s="52" t="s">
        <v>29</v>
      </c>
      <c r="N837" s="53">
        <v>-1695</v>
      </c>
      <c r="O837" s="53">
        <v>-1695</v>
      </c>
      <c r="P837" s="52" t="s">
        <v>425</v>
      </c>
      <c r="Q837" s="52" t="s">
        <v>2409</v>
      </c>
      <c r="R837" s="52" t="s">
        <v>64</v>
      </c>
      <c r="S837" s="52" t="s">
        <v>2328</v>
      </c>
    </row>
    <row r="838" spans="1:19" hidden="1" outlineLevel="2" x14ac:dyDescent="0.45">
      <c r="A838" t="s">
        <v>16</v>
      </c>
      <c r="B838" s="52" t="s">
        <v>57</v>
      </c>
      <c r="C838" s="52" t="s">
        <v>349</v>
      </c>
      <c r="D838" s="52" t="s">
        <v>350</v>
      </c>
      <c r="E838" s="52" t="s">
        <v>387</v>
      </c>
      <c r="F838" s="52" t="s">
        <v>2410</v>
      </c>
      <c r="G838" s="52" t="s">
        <v>60</v>
      </c>
      <c r="H838" s="54">
        <v>46143</v>
      </c>
      <c r="I838" s="52" t="s">
        <v>2304</v>
      </c>
      <c r="J838" s="52" t="s">
        <v>2308</v>
      </c>
      <c r="K838" s="52" t="s">
        <v>2411</v>
      </c>
      <c r="L838" s="52" t="s">
        <v>2412</v>
      </c>
      <c r="M838" s="52" t="s">
        <v>29</v>
      </c>
      <c r="N838" s="53">
        <v>-115586.37</v>
      </c>
      <c r="O838" s="53">
        <v>-115586.37</v>
      </c>
      <c r="P838" s="52" t="s">
        <v>2413</v>
      </c>
      <c r="Q838" s="52" t="s">
        <v>2414</v>
      </c>
      <c r="R838" s="52" t="s">
        <v>64</v>
      </c>
      <c r="S838" s="52" t="s">
        <v>2308</v>
      </c>
    </row>
    <row r="839" spans="1:19" hidden="1" outlineLevel="2" x14ac:dyDescent="0.45">
      <c r="A839" t="s">
        <v>16</v>
      </c>
      <c r="B839" s="52" t="s">
        <v>57</v>
      </c>
      <c r="C839" s="52" t="s">
        <v>349</v>
      </c>
      <c r="D839" s="52" t="s">
        <v>350</v>
      </c>
      <c r="E839" s="52" t="s">
        <v>387</v>
      </c>
      <c r="F839" s="52" t="s">
        <v>2410</v>
      </c>
      <c r="G839" s="52" t="s">
        <v>60</v>
      </c>
      <c r="H839" s="54">
        <v>46143</v>
      </c>
      <c r="I839" s="52" t="s">
        <v>2304</v>
      </c>
      <c r="J839" s="52" t="s">
        <v>2308</v>
      </c>
      <c r="K839" s="52" t="s">
        <v>2411</v>
      </c>
      <c r="L839" s="52" t="s">
        <v>2412</v>
      </c>
      <c r="M839" s="52" t="s">
        <v>29</v>
      </c>
      <c r="N839" s="53">
        <v>-2394.33</v>
      </c>
      <c r="O839" s="53">
        <v>-2394.33</v>
      </c>
      <c r="P839" s="52" t="s">
        <v>2413</v>
      </c>
      <c r="Q839" s="52" t="s">
        <v>2414</v>
      </c>
      <c r="R839" s="52" t="s">
        <v>64</v>
      </c>
      <c r="S839" s="52" t="s">
        <v>2308</v>
      </c>
    </row>
    <row r="840" spans="1:19" hidden="1" outlineLevel="2" x14ac:dyDescent="0.45">
      <c r="A840" t="s">
        <v>16</v>
      </c>
      <c r="B840" s="52" t="s">
        <v>57</v>
      </c>
      <c r="C840" s="52" t="s">
        <v>442</v>
      </c>
      <c r="D840" s="52" t="s">
        <v>443</v>
      </c>
      <c r="E840" s="52" t="s">
        <v>387</v>
      </c>
      <c r="F840" s="52" t="s">
        <v>2415</v>
      </c>
      <c r="G840" s="52" t="s">
        <v>60</v>
      </c>
      <c r="H840" s="54">
        <v>46143</v>
      </c>
      <c r="I840" s="52" t="s">
        <v>2304</v>
      </c>
      <c r="J840" s="52" t="s">
        <v>2416</v>
      </c>
      <c r="K840" s="52" t="s">
        <v>2417</v>
      </c>
      <c r="L840" s="52" t="s">
        <v>2418</v>
      </c>
      <c r="M840" s="52" t="s">
        <v>29</v>
      </c>
      <c r="N840" s="53">
        <v>-16771.91</v>
      </c>
      <c r="O840" s="53">
        <v>-16771.91</v>
      </c>
      <c r="P840" s="52" t="s">
        <v>2413</v>
      </c>
      <c r="Q840" s="52" t="s">
        <v>2419</v>
      </c>
      <c r="R840" s="52" t="s">
        <v>64</v>
      </c>
      <c r="S840" s="52" t="s">
        <v>2416</v>
      </c>
    </row>
    <row r="841" spans="1:19" outlineLevel="1" collapsed="1" x14ac:dyDescent="0.45">
      <c r="A841" s="1" t="s">
        <v>552</v>
      </c>
      <c r="B841" s="52"/>
      <c r="C841" s="52"/>
      <c r="D841" s="52"/>
      <c r="E841" s="52"/>
      <c r="F841" s="52"/>
      <c r="G841" s="52"/>
      <c r="H841" s="54"/>
      <c r="I841" s="52"/>
      <c r="J841" s="52"/>
      <c r="K841" s="52"/>
      <c r="L841" s="52"/>
      <c r="M841" s="52"/>
      <c r="N841" s="53"/>
      <c r="O841" s="53">
        <f>SUBTOTAL(9,O823:O840)</f>
        <v>-405879.13999999996</v>
      </c>
      <c r="P841" s="52"/>
      <c r="Q841" s="52"/>
      <c r="R841" s="52"/>
      <c r="S841" s="52"/>
    </row>
    <row r="842" spans="1:19" hidden="1" outlineLevel="2" x14ac:dyDescent="0.45">
      <c r="A842" t="s">
        <v>17</v>
      </c>
      <c r="B842" s="52" t="s">
        <v>57</v>
      </c>
      <c r="C842" s="52" t="s">
        <v>1745</v>
      </c>
      <c r="D842" s="52" t="s">
        <v>1746</v>
      </c>
      <c r="E842" s="52" t="s">
        <v>387</v>
      </c>
      <c r="F842" s="52" t="s">
        <v>2420</v>
      </c>
      <c r="G842" s="52" t="s">
        <v>60</v>
      </c>
      <c r="H842" s="54">
        <v>46143</v>
      </c>
      <c r="I842" s="52" t="s">
        <v>2304</v>
      </c>
      <c r="J842" s="52" t="s">
        <v>2321</v>
      </c>
      <c r="K842" s="52" t="s">
        <v>2421</v>
      </c>
      <c r="L842" s="52" t="s">
        <v>2421</v>
      </c>
      <c r="M842" s="52" t="s">
        <v>29</v>
      </c>
      <c r="N842" s="53">
        <v>-1.24</v>
      </c>
      <c r="O842" s="53">
        <v>-1.24</v>
      </c>
      <c r="P842" s="52" t="s">
        <v>2422</v>
      </c>
      <c r="Q842" s="52" t="s">
        <v>2423</v>
      </c>
      <c r="R842" s="52" t="s">
        <v>64</v>
      </c>
      <c r="S842" s="52" t="s">
        <v>2321</v>
      </c>
    </row>
    <row r="843" spans="1:19" hidden="1" outlineLevel="2" x14ac:dyDescent="0.45">
      <c r="A843" t="s">
        <v>17</v>
      </c>
      <c r="B843" s="52" t="s">
        <v>57</v>
      </c>
      <c r="C843" s="52" t="s">
        <v>349</v>
      </c>
      <c r="D843" s="52" t="s">
        <v>350</v>
      </c>
      <c r="E843" s="52" t="s">
        <v>387</v>
      </c>
      <c r="F843" s="52" t="s">
        <v>2424</v>
      </c>
      <c r="G843" s="52" t="s">
        <v>60</v>
      </c>
      <c r="H843" s="54">
        <v>46143</v>
      </c>
      <c r="I843" s="52" t="s">
        <v>2304</v>
      </c>
      <c r="J843" s="52" t="s">
        <v>2343</v>
      </c>
      <c r="K843" s="52" t="s">
        <v>2425</v>
      </c>
      <c r="L843" s="52" t="s">
        <v>2425</v>
      </c>
      <c r="M843" s="52" t="s">
        <v>29</v>
      </c>
      <c r="N843" s="53">
        <v>-50</v>
      </c>
      <c r="O843" s="53">
        <v>-50</v>
      </c>
      <c r="P843" s="52" t="s">
        <v>2426</v>
      </c>
      <c r="Q843" s="52" t="s">
        <v>2427</v>
      </c>
      <c r="R843" s="52" t="s">
        <v>64</v>
      </c>
      <c r="S843" s="52" t="s">
        <v>2343</v>
      </c>
    </row>
    <row r="844" spans="1:19" hidden="1" outlineLevel="2" x14ac:dyDescent="0.45">
      <c r="A844" t="s">
        <v>17</v>
      </c>
      <c r="B844" s="52" t="s">
        <v>57</v>
      </c>
      <c r="C844" s="52" t="s">
        <v>349</v>
      </c>
      <c r="D844" s="52" t="s">
        <v>350</v>
      </c>
      <c r="E844" s="52" t="s">
        <v>387</v>
      </c>
      <c r="F844" s="52" t="s">
        <v>2428</v>
      </c>
      <c r="G844" s="52" t="s">
        <v>60</v>
      </c>
      <c r="H844" s="54">
        <v>46143</v>
      </c>
      <c r="I844" s="52" t="s">
        <v>2304</v>
      </c>
      <c r="J844" s="52" t="s">
        <v>2328</v>
      </c>
      <c r="K844" s="52" t="s">
        <v>2429</v>
      </c>
      <c r="L844" s="52" t="s">
        <v>2429</v>
      </c>
      <c r="M844" s="52" t="s">
        <v>29</v>
      </c>
      <c r="N844" s="53">
        <v>-3.5</v>
      </c>
      <c r="O844" s="53">
        <v>-3.5</v>
      </c>
      <c r="P844" s="52" t="s">
        <v>2430</v>
      </c>
      <c r="Q844" s="52" t="s">
        <v>2431</v>
      </c>
      <c r="R844" s="52" t="s">
        <v>64</v>
      </c>
      <c r="S844" s="52" t="s">
        <v>2328</v>
      </c>
    </row>
    <row r="845" spans="1:19" hidden="1" outlineLevel="2" x14ac:dyDescent="0.45">
      <c r="A845" t="s">
        <v>17</v>
      </c>
      <c r="B845" s="52" t="s">
        <v>57</v>
      </c>
      <c r="C845" s="52" t="s">
        <v>349</v>
      </c>
      <c r="D845" s="52" t="s">
        <v>350</v>
      </c>
      <c r="E845" s="52" t="s">
        <v>387</v>
      </c>
      <c r="F845" s="52" t="s">
        <v>2428</v>
      </c>
      <c r="G845" s="52" t="s">
        <v>60</v>
      </c>
      <c r="H845" s="54">
        <v>46143</v>
      </c>
      <c r="I845" s="52" t="s">
        <v>2304</v>
      </c>
      <c r="J845" s="52" t="s">
        <v>2328</v>
      </c>
      <c r="K845" s="52" t="s">
        <v>2429</v>
      </c>
      <c r="L845" s="52" t="s">
        <v>2429</v>
      </c>
      <c r="M845" s="52" t="s">
        <v>29</v>
      </c>
      <c r="N845" s="53">
        <v>-40</v>
      </c>
      <c r="O845" s="53">
        <v>-40</v>
      </c>
      <c r="P845" s="52" t="s">
        <v>2430</v>
      </c>
      <c r="Q845" s="52" t="s">
        <v>2431</v>
      </c>
      <c r="R845" s="52" t="s">
        <v>64</v>
      </c>
      <c r="S845" s="52" t="s">
        <v>2328</v>
      </c>
    </row>
    <row r="846" spans="1:19" hidden="1" outlineLevel="2" x14ac:dyDescent="0.45">
      <c r="A846" t="s">
        <v>17</v>
      </c>
      <c r="B846" s="52" t="s">
        <v>57</v>
      </c>
      <c r="C846" s="52" t="s">
        <v>349</v>
      </c>
      <c r="D846" s="52" t="s">
        <v>350</v>
      </c>
      <c r="E846" s="52" t="s">
        <v>387</v>
      </c>
      <c r="F846" s="52" t="s">
        <v>2432</v>
      </c>
      <c r="G846" s="52" t="s">
        <v>60</v>
      </c>
      <c r="H846" s="54">
        <v>46143</v>
      </c>
      <c r="I846" s="52" t="s">
        <v>2304</v>
      </c>
      <c r="J846" s="52" t="s">
        <v>2313</v>
      </c>
      <c r="K846" s="52" t="s">
        <v>2433</v>
      </c>
      <c r="L846" s="52" t="s">
        <v>2433</v>
      </c>
      <c r="M846" s="52" t="s">
        <v>29</v>
      </c>
      <c r="N846" s="53">
        <v>-40</v>
      </c>
      <c r="O846" s="53">
        <v>-40</v>
      </c>
      <c r="P846" s="52" t="s">
        <v>1002</v>
      </c>
      <c r="Q846" s="52" t="s">
        <v>2434</v>
      </c>
      <c r="R846" s="52" t="s">
        <v>64</v>
      </c>
      <c r="S846" s="52" t="s">
        <v>2313</v>
      </c>
    </row>
    <row r="847" spans="1:19" hidden="1" outlineLevel="2" x14ac:dyDescent="0.45">
      <c r="A847" t="s">
        <v>17</v>
      </c>
      <c r="B847" s="52" t="s">
        <v>66</v>
      </c>
      <c r="C847" s="52" t="s">
        <v>349</v>
      </c>
      <c r="D847" s="52" t="s">
        <v>350</v>
      </c>
      <c r="E847" s="52" t="s">
        <v>387</v>
      </c>
      <c r="F847" s="52" t="s">
        <v>2435</v>
      </c>
      <c r="G847" s="52" t="s">
        <v>60</v>
      </c>
      <c r="H847" s="54">
        <v>46143</v>
      </c>
      <c r="I847" s="52" t="s">
        <v>2304</v>
      </c>
      <c r="J847" s="52" t="s">
        <v>2333</v>
      </c>
      <c r="K847" s="52" t="s">
        <v>2436</v>
      </c>
      <c r="L847" s="52" t="s">
        <v>2436</v>
      </c>
      <c r="M847" s="52" t="s">
        <v>67</v>
      </c>
      <c r="N847" s="53">
        <v>-10</v>
      </c>
      <c r="O847" s="53">
        <v>-34.61</v>
      </c>
      <c r="P847" s="52" t="s">
        <v>2437</v>
      </c>
      <c r="Q847" s="52" t="s">
        <v>2438</v>
      </c>
      <c r="R847" s="52" t="s">
        <v>64</v>
      </c>
      <c r="S847" s="52" t="s">
        <v>2333</v>
      </c>
    </row>
    <row r="848" spans="1:19" hidden="1" outlineLevel="2" x14ac:dyDescent="0.45">
      <c r="A848" t="s">
        <v>17</v>
      </c>
      <c r="B848" s="52" t="s">
        <v>66</v>
      </c>
      <c r="C848" s="52" t="s">
        <v>349</v>
      </c>
      <c r="D848" s="52" t="s">
        <v>350</v>
      </c>
      <c r="E848" s="52" t="s">
        <v>387</v>
      </c>
      <c r="F848" s="52" t="s">
        <v>2439</v>
      </c>
      <c r="G848" s="52" t="s">
        <v>60</v>
      </c>
      <c r="H848" s="54">
        <v>46143</v>
      </c>
      <c r="I848" s="52" t="s">
        <v>2304</v>
      </c>
      <c r="J848" s="52" t="s">
        <v>2328</v>
      </c>
      <c r="K848" s="52" t="s">
        <v>2440</v>
      </c>
      <c r="L848" s="52" t="s">
        <v>2440</v>
      </c>
      <c r="M848" s="52" t="s">
        <v>67</v>
      </c>
      <c r="N848" s="53">
        <v>-1.3</v>
      </c>
      <c r="O848" s="53">
        <v>-4.4400000000000004</v>
      </c>
      <c r="P848" s="52" t="s">
        <v>2441</v>
      </c>
      <c r="Q848" s="52" t="s">
        <v>2442</v>
      </c>
      <c r="R848" s="52" t="s">
        <v>64</v>
      </c>
      <c r="S848" s="52" t="s">
        <v>2328</v>
      </c>
    </row>
    <row r="849" spans="1:19" hidden="1" outlineLevel="2" x14ac:dyDescent="0.45">
      <c r="A849" t="s">
        <v>17</v>
      </c>
      <c r="B849" s="52" t="s">
        <v>66</v>
      </c>
      <c r="C849" s="52" t="s">
        <v>349</v>
      </c>
      <c r="D849" s="52" t="s">
        <v>350</v>
      </c>
      <c r="E849" s="52" t="s">
        <v>387</v>
      </c>
      <c r="F849" s="52" t="s">
        <v>2443</v>
      </c>
      <c r="G849" s="52" t="s">
        <v>60</v>
      </c>
      <c r="H849" s="54">
        <v>46143</v>
      </c>
      <c r="I849" s="52" t="s">
        <v>2304</v>
      </c>
      <c r="J849" s="52" t="s">
        <v>2328</v>
      </c>
      <c r="K849" s="52" t="s">
        <v>2440</v>
      </c>
      <c r="L849" s="52" t="s">
        <v>2440</v>
      </c>
      <c r="M849" s="52" t="s">
        <v>67</v>
      </c>
      <c r="N849" s="53">
        <v>-14</v>
      </c>
      <c r="O849" s="53">
        <v>-47.82</v>
      </c>
      <c r="P849" s="52" t="s">
        <v>2441</v>
      </c>
      <c r="Q849" s="52" t="s">
        <v>2442</v>
      </c>
      <c r="R849" s="52" t="s">
        <v>64</v>
      </c>
      <c r="S849" s="52" t="s">
        <v>2328</v>
      </c>
    </row>
    <row r="850" spans="1:19" hidden="1" outlineLevel="2" x14ac:dyDescent="0.45">
      <c r="A850" t="s">
        <v>17</v>
      </c>
      <c r="B850" s="52" t="s">
        <v>57</v>
      </c>
      <c r="C850" s="52" t="s">
        <v>349</v>
      </c>
      <c r="D850" s="52" t="s">
        <v>350</v>
      </c>
      <c r="E850" s="52" t="s">
        <v>387</v>
      </c>
      <c r="F850" s="52" t="s">
        <v>2444</v>
      </c>
      <c r="G850" s="52" t="s">
        <v>60</v>
      </c>
      <c r="H850" s="54">
        <v>46143</v>
      </c>
      <c r="I850" s="52" t="s">
        <v>2304</v>
      </c>
      <c r="J850" s="52" t="s">
        <v>2445</v>
      </c>
      <c r="K850" s="52" t="s">
        <v>2446</v>
      </c>
      <c r="L850" s="52" t="s">
        <v>2446</v>
      </c>
      <c r="M850" s="52" t="s">
        <v>29</v>
      </c>
      <c r="N850" s="53">
        <v>-8.6</v>
      </c>
      <c r="O850" s="53">
        <v>-8.6</v>
      </c>
      <c r="P850" s="52" t="s">
        <v>2447</v>
      </c>
      <c r="Q850" s="52" t="s">
        <v>2448</v>
      </c>
      <c r="R850" s="52" t="s">
        <v>64</v>
      </c>
      <c r="S850" s="52" t="s">
        <v>2445</v>
      </c>
    </row>
    <row r="851" spans="1:19" hidden="1" outlineLevel="2" x14ac:dyDescent="0.45">
      <c r="A851" t="s">
        <v>17</v>
      </c>
      <c r="B851" s="52" t="s">
        <v>57</v>
      </c>
      <c r="C851" s="52" t="s">
        <v>349</v>
      </c>
      <c r="D851" s="52" t="s">
        <v>350</v>
      </c>
      <c r="E851" s="52" t="s">
        <v>387</v>
      </c>
      <c r="F851" s="52" t="s">
        <v>2449</v>
      </c>
      <c r="G851" s="52" t="s">
        <v>60</v>
      </c>
      <c r="H851" s="54">
        <v>46143</v>
      </c>
      <c r="I851" s="52" t="s">
        <v>2304</v>
      </c>
      <c r="J851" s="52" t="s">
        <v>2333</v>
      </c>
      <c r="K851" s="52" t="s">
        <v>2450</v>
      </c>
      <c r="L851" s="52" t="s">
        <v>2450</v>
      </c>
      <c r="M851" s="52" t="s">
        <v>29</v>
      </c>
      <c r="N851" s="53">
        <v>-4.3</v>
      </c>
      <c r="O851" s="53">
        <v>-4.3</v>
      </c>
      <c r="P851" s="52" t="s">
        <v>2451</v>
      </c>
      <c r="Q851" s="52" t="s">
        <v>2452</v>
      </c>
      <c r="R851" s="52" t="s">
        <v>64</v>
      </c>
      <c r="S851" s="52" t="s">
        <v>2333</v>
      </c>
    </row>
    <row r="852" spans="1:19" hidden="1" outlineLevel="2" x14ac:dyDescent="0.45">
      <c r="A852" t="s">
        <v>17</v>
      </c>
      <c r="B852" s="52" t="s">
        <v>57</v>
      </c>
      <c r="C852" s="52" t="s">
        <v>349</v>
      </c>
      <c r="D852" s="52" t="s">
        <v>350</v>
      </c>
      <c r="E852" s="52" t="s">
        <v>387</v>
      </c>
      <c r="F852" s="52" t="s">
        <v>2453</v>
      </c>
      <c r="G852" s="52" t="s">
        <v>60</v>
      </c>
      <c r="H852" s="54">
        <v>46143</v>
      </c>
      <c r="I852" s="52" t="s">
        <v>2304</v>
      </c>
      <c r="J852" s="52" t="s">
        <v>2316</v>
      </c>
      <c r="K852" s="52" t="s">
        <v>2454</v>
      </c>
      <c r="L852" s="52" t="s">
        <v>2454</v>
      </c>
      <c r="M852" s="52" t="s">
        <v>29</v>
      </c>
      <c r="N852" s="53">
        <v>-4.3</v>
      </c>
      <c r="O852" s="53">
        <v>-4.3</v>
      </c>
      <c r="P852" s="52" t="s">
        <v>2455</v>
      </c>
      <c r="Q852" s="52" t="s">
        <v>2456</v>
      </c>
      <c r="R852" s="52" t="s">
        <v>64</v>
      </c>
      <c r="S852" s="52" t="s">
        <v>2316</v>
      </c>
    </row>
    <row r="853" spans="1:19" hidden="1" outlineLevel="2" x14ac:dyDescent="0.45">
      <c r="A853" t="s">
        <v>17</v>
      </c>
      <c r="B853" s="52" t="s">
        <v>57</v>
      </c>
      <c r="C853" s="52" t="s">
        <v>349</v>
      </c>
      <c r="D853" s="52" t="s">
        <v>350</v>
      </c>
      <c r="E853" s="52" t="s">
        <v>387</v>
      </c>
      <c r="F853" s="52" t="s">
        <v>2453</v>
      </c>
      <c r="G853" s="52" t="s">
        <v>60</v>
      </c>
      <c r="H853" s="54">
        <v>46143</v>
      </c>
      <c r="I853" s="52" t="s">
        <v>2304</v>
      </c>
      <c r="J853" s="52" t="s">
        <v>2316</v>
      </c>
      <c r="K853" s="52" t="s">
        <v>2454</v>
      </c>
      <c r="L853" s="52" t="s">
        <v>2454</v>
      </c>
      <c r="M853" s="52" t="s">
        <v>29</v>
      </c>
      <c r="N853" s="53">
        <v>-4.3</v>
      </c>
      <c r="O853" s="53">
        <v>-4.3</v>
      </c>
      <c r="P853" s="52" t="s">
        <v>2455</v>
      </c>
      <c r="Q853" s="52" t="s">
        <v>2456</v>
      </c>
      <c r="R853" s="52" t="s">
        <v>64</v>
      </c>
      <c r="S853" s="52" t="s">
        <v>2316</v>
      </c>
    </row>
    <row r="854" spans="1:19" hidden="1" outlineLevel="2" x14ac:dyDescent="0.45">
      <c r="A854" t="s">
        <v>17</v>
      </c>
      <c r="B854" s="52" t="s">
        <v>57</v>
      </c>
      <c r="C854" s="52" t="s">
        <v>349</v>
      </c>
      <c r="D854" s="52" t="s">
        <v>350</v>
      </c>
      <c r="E854" s="52" t="s">
        <v>387</v>
      </c>
      <c r="F854" s="52" t="s">
        <v>2453</v>
      </c>
      <c r="G854" s="52" t="s">
        <v>60</v>
      </c>
      <c r="H854" s="54">
        <v>46143</v>
      </c>
      <c r="I854" s="52" t="s">
        <v>2304</v>
      </c>
      <c r="J854" s="52" t="s">
        <v>2316</v>
      </c>
      <c r="K854" s="52" t="s">
        <v>2454</v>
      </c>
      <c r="L854" s="52" t="s">
        <v>2454</v>
      </c>
      <c r="M854" s="52" t="s">
        <v>29</v>
      </c>
      <c r="N854" s="53">
        <v>-4.3</v>
      </c>
      <c r="O854" s="53">
        <v>-4.3</v>
      </c>
      <c r="P854" s="52" t="s">
        <v>2455</v>
      </c>
      <c r="Q854" s="52" t="s">
        <v>2456</v>
      </c>
      <c r="R854" s="52" t="s">
        <v>64</v>
      </c>
      <c r="S854" s="52" t="s">
        <v>2316</v>
      </c>
    </row>
    <row r="855" spans="1:19" hidden="1" outlineLevel="2" x14ac:dyDescent="0.45">
      <c r="A855" t="s">
        <v>17</v>
      </c>
      <c r="B855" s="52" t="s">
        <v>66</v>
      </c>
      <c r="C855" s="52" t="s">
        <v>349</v>
      </c>
      <c r="D855" s="52" t="s">
        <v>350</v>
      </c>
      <c r="E855" s="52" t="s">
        <v>387</v>
      </c>
      <c r="F855" s="52" t="s">
        <v>2264</v>
      </c>
      <c r="G855" s="52" t="s">
        <v>60</v>
      </c>
      <c r="H855" s="54">
        <v>46143</v>
      </c>
      <c r="I855" s="52" t="s">
        <v>2304</v>
      </c>
      <c r="J855" s="52" t="s">
        <v>2325</v>
      </c>
      <c r="K855" s="52" t="s">
        <v>2457</v>
      </c>
      <c r="L855" s="52" t="s">
        <v>2457</v>
      </c>
      <c r="M855" s="52" t="s">
        <v>67</v>
      </c>
      <c r="N855" s="53">
        <v>-3.06</v>
      </c>
      <c r="O855" s="53">
        <v>-10.7</v>
      </c>
      <c r="P855" s="52" t="s">
        <v>2458</v>
      </c>
      <c r="Q855" s="52" t="s">
        <v>2459</v>
      </c>
      <c r="R855" s="52" t="s">
        <v>64</v>
      </c>
      <c r="S855" s="52" t="s">
        <v>2325</v>
      </c>
    </row>
    <row r="856" spans="1:19" hidden="1" outlineLevel="2" x14ac:dyDescent="0.45">
      <c r="A856" t="s">
        <v>17</v>
      </c>
      <c r="B856" s="52" t="s">
        <v>57</v>
      </c>
      <c r="C856" s="52" t="s">
        <v>349</v>
      </c>
      <c r="D856" s="52" t="s">
        <v>350</v>
      </c>
      <c r="E856" s="52" t="s">
        <v>387</v>
      </c>
      <c r="F856" s="52" t="s">
        <v>2460</v>
      </c>
      <c r="G856" s="52" t="s">
        <v>60</v>
      </c>
      <c r="H856" s="54">
        <v>46143</v>
      </c>
      <c r="I856" s="52" t="s">
        <v>2304</v>
      </c>
      <c r="J856" s="52" t="s">
        <v>2321</v>
      </c>
      <c r="K856" s="52" t="s">
        <v>2461</v>
      </c>
      <c r="L856" s="52" t="s">
        <v>2461</v>
      </c>
      <c r="M856" s="52" t="s">
        <v>29</v>
      </c>
      <c r="N856" s="53">
        <v>-4.3</v>
      </c>
      <c r="O856" s="53">
        <v>-4.3</v>
      </c>
      <c r="P856" s="52" t="s">
        <v>2462</v>
      </c>
      <c r="Q856" s="52" t="s">
        <v>2463</v>
      </c>
      <c r="R856" s="52" t="s">
        <v>64</v>
      </c>
      <c r="S856" s="52" t="s">
        <v>2321</v>
      </c>
    </row>
    <row r="857" spans="1:19" hidden="1" outlineLevel="2" x14ac:dyDescent="0.45">
      <c r="A857" t="s">
        <v>17</v>
      </c>
      <c r="B857" s="52" t="s">
        <v>57</v>
      </c>
      <c r="C857" s="52" t="s">
        <v>349</v>
      </c>
      <c r="D857" s="52" t="s">
        <v>350</v>
      </c>
      <c r="E857" s="52" t="s">
        <v>387</v>
      </c>
      <c r="F857" s="52" t="s">
        <v>2464</v>
      </c>
      <c r="G857" s="52" t="s">
        <v>60</v>
      </c>
      <c r="H857" s="54">
        <v>46143</v>
      </c>
      <c r="I857" s="52" t="s">
        <v>2304</v>
      </c>
      <c r="J857" s="52" t="s">
        <v>2325</v>
      </c>
      <c r="K857" s="52" t="s">
        <v>2465</v>
      </c>
      <c r="L857" s="52" t="s">
        <v>2465</v>
      </c>
      <c r="M857" s="52" t="s">
        <v>29</v>
      </c>
      <c r="N857" s="53">
        <v>-4.3</v>
      </c>
      <c r="O857" s="53">
        <v>-4.3</v>
      </c>
      <c r="P857" s="52" t="s">
        <v>2466</v>
      </c>
      <c r="Q857" s="52" t="s">
        <v>2459</v>
      </c>
      <c r="R857" s="52" t="s">
        <v>64</v>
      </c>
      <c r="S857" s="52" t="s">
        <v>2325</v>
      </c>
    </row>
    <row r="858" spans="1:19" hidden="1" outlineLevel="2" x14ac:dyDescent="0.45">
      <c r="A858" t="s">
        <v>17</v>
      </c>
      <c r="B858" s="52" t="s">
        <v>66</v>
      </c>
      <c r="C858" s="52" t="s">
        <v>349</v>
      </c>
      <c r="D858" s="52" t="s">
        <v>350</v>
      </c>
      <c r="E858" s="52" t="s">
        <v>387</v>
      </c>
      <c r="F858" s="52" t="s">
        <v>2467</v>
      </c>
      <c r="G858" s="52" t="s">
        <v>60</v>
      </c>
      <c r="H858" s="54">
        <v>46143</v>
      </c>
      <c r="I858" s="52" t="s">
        <v>2304</v>
      </c>
      <c r="J858" s="52" t="s">
        <v>2308</v>
      </c>
      <c r="K858" s="52" t="s">
        <v>2468</v>
      </c>
      <c r="L858" s="52" t="s">
        <v>2468</v>
      </c>
      <c r="M858" s="52" t="s">
        <v>67</v>
      </c>
      <c r="N858" s="53">
        <v>-1.53</v>
      </c>
      <c r="O858" s="53">
        <v>-5.26</v>
      </c>
      <c r="P858" s="52" t="s">
        <v>2469</v>
      </c>
      <c r="Q858" s="52" t="s">
        <v>2470</v>
      </c>
      <c r="R858" s="52" t="s">
        <v>64</v>
      </c>
      <c r="S858" s="52" t="s">
        <v>2308</v>
      </c>
    </row>
    <row r="859" spans="1:19" hidden="1" outlineLevel="2" x14ac:dyDescent="0.45">
      <c r="A859" t="s">
        <v>17</v>
      </c>
      <c r="B859" s="52" t="s">
        <v>66</v>
      </c>
      <c r="C859" s="52" t="s">
        <v>349</v>
      </c>
      <c r="D859" s="52" t="s">
        <v>350</v>
      </c>
      <c r="E859" s="52" t="s">
        <v>387</v>
      </c>
      <c r="F859" s="52" t="s">
        <v>2221</v>
      </c>
      <c r="G859" s="52" t="s">
        <v>60</v>
      </c>
      <c r="H859" s="54">
        <v>46143</v>
      </c>
      <c r="I859" s="52" t="s">
        <v>2304</v>
      </c>
      <c r="J859" s="52" t="s">
        <v>2471</v>
      </c>
      <c r="K859" s="52" t="s">
        <v>2472</v>
      </c>
      <c r="L859" s="52" t="s">
        <v>2472</v>
      </c>
      <c r="M859" s="52" t="s">
        <v>67</v>
      </c>
      <c r="N859" s="53">
        <v>-7.65</v>
      </c>
      <c r="O859" s="53">
        <v>-26.31</v>
      </c>
      <c r="P859" s="52" t="s">
        <v>2473</v>
      </c>
      <c r="Q859" s="52" t="s">
        <v>2474</v>
      </c>
      <c r="R859" s="52" t="s">
        <v>64</v>
      </c>
      <c r="S859" s="52" t="s">
        <v>2471</v>
      </c>
    </row>
    <row r="860" spans="1:19" hidden="1" outlineLevel="2" x14ac:dyDescent="0.45">
      <c r="A860" t="s">
        <v>17</v>
      </c>
      <c r="B860" s="52" t="s">
        <v>57</v>
      </c>
      <c r="C860" s="52" t="s">
        <v>349</v>
      </c>
      <c r="D860" s="52" t="s">
        <v>350</v>
      </c>
      <c r="E860" s="52" t="s">
        <v>387</v>
      </c>
      <c r="F860" s="52" t="s">
        <v>2475</v>
      </c>
      <c r="G860" s="52" t="s">
        <v>60</v>
      </c>
      <c r="H860" s="54">
        <v>46143</v>
      </c>
      <c r="I860" s="52" t="s">
        <v>2304</v>
      </c>
      <c r="J860" s="52" t="s">
        <v>2343</v>
      </c>
      <c r="K860" s="52" t="s">
        <v>2476</v>
      </c>
      <c r="L860" s="52" t="s">
        <v>2476</v>
      </c>
      <c r="M860" s="52" t="s">
        <v>29</v>
      </c>
      <c r="N860" s="53">
        <v>-4.3</v>
      </c>
      <c r="O860" s="53">
        <v>-4.3</v>
      </c>
      <c r="P860" s="52" t="s">
        <v>2477</v>
      </c>
      <c r="Q860" s="52" t="s">
        <v>2478</v>
      </c>
      <c r="R860" s="52" t="s">
        <v>64</v>
      </c>
      <c r="S860" s="52" t="s">
        <v>2343</v>
      </c>
    </row>
    <row r="861" spans="1:19" hidden="1" outlineLevel="2" x14ac:dyDescent="0.45">
      <c r="A861" t="s">
        <v>17</v>
      </c>
      <c r="B861" s="52" t="s">
        <v>57</v>
      </c>
      <c r="C861" s="52" t="s">
        <v>349</v>
      </c>
      <c r="D861" s="52" t="s">
        <v>350</v>
      </c>
      <c r="E861" s="52" t="s">
        <v>387</v>
      </c>
      <c r="F861" s="52" t="s">
        <v>2475</v>
      </c>
      <c r="G861" s="52" t="s">
        <v>60</v>
      </c>
      <c r="H861" s="54">
        <v>46143</v>
      </c>
      <c r="I861" s="52" t="s">
        <v>2304</v>
      </c>
      <c r="J861" s="52" t="s">
        <v>2343</v>
      </c>
      <c r="K861" s="52" t="s">
        <v>2476</v>
      </c>
      <c r="L861" s="52" t="s">
        <v>2476</v>
      </c>
      <c r="M861" s="52" t="s">
        <v>29</v>
      </c>
      <c r="N861" s="53">
        <v>-4.3</v>
      </c>
      <c r="O861" s="53">
        <v>-4.3</v>
      </c>
      <c r="P861" s="52" t="s">
        <v>2477</v>
      </c>
      <c r="Q861" s="52" t="s">
        <v>2478</v>
      </c>
      <c r="R861" s="52" t="s">
        <v>64</v>
      </c>
      <c r="S861" s="52" t="s">
        <v>2343</v>
      </c>
    </row>
    <row r="862" spans="1:19" hidden="1" outlineLevel="2" x14ac:dyDescent="0.45">
      <c r="A862" t="s">
        <v>17</v>
      </c>
      <c r="B862" s="52" t="s">
        <v>57</v>
      </c>
      <c r="C862" s="52" t="s">
        <v>349</v>
      </c>
      <c r="D862" s="52" t="s">
        <v>350</v>
      </c>
      <c r="E862" s="52" t="s">
        <v>387</v>
      </c>
      <c r="F862" s="52" t="s">
        <v>2475</v>
      </c>
      <c r="G862" s="52" t="s">
        <v>60</v>
      </c>
      <c r="H862" s="54">
        <v>46143</v>
      </c>
      <c r="I862" s="52" t="s">
        <v>2304</v>
      </c>
      <c r="J862" s="52" t="s">
        <v>2343</v>
      </c>
      <c r="K862" s="52" t="s">
        <v>2476</v>
      </c>
      <c r="L862" s="52" t="s">
        <v>2476</v>
      </c>
      <c r="M862" s="52" t="s">
        <v>29</v>
      </c>
      <c r="N862" s="53">
        <v>-4.3</v>
      </c>
      <c r="O862" s="53">
        <v>-4.3</v>
      </c>
      <c r="P862" s="52" t="s">
        <v>2477</v>
      </c>
      <c r="Q862" s="52" t="s">
        <v>2478</v>
      </c>
      <c r="R862" s="52" t="s">
        <v>64</v>
      </c>
      <c r="S862" s="52" t="s">
        <v>2343</v>
      </c>
    </row>
    <row r="863" spans="1:19" hidden="1" outlineLevel="2" x14ac:dyDescent="0.45">
      <c r="A863" t="s">
        <v>17</v>
      </c>
      <c r="B863" s="52" t="s">
        <v>57</v>
      </c>
      <c r="C863" s="52" t="s">
        <v>349</v>
      </c>
      <c r="D863" s="52" t="s">
        <v>350</v>
      </c>
      <c r="E863" s="52" t="s">
        <v>387</v>
      </c>
      <c r="F863" s="52" t="s">
        <v>2475</v>
      </c>
      <c r="G863" s="52" t="s">
        <v>60</v>
      </c>
      <c r="H863" s="54">
        <v>46143</v>
      </c>
      <c r="I863" s="52" t="s">
        <v>2304</v>
      </c>
      <c r="J863" s="52" t="s">
        <v>2343</v>
      </c>
      <c r="K863" s="52" t="s">
        <v>2476</v>
      </c>
      <c r="L863" s="52" t="s">
        <v>2476</v>
      </c>
      <c r="M863" s="52" t="s">
        <v>29</v>
      </c>
      <c r="N863" s="53">
        <v>-4.3</v>
      </c>
      <c r="O863" s="53">
        <v>-4.3</v>
      </c>
      <c r="P863" s="52" t="s">
        <v>2477</v>
      </c>
      <c r="Q863" s="52" t="s">
        <v>2478</v>
      </c>
      <c r="R863" s="52" t="s">
        <v>64</v>
      </c>
      <c r="S863" s="52" t="s">
        <v>2343</v>
      </c>
    </row>
    <row r="864" spans="1:19" hidden="1" outlineLevel="2" x14ac:dyDescent="0.45">
      <c r="A864" t="s">
        <v>17</v>
      </c>
      <c r="B864" s="52" t="s">
        <v>57</v>
      </c>
      <c r="C864" s="52" t="s">
        <v>349</v>
      </c>
      <c r="D864" s="52" t="s">
        <v>350</v>
      </c>
      <c r="E864" s="52" t="s">
        <v>387</v>
      </c>
      <c r="F864" s="52" t="s">
        <v>2475</v>
      </c>
      <c r="G864" s="52" t="s">
        <v>60</v>
      </c>
      <c r="H864" s="54">
        <v>46143</v>
      </c>
      <c r="I864" s="52" t="s">
        <v>2304</v>
      </c>
      <c r="J864" s="52" t="s">
        <v>2343</v>
      </c>
      <c r="K864" s="52" t="s">
        <v>2476</v>
      </c>
      <c r="L864" s="52" t="s">
        <v>2476</v>
      </c>
      <c r="M864" s="52" t="s">
        <v>29</v>
      </c>
      <c r="N864" s="53">
        <v>-4.3</v>
      </c>
      <c r="O864" s="53">
        <v>-4.3</v>
      </c>
      <c r="P864" s="52" t="s">
        <v>2477</v>
      </c>
      <c r="Q864" s="52" t="s">
        <v>2478</v>
      </c>
      <c r="R864" s="52" t="s">
        <v>64</v>
      </c>
      <c r="S864" s="52" t="s">
        <v>2343</v>
      </c>
    </row>
    <row r="865" spans="1:19" hidden="1" outlineLevel="2" x14ac:dyDescent="0.45">
      <c r="A865" t="s">
        <v>17</v>
      </c>
      <c r="B865" s="52" t="s">
        <v>57</v>
      </c>
      <c r="C865" s="52" t="s">
        <v>349</v>
      </c>
      <c r="D865" s="52" t="s">
        <v>350</v>
      </c>
      <c r="E865" s="52" t="s">
        <v>387</v>
      </c>
      <c r="F865" s="52" t="s">
        <v>2475</v>
      </c>
      <c r="G865" s="52" t="s">
        <v>60</v>
      </c>
      <c r="H865" s="54">
        <v>46143</v>
      </c>
      <c r="I865" s="52" t="s">
        <v>2304</v>
      </c>
      <c r="J865" s="52" t="s">
        <v>2343</v>
      </c>
      <c r="K865" s="52" t="s">
        <v>2476</v>
      </c>
      <c r="L865" s="52" t="s">
        <v>2476</v>
      </c>
      <c r="M865" s="52" t="s">
        <v>29</v>
      </c>
      <c r="N865" s="53">
        <v>-4.3</v>
      </c>
      <c r="O865" s="53">
        <v>-4.3</v>
      </c>
      <c r="P865" s="52" t="s">
        <v>2477</v>
      </c>
      <c r="Q865" s="52" t="s">
        <v>2478</v>
      </c>
      <c r="R865" s="52" t="s">
        <v>64</v>
      </c>
      <c r="S865" s="52" t="s">
        <v>2343</v>
      </c>
    </row>
    <row r="866" spans="1:19" hidden="1" outlineLevel="2" x14ac:dyDescent="0.45">
      <c r="A866" t="s">
        <v>17</v>
      </c>
      <c r="B866" s="52" t="s">
        <v>57</v>
      </c>
      <c r="C866" s="52" t="s">
        <v>349</v>
      </c>
      <c r="D866" s="52" t="s">
        <v>350</v>
      </c>
      <c r="E866" s="52" t="s">
        <v>387</v>
      </c>
      <c r="F866" s="52" t="s">
        <v>2475</v>
      </c>
      <c r="G866" s="52" t="s">
        <v>60</v>
      </c>
      <c r="H866" s="54">
        <v>46143</v>
      </c>
      <c r="I866" s="52" t="s">
        <v>2304</v>
      </c>
      <c r="J866" s="52" t="s">
        <v>2343</v>
      </c>
      <c r="K866" s="52" t="s">
        <v>2476</v>
      </c>
      <c r="L866" s="52" t="s">
        <v>2476</v>
      </c>
      <c r="M866" s="52" t="s">
        <v>29</v>
      </c>
      <c r="N866" s="53">
        <v>-24</v>
      </c>
      <c r="O866" s="53">
        <v>-24</v>
      </c>
      <c r="P866" s="52" t="s">
        <v>2477</v>
      </c>
      <c r="Q866" s="52" t="s">
        <v>2478</v>
      </c>
      <c r="R866" s="52" t="s">
        <v>64</v>
      </c>
      <c r="S866" s="52" t="s">
        <v>2343</v>
      </c>
    </row>
    <row r="867" spans="1:19" hidden="1" outlineLevel="2" x14ac:dyDescent="0.45">
      <c r="A867" t="s">
        <v>17</v>
      </c>
      <c r="B867" s="52" t="s">
        <v>57</v>
      </c>
      <c r="C867" s="52" t="s">
        <v>349</v>
      </c>
      <c r="D867" s="52" t="s">
        <v>350</v>
      </c>
      <c r="E867" s="52" t="s">
        <v>387</v>
      </c>
      <c r="F867" s="52" t="s">
        <v>2475</v>
      </c>
      <c r="G867" s="52" t="s">
        <v>60</v>
      </c>
      <c r="H867" s="54">
        <v>46143</v>
      </c>
      <c r="I867" s="52" t="s">
        <v>2304</v>
      </c>
      <c r="J867" s="52" t="s">
        <v>2343</v>
      </c>
      <c r="K867" s="52" t="s">
        <v>2476</v>
      </c>
      <c r="L867" s="52" t="s">
        <v>2476</v>
      </c>
      <c r="M867" s="52" t="s">
        <v>29</v>
      </c>
      <c r="N867" s="53">
        <v>-30</v>
      </c>
      <c r="O867" s="53">
        <v>-30</v>
      </c>
      <c r="P867" s="52" t="s">
        <v>2477</v>
      </c>
      <c r="Q867" s="52" t="s">
        <v>2478</v>
      </c>
      <c r="R867" s="52" t="s">
        <v>64</v>
      </c>
      <c r="S867" s="52" t="s">
        <v>2343</v>
      </c>
    </row>
    <row r="868" spans="1:19" hidden="1" outlineLevel="2" x14ac:dyDescent="0.45">
      <c r="A868" t="s">
        <v>17</v>
      </c>
      <c r="B868" s="52" t="s">
        <v>57</v>
      </c>
      <c r="C868" s="52" t="s">
        <v>349</v>
      </c>
      <c r="D868" s="52" t="s">
        <v>350</v>
      </c>
      <c r="E868" s="52" t="s">
        <v>387</v>
      </c>
      <c r="F868" s="52" t="s">
        <v>2475</v>
      </c>
      <c r="G868" s="52" t="s">
        <v>60</v>
      </c>
      <c r="H868" s="54">
        <v>46143</v>
      </c>
      <c r="I868" s="52" t="s">
        <v>2304</v>
      </c>
      <c r="J868" s="52" t="s">
        <v>2343</v>
      </c>
      <c r="K868" s="52" t="s">
        <v>2476</v>
      </c>
      <c r="L868" s="52" t="s">
        <v>2476</v>
      </c>
      <c r="M868" s="52" t="s">
        <v>29</v>
      </c>
      <c r="N868" s="53">
        <v>-30</v>
      </c>
      <c r="O868" s="53">
        <v>-30</v>
      </c>
      <c r="P868" s="52" t="s">
        <v>2477</v>
      </c>
      <c r="Q868" s="52" t="s">
        <v>2478</v>
      </c>
      <c r="R868" s="52" t="s">
        <v>64</v>
      </c>
      <c r="S868" s="52" t="s">
        <v>2343</v>
      </c>
    </row>
    <row r="869" spans="1:19" hidden="1" outlineLevel="2" x14ac:dyDescent="0.45">
      <c r="A869" t="s">
        <v>17</v>
      </c>
      <c r="B869" s="52" t="s">
        <v>66</v>
      </c>
      <c r="C869" s="52" t="s">
        <v>349</v>
      </c>
      <c r="D869" s="52" t="s">
        <v>350</v>
      </c>
      <c r="E869" s="52" t="s">
        <v>387</v>
      </c>
      <c r="F869" s="52" t="s">
        <v>2479</v>
      </c>
      <c r="G869" s="52" t="s">
        <v>60</v>
      </c>
      <c r="H869" s="54">
        <v>46143</v>
      </c>
      <c r="I869" s="52" t="s">
        <v>2304</v>
      </c>
      <c r="J869" s="52" t="s">
        <v>2343</v>
      </c>
      <c r="K869" s="52" t="s">
        <v>2480</v>
      </c>
      <c r="L869" s="52" t="s">
        <v>2480</v>
      </c>
      <c r="M869" s="52" t="s">
        <v>67</v>
      </c>
      <c r="N869" s="53">
        <v>-1.53</v>
      </c>
      <c r="O869" s="53">
        <v>-5.23</v>
      </c>
      <c r="P869" s="52" t="s">
        <v>2481</v>
      </c>
      <c r="Q869" s="52" t="s">
        <v>2478</v>
      </c>
      <c r="R869" s="52" t="s">
        <v>64</v>
      </c>
      <c r="S869" s="52" t="s">
        <v>2343</v>
      </c>
    </row>
    <row r="870" spans="1:19" hidden="1" outlineLevel="2" x14ac:dyDescent="0.45">
      <c r="A870" t="s">
        <v>17</v>
      </c>
      <c r="B870" s="52" t="s">
        <v>57</v>
      </c>
      <c r="C870" s="52" t="s">
        <v>349</v>
      </c>
      <c r="D870" s="52" t="s">
        <v>350</v>
      </c>
      <c r="E870" s="52" t="s">
        <v>387</v>
      </c>
      <c r="F870" s="52" t="s">
        <v>2482</v>
      </c>
      <c r="G870" s="52" t="s">
        <v>60</v>
      </c>
      <c r="H870" s="54">
        <v>46143</v>
      </c>
      <c r="I870" s="52" t="s">
        <v>2304</v>
      </c>
      <c r="J870" s="52" t="s">
        <v>2483</v>
      </c>
      <c r="K870" s="52" t="s">
        <v>2484</v>
      </c>
      <c r="L870" s="52" t="s">
        <v>2484</v>
      </c>
      <c r="M870" s="52" t="s">
        <v>29</v>
      </c>
      <c r="N870" s="53">
        <v>-4.3</v>
      </c>
      <c r="O870" s="53">
        <v>-4.3</v>
      </c>
      <c r="P870" s="52" t="s">
        <v>2485</v>
      </c>
      <c r="Q870" s="52" t="s">
        <v>2486</v>
      </c>
      <c r="R870" s="52" t="s">
        <v>64</v>
      </c>
      <c r="S870" s="52" t="s">
        <v>2483</v>
      </c>
    </row>
    <row r="871" spans="1:19" hidden="1" outlineLevel="2" x14ac:dyDescent="0.45">
      <c r="A871" t="s">
        <v>17</v>
      </c>
      <c r="B871" s="52" t="s">
        <v>57</v>
      </c>
      <c r="C871" s="52" t="s">
        <v>349</v>
      </c>
      <c r="D871" s="52" t="s">
        <v>350</v>
      </c>
      <c r="E871" s="52" t="s">
        <v>387</v>
      </c>
      <c r="F871" s="52" t="s">
        <v>2487</v>
      </c>
      <c r="G871" s="52" t="s">
        <v>60</v>
      </c>
      <c r="H871" s="54">
        <v>46143</v>
      </c>
      <c r="I871" s="52" t="s">
        <v>2304</v>
      </c>
      <c r="J871" s="52" t="s">
        <v>2488</v>
      </c>
      <c r="K871" s="52" t="s">
        <v>2489</v>
      </c>
      <c r="L871" s="52" t="s">
        <v>2489</v>
      </c>
      <c r="M871" s="52" t="s">
        <v>29</v>
      </c>
      <c r="N871" s="53">
        <v>-4.3</v>
      </c>
      <c r="O871" s="53">
        <v>-4.3</v>
      </c>
      <c r="P871" s="52" t="s">
        <v>2490</v>
      </c>
      <c r="Q871" s="52" t="s">
        <v>2491</v>
      </c>
      <c r="R871" s="52" t="s">
        <v>64</v>
      </c>
      <c r="S871" s="52" t="s">
        <v>2488</v>
      </c>
    </row>
    <row r="872" spans="1:19" hidden="1" outlineLevel="2" x14ac:dyDescent="0.45">
      <c r="A872" t="s">
        <v>17</v>
      </c>
      <c r="B872" s="52" t="s">
        <v>57</v>
      </c>
      <c r="C872" s="52" t="s">
        <v>349</v>
      </c>
      <c r="D872" s="52" t="s">
        <v>350</v>
      </c>
      <c r="E872" s="52" t="s">
        <v>387</v>
      </c>
      <c r="F872" s="52" t="s">
        <v>2492</v>
      </c>
      <c r="G872" s="52" t="s">
        <v>60</v>
      </c>
      <c r="H872" s="54">
        <v>46143</v>
      </c>
      <c r="I872" s="52" t="s">
        <v>2304</v>
      </c>
      <c r="J872" s="52" t="s">
        <v>2328</v>
      </c>
      <c r="K872" s="52" t="s">
        <v>2493</v>
      </c>
      <c r="L872" s="52" t="s">
        <v>2493</v>
      </c>
      <c r="M872" s="52" t="s">
        <v>29</v>
      </c>
      <c r="N872" s="53">
        <v>-1</v>
      </c>
      <c r="O872" s="53">
        <v>-1</v>
      </c>
      <c r="P872" s="52" t="s">
        <v>2494</v>
      </c>
      <c r="Q872" s="52" t="s">
        <v>2495</v>
      </c>
      <c r="R872" s="52" t="s">
        <v>64</v>
      </c>
      <c r="S872" s="52" t="s">
        <v>2328</v>
      </c>
    </row>
    <row r="873" spans="1:19" hidden="1" outlineLevel="2" x14ac:dyDescent="0.45">
      <c r="A873" t="s">
        <v>17</v>
      </c>
      <c r="B873" s="52" t="s">
        <v>57</v>
      </c>
      <c r="C873" s="52" t="s">
        <v>349</v>
      </c>
      <c r="D873" s="52" t="s">
        <v>350</v>
      </c>
      <c r="E873" s="52" t="s">
        <v>387</v>
      </c>
      <c r="F873" s="52" t="s">
        <v>2492</v>
      </c>
      <c r="G873" s="52" t="s">
        <v>60</v>
      </c>
      <c r="H873" s="54">
        <v>46143</v>
      </c>
      <c r="I873" s="52" t="s">
        <v>2304</v>
      </c>
      <c r="J873" s="52" t="s">
        <v>2328</v>
      </c>
      <c r="K873" s="52" t="s">
        <v>2493</v>
      </c>
      <c r="L873" s="52" t="s">
        <v>2493</v>
      </c>
      <c r="M873" s="52" t="s">
        <v>29</v>
      </c>
      <c r="N873" s="53">
        <v>-1</v>
      </c>
      <c r="O873" s="53">
        <v>-1</v>
      </c>
      <c r="P873" s="52" t="s">
        <v>2494</v>
      </c>
      <c r="Q873" s="52" t="s">
        <v>2495</v>
      </c>
      <c r="R873" s="52" t="s">
        <v>64</v>
      </c>
      <c r="S873" s="52" t="s">
        <v>2328</v>
      </c>
    </row>
    <row r="874" spans="1:19" hidden="1" outlineLevel="2" x14ac:dyDescent="0.45">
      <c r="A874" t="s">
        <v>17</v>
      </c>
      <c r="B874" s="52" t="s">
        <v>57</v>
      </c>
      <c r="C874" s="52" t="s">
        <v>349</v>
      </c>
      <c r="D874" s="52" t="s">
        <v>350</v>
      </c>
      <c r="E874" s="52" t="s">
        <v>387</v>
      </c>
      <c r="F874" s="52" t="s">
        <v>2492</v>
      </c>
      <c r="G874" s="52" t="s">
        <v>60</v>
      </c>
      <c r="H874" s="54">
        <v>46143</v>
      </c>
      <c r="I874" s="52" t="s">
        <v>2304</v>
      </c>
      <c r="J874" s="52" t="s">
        <v>2328</v>
      </c>
      <c r="K874" s="52" t="s">
        <v>2493</v>
      </c>
      <c r="L874" s="52" t="s">
        <v>2493</v>
      </c>
      <c r="M874" s="52" t="s">
        <v>29</v>
      </c>
      <c r="N874" s="53">
        <v>-9</v>
      </c>
      <c r="O874" s="53">
        <v>-9</v>
      </c>
      <c r="P874" s="52" t="s">
        <v>2494</v>
      </c>
      <c r="Q874" s="52" t="s">
        <v>2495</v>
      </c>
      <c r="R874" s="52" t="s">
        <v>64</v>
      </c>
      <c r="S874" s="52" t="s">
        <v>2328</v>
      </c>
    </row>
    <row r="875" spans="1:19" hidden="1" outlineLevel="2" x14ac:dyDescent="0.45">
      <c r="A875" t="s">
        <v>17</v>
      </c>
      <c r="B875" s="52" t="s">
        <v>57</v>
      </c>
      <c r="C875" s="52" t="s">
        <v>349</v>
      </c>
      <c r="D875" s="52" t="s">
        <v>350</v>
      </c>
      <c r="E875" s="52" t="s">
        <v>387</v>
      </c>
      <c r="F875" s="52" t="s">
        <v>2496</v>
      </c>
      <c r="G875" s="52" t="s">
        <v>60</v>
      </c>
      <c r="H875" s="54">
        <v>46143</v>
      </c>
      <c r="I875" s="52" t="s">
        <v>2304</v>
      </c>
      <c r="J875" s="52" t="s">
        <v>2416</v>
      </c>
      <c r="K875" s="52" t="s">
        <v>2497</v>
      </c>
      <c r="L875" s="52" t="s">
        <v>2497</v>
      </c>
      <c r="M875" s="52" t="s">
        <v>29</v>
      </c>
      <c r="N875" s="53">
        <v>-28.9</v>
      </c>
      <c r="O875" s="53">
        <v>-28.9</v>
      </c>
      <c r="P875" s="52" t="s">
        <v>2498</v>
      </c>
      <c r="Q875" s="52" t="s">
        <v>2499</v>
      </c>
      <c r="R875" s="52" t="s">
        <v>64</v>
      </c>
      <c r="S875" s="52" t="s">
        <v>2416</v>
      </c>
    </row>
    <row r="876" spans="1:19" hidden="1" outlineLevel="2" x14ac:dyDescent="0.45">
      <c r="A876" t="s">
        <v>17</v>
      </c>
      <c r="B876" s="52" t="s">
        <v>57</v>
      </c>
      <c r="C876" s="52" t="s">
        <v>349</v>
      </c>
      <c r="D876" s="52" t="s">
        <v>350</v>
      </c>
      <c r="E876" s="52" t="s">
        <v>387</v>
      </c>
      <c r="F876" s="52" t="s">
        <v>2201</v>
      </c>
      <c r="G876" s="52" t="s">
        <v>60</v>
      </c>
      <c r="H876" s="54">
        <v>46143</v>
      </c>
      <c r="I876" s="52" t="s">
        <v>2304</v>
      </c>
      <c r="J876" s="52" t="s">
        <v>2333</v>
      </c>
      <c r="K876" s="52" t="s">
        <v>2500</v>
      </c>
      <c r="L876" s="52" t="s">
        <v>2500</v>
      </c>
      <c r="M876" s="52" t="s">
        <v>29</v>
      </c>
      <c r="N876" s="53">
        <v>-31.5</v>
      </c>
      <c r="O876" s="53">
        <v>-31.5</v>
      </c>
      <c r="P876" s="52" t="s">
        <v>2501</v>
      </c>
      <c r="Q876" s="52" t="s">
        <v>2502</v>
      </c>
      <c r="R876" s="52" t="s">
        <v>64</v>
      </c>
      <c r="S876" s="52" t="s">
        <v>2333</v>
      </c>
    </row>
    <row r="877" spans="1:19" hidden="1" outlineLevel="2" x14ac:dyDescent="0.45">
      <c r="A877" t="s">
        <v>17</v>
      </c>
      <c r="B877" s="52" t="s">
        <v>66</v>
      </c>
      <c r="C877" s="52" t="s">
        <v>349</v>
      </c>
      <c r="D877" s="52" t="s">
        <v>350</v>
      </c>
      <c r="E877" s="52" t="s">
        <v>387</v>
      </c>
      <c r="F877" s="52" t="s">
        <v>2503</v>
      </c>
      <c r="G877" s="52" t="s">
        <v>60</v>
      </c>
      <c r="H877" s="54">
        <v>46143</v>
      </c>
      <c r="I877" s="52" t="s">
        <v>2304</v>
      </c>
      <c r="J877" s="52" t="s">
        <v>2328</v>
      </c>
      <c r="K877" s="52" t="s">
        <v>2504</v>
      </c>
      <c r="L877" s="52" t="s">
        <v>2504</v>
      </c>
      <c r="M877" s="52" t="s">
        <v>67</v>
      </c>
      <c r="N877" s="53">
        <v>-2.75</v>
      </c>
      <c r="O877" s="53">
        <v>-9.39</v>
      </c>
      <c r="P877" s="52" t="s">
        <v>2505</v>
      </c>
      <c r="Q877" s="52" t="s">
        <v>2442</v>
      </c>
      <c r="R877" s="52" t="s">
        <v>64</v>
      </c>
      <c r="S877" s="52" t="s">
        <v>2328</v>
      </c>
    </row>
    <row r="878" spans="1:19" hidden="1" outlineLevel="2" x14ac:dyDescent="0.45">
      <c r="A878" t="s">
        <v>17</v>
      </c>
      <c r="B878" s="52" t="s">
        <v>57</v>
      </c>
      <c r="C878" s="52" t="s">
        <v>2506</v>
      </c>
      <c r="D878" s="52" t="s">
        <v>2507</v>
      </c>
      <c r="E878" s="52" t="s">
        <v>387</v>
      </c>
      <c r="F878" s="52" t="s">
        <v>2508</v>
      </c>
      <c r="G878" s="52" t="s">
        <v>60</v>
      </c>
      <c r="H878" s="54">
        <v>46143</v>
      </c>
      <c r="I878" s="52" t="s">
        <v>2304</v>
      </c>
      <c r="J878" s="52" t="s">
        <v>2333</v>
      </c>
      <c r="K878" s="52" t="s">
        <v>2509</v>
      </c>
      <c r="L878" s="52" t="s">
        <v>2509</v>
      </c>
      <c r="M878" s="52" t="s">
        <v>29</v>
      </c>
      <c r="N878" s="53">
        <v>-76086.960000000006</v>
      </c>
      <c r="O878" s="53">
        <v>-76086.960000000006</v>
      </c>
      <c r="P878" s="52" t="s">
        <v>2510</v>
      </c>
      <c r="Q878" s="52" t="s">
        <v>2511</v>
      </c>
      <c r="R878" s="55" t="s">
        <v>64</v>
      </c>
      <c r="S878" s="52" t="s">
        <v>2333</v>
      </c>
    </row>
    <row r="879" spans="1:19" hidden="1" outlineLevel="2" x14ac:dyDescent="0.45">
      <c r="A879" t="s">
        <v>17</v>
      </c>
      <c r="B879" s="52" t="s">
        <v>66</v>
      </c>
      <c r="C879" s="52" t="s">
        <v>376</v>
      </c>
      <c r="D879" s="52" t="s">
        <v>377</v>
      </c>
      <c r="E879" s="52" t="s">
        <v>387</v>
      </c>
      <c r="F879" s="52" t="s">
        <v>2512</v>
      </c>
      <c r="G879" s="52" t="s">
        <v>60</v>
      </c>
      <c r="H879" s="54">
        <v>46143</v>
      </c>
      <c r="I879" s="52" t="s">
        <v>2304</v>
      </c>
      <c r="J879" s="52" t="s">
        <v>2321</v>
      </c>
      <c r="K879" s="52" t="s">
        <v>2513</v>
      </c>
      <c r="L879" s="52" t="s">
        <v>2513</v>
      </c>
      <c r="M879" s="52" t="s">
        <v>67</v>
      </c>
      <c r="N879" s="53">
        <v>-20000</v>
      </c>
      <c r="O879" s="53">
        <v>-68380</v>
      </c>
      <c r="P879" s="52" t="s">
        <v>2514</v>
      </c>
      <c r="Q879" s="52" t="s">
        <v>2515</v>
      </c>
      <c r="R879" s="55" t="s">
        <v>64</v>
      </c>
      <c r="S879" s="52" t="s">
        <v>2321</v>
      </c>
    </row>
    <row r="880" spans="1:19" hidden="1" outlineLevel="2" x14ac:dyDescent="0.45">
      <c r="A880" t="s">
        <v>17</v>
      </c>
      <c r="B880" s="52" t="s">
        <v>57</v>
      </c>
      <c r="C880" s="52" t="s">
        <v>2516</v>
      </c>
      <c r="D880" s="52" t="s">
        <v>2517</v>
      </c>
      <c r="E880" s="52" t="s">
        <v>387</v>
      </c>
      <c r="F880" s="52" t="s">
        <v>2154</v>
      </c>
      <c r="G880" s="52" t="s">
        <v>60</v>
      </c>
      <c r="H880" s="54">
        <v>46143</v>
      </c>
      <c r="I880" s="52" t="s">
        <v>2304</v>
      </c>
      <c r="J880" s="52" t="s">
        <v>2416</v>
      </c>
      <c r="K880" s="52" t="s">
        <v>2518</v>
      </c>
      <c r="L880" s="52" t="s">
        <v>2518</v>
      </c>
      <c r="M880" s="52" t="s">
        <v>29</v>
      </c>
      <c r="N880" s="53">
        <v>-53363.38</v>
      </c>
      <c r="O880" s="53">
        <v>-53363.38</v>
      </c>
      <c r="P880" s="52" t="s">
        <v>2519</v>
      </c>
      <c r="Q880" s="52" t="s">
        <v>2520</v>
      </c>
      <c r="R880" s="55" t="s">
        <v>64</v>
      </c>
      <c r="S880" s="52" t="s">
        <v>2416</v>
      </c>
    </row>
    <row r="881" spans="1:19" hidden="1" outlineLevel="2" x14ac:dyDescent="0.45">
      <c r="A881" t="s">
        <v>17</v>
      </c>
      <c r="B881" s="52" t="s">
        <v>66</v>
      </c>
      <c r="C881" s="52" t="s">
        <v>376</v>
      </c>
      <c r="D881" s="52" t="s">
        <v>377</v>
      </c>
      <c r="E881" s="52" t="s">
        <v>387</v>
      </c>
      <c r="F881" s="52" t="s">
        <v>2521</v>
      </c>
      <c r="G881" s="52" t="s">
        <v>60</v>
      </c>
      <c r="H881" s="54">
        <v>46143</v>
      </c>
      <c r="I881" s="52" t="s">
        <v>2304</v>
      </c>
      <c r="J881" s="52" t="s">
        <v>2325</v>
      </c>
      <c r="K881" s="52" t="s">
        <v>2522</v>
      </c>
      <c r="L881" s="52" t="s">
        <v>2522</v>
      </c>
      <c r="M881" s="52" t="s">
        <v>67</v>
      </c>
      <c r="N881" s="53">
        <v>-10384</v>
      </c>
      <c r="O881" s="53">
        <v>-36323.230000000003</v>
      </c>
      <c r="P881" s="52" t="s">
        <v>2523</v>
      </c>
      <c r="Q881" s="52" t="s">
        <v>2524</v>
      </c>
      <c r="R881" s="55" t="s">
        <v>64</v>
      </c>
      <c r="S881" s="52" t="s">
        <v>2325</v>
      </c>
    </row>
    <row r="882" spans="1:19" hidden="1" outlineLevel="2" x14ac:dyDescent="0.45">
      <c r="A882" t="s">
        <v>17</v>
      </c>
      <c r="B882" s="52" t="s">
        <v>66</v>
      </c>
      <c r="C882" s="52" t="s">
        <v>376</v>
      </c>
      <c r="D882" s="52" t="s">
        <v>377</v>
      </c>
      <c r="E882" s="52" t="s">
        <v>387</v>
      </c>
      <c r="F882" s="52" t="s">
        <v>2525</v>
      </c>
      <c r="G882" s="52" t="s">
        <v>60</v>
      </c>
      <c r="H882" s="54">
        <v>46143</v>
      </c>
      <c r="I882" s="52" t="s">
        <v>2304</v>
      </c>
      <c r="J882" s="52" t="s">
        <v>2321</v>
      </c>
      <c r="K882" s="52" t="s">
        <v>2513</v>
      </c>
      <c r="L882" s="52" t="s">
        <v>2513</v>
      </c>
      <c r="M882" s="52" t="s">
        <v>67</v>
      </c>
      <c r="N882" s="53">
        <v>-10000</v>
      </c>
      <c r="O882" s="53">
        <v>-34190</v>
      </c>
      <c r="P882" s="52" t="s">
        <v>2514</v>
      </c>
      <c r="Q882" s="52" t="s">
        <v>2526</v>
      </c>
      <c r="R882" s="55" t="s">
        <v>64</v>
      </c>
      <c r="S882" s="52" t="s">
        <v>2321</v>
      </c>
    </row>
    <row r="883" spans="1:19" hidden="1" outlineLevel="2" x14ac:dyDescent="0.45">
      <c r="A883" t="s">
        <v>17</v>
      </c>
      <c r="B883" s="52" t="s">
        <v>66</v>
      </c>
      <c r="C883" s="52" t="s">
        <v>376</v>
      </c>
      <c r="D883" s="52" t="s">
        <v>377</v>
      </c>
      <c r="E883" s="52" t="s">
        <v>387</v>
      </c>
      <c r="F883" s="52" t="s">
        <v>2527</v>
      </c>
      <c r="G883" s="52" t="s">
        <v>60</v>
      </c>
      <c r="H883" s="54">
        <v>46143</v>
      </c>
      <c r="I883" s="52" t="s">
        <v>2304</v>
      </c>
      <c r="J883" s="52" t="s">
        <v>2325</v>
      </c>
      <c r="K883" s="52" t="s">
        <v>2528</v>
      </c>
      <c r="L883" s="52" t="s">
        <v>2528</v>
      </c>
      <c r="M883" s="52" t="s">
        <v>67</v>
      </c>
      <c r="N883" s="53">
        <v>-5192</v>
      </c>
      <c r="O883" s="53">
        <v>-18161.62</v>
      </c>
      <c r="P883" s="52" t="s">
        <v>2529</v>
      </c>
      <c r="Q883" s="52" t="s">
        <v>2530</v>
      </c>
      <c r="R883" s="55" t="s">
        <v>64</v>
      </c>
      <c r="S883" s="52" t="s">
        <v>2325</v>
      </c>
    </row>
    <row r="884" spans="1:19" hidden="1" outlineLevel="2" x14ac:dyDescent="0.45">
      <c r="A884" t="s">
        <v>17</v>
      </c>
      <c r="B884" s="52" t="s">
        <v>57</v>
      </c>
      <c r="C884" s="52" t="s">
        <v>656</v>
      </c>
      <c r="D884" s="52" t="s">
        <v>657</v>
      </c>
      <c r="E884" s="52" t="s">
        <v>387</v>
      </c>
      <c r="F884" s="52" t="s">
        <v>2531</v>
      </c>
      <c r="G884" s="52" t="s">
        <v>60</v>
      </c>
      <c r="H884" s="54">
        <v>46143</v>
      </c>
      <c r="I884" s="52" t="s">
        <v>2304</v>
      </c>
      <c r="J884" s="52" t="s">
        <v>2445</v>
      </c>
      <c r="K884" s="52" t="s">
        <v>2532</v>
      </c>
      <c r="L884" s="52" t="s">
        <v>2532</v>
      </c>
      <c r="M884" s="52" t="s">
        <v>29</v>
      </c>
      <c r="N884" s="53">
        <v>-17917.38</v>
      </c>
      <c r="O884" s="53">
        <v>-17917.38</v>
      </c>
      <c r="P884" s="52" t="s">
        <v>2533</v>
      </c>
      <c r="Q884" s="52" t="s">
        <v>2534</v>
      </c>
      <c r="R884" s="55" t="s">
        <v>64</v>
      </c>
      <c r="S884" s="52" t="s">
        <v>2445</v>
      </c>
    </row>
    <row r="885" spans="1:19" hidden="1" outlineLevel="2" x14ac:dyDescent="0.45">
      <c r="A885" t="s">
        <v>17</v>
      </c>
      <c r="B885" s="52" t="s">
        <v>57</v>
      </c>
      <c r="C885" s="52" t="s">
        <v>630</v>
      </c>
      <c r="D885" s="52" t="s">
        <v>631</v>
      </c>
      <c r="E885" s="52" t="s">
        <v>387</v>
      </c>
      <c r="F885" s="52" t="s">
        <v>2535</v>
      </c>
      <c r="G885" s="52" t="s">
        <v>60</v>
      </c>
      <c r="H885" s="54">
        <v>46143</v>
      </c>
      <c r="I885" s="52" t="s">
        <v>2304</v>
      </c>
      <c r="J885" s="52" t="s">
        <v>2328</v>
      </c>
      <c r="K885" s="52" t="s">
        <v>2536</v>
      </c>
      <c r="L885" s="52" t="s">
        <v>2536</v>
      </c>
      <c r="M885" s="52" t="s">
        <v>29</v>
      </c>
      <c r="N885" s="53">
        <v>-16099</v>
      </c>
      <c r="O885" s="53">
        <v>-16099</v>
      </c>
      <c r="P885" s="52" t="s">
        <v>2537</v>
      </c>
      <c r="Q885" s="52" t="s">
        <v>2538</v>
      </c>
      <c r="R885" s="55" t="s">
        <v>64</v>
      </c>
      <c r="S885" s="52" t="s">
        <v>2328</v>
      </c>
    </row>
    <row r="886" spans="1:19" hidden="1" outlineLevel="2" x14ac:dyDescent="0.45">
      <c r="A886" t="s">
        <v>17</v>
      </c>
      <c r="B886" s="52" t="s">
        <v>57</v>
      </c>
      <c r="C886" s="52" t="s">
        <v>630</v>
      </c>
      <c r="D886" s="52" t="s">
        <v>631</v>
      </c>
      <c r="E886" s="52" t="s">
        <v>387</v>
      </c>
      <c r="F886" s="52" t="s">
        <v>2539</v>
      </c>
      <c r="G886" s="52" t="s">
        <v>60</v>
      </c>
      <c r="H886" s="54">
        <v>46143</v>
      </c>
      <c r="I886" s="52" t="s">
        <v>2304</v>
      </c>
      <c r="J886" s="52" t="s">
        <v>2328</v>
      </c>
      <c r="K886" s="52" t="s">
        <v>2536</v>
      </c>
      <c r="L886" s="52" t="s">
        <v>2536</v>
      </c>
      <c r="M886" s="52" t="s">
        <v>29</v>
      </c>
      <c r="N886" s="53">
        <v>-13431</v>
      </c>
      <c r="O886" s="53">
        <v>-13431</v>
      </c>
      <c r="P886" s="52" t="s">
        <v>2537</v>
      </c>
      <c r="Q886" s="52" t="s">
        <v>2538</v>
      </c>
      <c r="R886" s="55" t="s">
        <v>64</v>
      </c>
      <c r="S886" s="52" t="s">
        <v>2328</v>
      </c>
    </row>
    <row r="887" spans="1:19" hidden="1" outlineLevel="2" x14ac:dyDescent="0.45">
      <c r="A887" t="s">
        <v>17</v>
      </c>
      <c r="B887" s="52" t="s">
        <v>57</v>
      </c>
      <c r="C887" s="52" t="s">
        <v>697</v>
      </c>
      <c r="D887" s="52" t="s">
        <v>698</v>
      </c>
      <c r="E887" s="52" t="s">
        <v>387</v>
      </c>
      <c r="F887" s="52" t="s">
        <v>819</v>
      </c>
      <c r="G887" s="52" t="s">
        <v>60</v>
      </c>
      <c r="H887" s="54">
        <v>46143</v>
      </c>
      <c r="I887" s="52" t="s">
        <v>2304</v>
      </c>
      <c r="J887" s="52" t="s">
        <v>2540</v>
      </c>
      <c r="K887" s="52" t="s">
        <v>2541</v>
      </c>
      <c r="L887" s="52" t="s">
        <v>2542</v>
      </c>
      <c r="M887" s="52" t="s">
        <v>29</v>
      </c>
      <c r="N887" s="53">
        <v>-9356.81</v>
      </c>
      <c r="O887" s="53">
        <v>-9356.81</v>
      </c>
      <c r="P887" s="52" t="s">
        <v>702</v>
      </c>
      <c r="Q887" s="52" t="s">
        <v>2543</v>
      </c>
      <c r="R887" s="55" t="s">
        <v>64</v>
      </c>
      <c r="S887" s="52" t="s">
        <v>2540</v>
      </c>
    </row>
    <row r="888" spans="1:19" hidden="1" outlineLevel="2" x14ac:dyDescent="0.45">
      <c r="A888" t="s">
        <v>17</v>
      </c>
      <c r="B888" s="52" t="s">
        <v>57</v>
      </c>
      <c r="C888" s="52" t="s">
        <v>376</v>
      </c>
      <c r="D888" s="52" t="s">
        <v>377</v>
      </c>
      <c r="E888" s="52" t="s">
        <v>387</v>
      </c>
      <c r="F888" s="52" t="s">
        <v>2544</v>
      </c>
      <c r="G888" s="52" t="s">
        <v>60</v>
      </c>
      <c r="H888" s="54">
        <v>46143</v>
      </c>
      <c r="I888" s="52" t="s">
        <v>2304</v>
      </c>
      <c r="J888" s="52" t="s">
        <v>2445</v>
      </c>
      <c r="K888" s="52" t="s">
        <v>2545</v>
      </c>
      <c r="L888" s="52" t="s">
        <v>2545</v>
      </c>
      <c r="M888" s="52" t="s">
        <v>29</v>
      </c>
      <c r="N888" s="53">
        <v>-8983.76</v>
      </c>
      <c r="O888" s="53">
        <v>-8983.76</v>
      </c>
      <c r="P888" s="52" t="s">
        <v>2546</v>
      </c>
      <c r="Q888" s="52" t="s">
        <v>2547</v>
      </c>
      <c r="R888" s="55" t="s">
        <v>64</v>
      </c>
      <c r="S888" s="52" t="s">
        <v>2445</v>
      </c>
    </row>
    <row r="889" spans="1:19" hidden="1" outlineLevel="2" x14ac:dyDescent="0.45">
      <c r="A889" t="s">
        <v>17</v>
      </c>
      <c r="B889" s="52" t="s">
        <v>57</v>
      </c>
      <c r="C889" s="52" t="s">
        <v>2548</v>
      </c>
      <c r="D889" s="52" t="s">
        <v>2549</v>
      </c>
      <c r="E889" s="52" t="s">
        <v>387</v>
      </c>
      <c r="F889" s="52" t="s">
        <v>2550</v>
      </c>
      <c r="G889" s="52" t="s">
        <v>60</v>
      </c>
      <c r="H889" s="54">
        <v>46143</v>
      </c>
      <c r="I889" s="52" t="s">
        <v>2304</v>
      </c>
      <c r="J889" s="52" t="s">
        <v>2321</v>
      </c>
      <c r="K889" s="52" t="s">
        <v>2551</v>
      </c>
      <c r="L889" s="52" t="s">
        <v>2551</v>
      </c>
      <c r="M889" s="52" t="s">
        <v>29</v>
      </c>
      <c r="N889" s="53">
        <v>-8910.98</v>
      </c>
      <c r="O889" s="53">
        <v>-8910.98</v>
      </c>
      <c r="P889" s="52" t="s">
        <v>2552</v>
      </c>
      <c r="Q889" s="52" t="s">
        <v>2553</v>
      </c>
      <c r="R889" s="55" t="s">
        <v>64</v>
      </c>
      <c r="S889" s="52" t="s">
        <v>2321</v>
      </c>
    </row>
    <row r="890" spans="1:19" hidden="1" outlineLevel="2" x14ac:dyDescent="0.45">
      <c r="A890" t="s">
        <v>17</v>
      </c>
      <c r="B890" s="52" t="s">
        <v>57</v>
      </c>
      <c r="C890" s="52" t="s">
        <v>707</v>
      </c>
      <c r="D890" s="52" t="s">
        <v>708</v>
      </c>
      <c r="E890" s="52" t="s">
        <v>387</v>
      </c>
      <c r="F890" s="52" t="s">
        <v>2554</v>
      </c>
      <c r="G890" s="52" t="s">
        <v>60</v>
      </c>
      <c r="H890" s="54">
        <v>46143</v>
      </c>
      <c r="I890" s="52" t="s">
        <v>2304</v>
      </c>
      <c r="J890" s="52" t="s">
        <v>2540</v>
      </c>
      <c r="K890" s="52" t="s">
        <v>2555</v>
      </c>
      <c r="L890" s="52" t="s">
        <v>2556</v>
      </c>
      <c r="M890" s="52" t="s">
        <v>29</v>
      </c>
      <c r="N890" s="53">
        <v>-7669.59</v>
      </c>
      <c r="O890" s="53">
        <v>-7669.59</v>
      </c>
      <c r="P890" s="52" t="s">
        <v>712</v>
      </c>
      <c r="Q890" s="52" t="s">
        <v>2557</v>
      </c>
      <c r="R890" s="55" t="s">
        <v>64</v>
      </c>
      <c r="S890" s="52" t="s">
        <v>2540</v>
      </c>
    </row>
    <row r="891" spans="1:19" hidden="1" outlineLevel="2" x14ac:dyDescent="0.45">
      <c r="A891" t="s">
        <v>17</v>
      </c>
      <c r="B891" s="52" t="s">
        <v>66</v>
      </c>
      <c r="C891" s="52" t="s">
        <v>376</v>
      </c>
      <c r="D891" s="52" t="s">
        <v>377</v>
      </c>
      <c r="E891" s="52" t="s">
        <v>387</v>
      </c>
      <c r="F891" s="52" t="s">
        <v>2558</v>
      </c>
      <c r="G891" s="52" t="s">
        <v>60</v>
      </c>
      <c r="H891" s="54">
        <v>46143</v>
      </c>
      <c r="I891" s="52" t="s">
        <v>2304</v>
      </c>
      <c r="J891" s="52" t="s">
        <v>2321</v>
      </c>
      <c r="K891" s="52" t="s">
        <v>2513</v>
      </c>
      <c r="L891" s="52" t="s">
        <v>2513</v>
      </c>
      <c r="M891" s="52" t="s">
        <v>67</v>
      </c>
      <c r="N891" s="53">
        <v>-2000</v>
      </c>
      <c r="O891" s="53">
        <v>-6838</v>
      </c>
      <c r="P891" s="52" t="s">
        <v>2514</v>
      </c>
      <c r="Q891" s="52" t="s">
        <v>2559</v>
      </c>
      <c r="R891" s="55" t="s">
        <v>64</v>
      </c>
      <c r="S891" s="52" t="s">
        <v>2321</v>
      </c>
    </row>
    <row r="892" spans="1:19" hidden="1" outlineLevel="2" x14ac:dyDescent="0.45">
      <c r="A892" t="s">
        <v>17</v>
      </c>
      <c r="B892" s="52" t="s">
        <v>57</v>
      </c>
      <c r="C892" s="52" t="s">
        <v>2099</v>
      </c>
      <c r="D892" s="52" t="s">
        <v>2100</v>
      </c>
      <c r="E892" s="52" t="s">
        <v>387</v>
      </c>
      <c r="F892" s="52" t="s">
        <v>2560</v>
      </c>
      <c r="G892" s="52" t="s">
        <v>60</v>
      </c>
      <c r="H892" s="54">
        <v>46143</v>
      </c>
      <c r="I892" s="52" t="s">
        <v>2304</v>
      </c>
      <c r="J892" s="52" t="s">
        <v>2561</v>
      </c>
      <c r="K892" s="52" t="s">
        <v>2562</v>
      </c>
      <c r="L892" s="52" t="s">
        <v>2562</v>
      </c>
      <c r="M892" s="52" t="s">
        <v>29</v>
      </c>
      <c r="N892" s="53">
        <v>-5940</v>
      </c>
      <c r="O892" s="53">
        <v>-5940</v>
      </c>
      <c r="P892" s="52" t="s">
        <v>2563</v>
      </c>
      <c r="Q892" s="52" t="s">
        <v>2564</v>
      </c>
      <c r="R892" s="55" t="s">
        <v>64</v>
      </c>
      <c r="S892" s="52" t="s">
        <v>2561</v>
      </c>
    </row>
    <row r="893" spans="1:19" hidden="1" outlineLevel="2" x14ac:dyDescent="0.45">
      <c r="A893" t="s">
        <v>17</v>
      </c>
      <c r="B893" s="52" t="s">
        <v>57</v>
      </c>
      <c r="C893" s="52"/>
      <c r="D893" s="52" t="s">
        <v>338</v>
      </c>
      <c r="E893" s="52" t="s">
        <v>387</v>
      </c>
      <c r="F893" s="52" t="s">
        <v>2565</v>
      </c>
      <c r="G893" s="52" t="s">
        <v>60</v>
      </c>
      <c r="H893" s="54">
        <v>46143</v>
      </c>
      <c r="I893" s="52" t="s">
        <v>2304</v>
      </c>
      <c r="J893" s="52" t="s">
        <v>2343</v>
      </c>
      <c r="K893" s="52"/>
      <c r="L893" s="52"/>
      <c r="M893" s="52" t="s">
        <v>29</v>
      </c>
      <c r="N893" s="53">
        <v>-5741</v>
      </c>
      <c r="O893" s="53">
        <v>-5741</v>
      </c>
      <c r="P893" s="52" t="s">
        <v>2566</v>
      </c>
      <c r="Q893" s="52" t="s">
        <v>2566</v>
      </c>
      <c r="R893" s="55" t="s">
        <v>64</v>
      </c>
      <c r="S893" s="52" t="s">
        <v>2343</v>
      </c>
    </row>
    <row r="894" spans="1:19" hidden="1" outlineLevel="2" x14ac:dyDescent="0.45">
      <c r="A894" t="s">
        <v>17</v>
      </c>
      <c r="B894" s="52" t="s">
        <v>57</v>
      </c>
      <c r="C894" s="52" t="s">
        <v>376</v>
      </c>
      <c r="D894" s="52" t="s">
        <v>377</v>
      </c>
      <c r="E894" s="52" t="s">
        <v>387</v>
      </c>
      <c r="F894" s="52" t="s">
        <v>882</v>
      </c>
      <c r="G894" s="52" t="s">
        <v>60</v>
      </c>
      <c r="H894" s="54">
        <v>46143</v>
      </c>
      <c r="I894" s="52" t="s">
        <v>2304</v>
      </c>
      <c r="J894" s="52" t="s">
        <v>2325</v>
      </c>
      <c r="K894" s="52" t="s">
        <v>2567</v>
      </c>
      <c r="L894" s="52" t="s">
        <v>2567</v>
      </c>
      <c r="M894" s="52" t="s">
        <v>29</v>
      </c>
      <c r="N894" s="53">
        <v>-5399.28</v>
      </c>
      <c r="O894" s="53">
        <v>-5399.28</v>
      </c>
      <c r="P894" s="52" t="s">
        <v>2568</v>
      </c>
      <c r="Q894" s="52" t="s">
        <v>2569</v>
      </c>
      <c r="R894" s="55" t="s">
        <v>64</v>
      </c>
      <c r="S894" s="52" t="s">
        <v>2325</v>
      </c>
    </row>
    <row r="895" spans="1:19" hidden="1" outlineLevel="2" x14ac:dyDescent="0.45">
      <c r="A895" t="s">
        <v>17</v>
      </c>
      <c r="B895" s="52" t="s">
        <v>57</v>
      </c>
      <c r="C895" s="52" t="s">
        <v>2099</v>
      </c>
      <c r="D895" s="52" t="s">
        <v>2100</v>
      </c>
      <c r="E895" s="52" t="s">
        <v>387</v>
      </c>
      <c r="F895" s="52" t="s">
        <v>2570</v>
      </c>
      <c r="G895" s="52" t="s">
        <v>60</v>
      </c>
      <c r="H895" s="54">
        <v>46143</v>
      </c>
      <c r="I895" s="52" t="s">
        <v>2304</v>
      </c>
      <c r="J895" s="52" t="s">
        <v>2561</v>
      </c>
      <c r="K895" s="52" t="s">
        <v>2240</v>
      </c>
      <c r="L895" s="52" t="s">
        <v>2240</v>
      </c>
      <c r="M895" s="52" t="s">
        <v>29</v>
      </c>
      <c r="N895" s="53">
        <v>-5130</v>
      </c>
      <c r="O895" s="53">
        <v>-5130</v>
      </c>
      <c r="P895" s="52" t="s">
        <v>2571</v>
      </c>
      <c r="Q895" s="52" t="s">
        <v>2572</v>
      </c>
      <c r="R895" s="55" t="s">
        <v>64</v>
      </c>
      <c r="S895" s="52" t="s">
        <v>2561</v>
      </c>
    </row>
    <row r="896" spans="1:19" hidden="1" outlineLevel="2" x14ac:dyDescent="0.45">
      <c r="A896" t="s">
        <v>17</v>
      </c>
      <c r="B896" s="52" t="s">
        <v>57</v>
      </c>
      <c r="C896" s="52"/>
      <c r="D896" s="52" t="s">
        <v>982</v>
      </c>
      <c r="E896" s="52" t="s">
        <v>387</v>
      </c>
      <c r="F896" s="52" t="s">
        <v>2573</v>
      </c>
      <c r="G896" s="52" t="s">
        <v>60</v>
      </c>
      <c r="H896" s="54">
        <v>46143</v>
      </c>
      <c r="I896" s="52" t="s">
        <v>2304</v>
      </c>
      <c r="J896" s="52" t="s">
        <v>2445</v>
      </c>
      <c r="K896" s="52" t="s">
        <v>2574</v>
      </c>
      <c r="L896" s="52" t="s">
        <v>2574</v>
      </c>
      <c r="M896" s="52" t="s">
        <v>29</v>
      </c>
      <c r="N896" s="53">
        <v>-5000</v>
      </c>
      <c r="O896" s="53">
        <v>-5000</v>
      </c>
      <c r="P896" s="52" t="s">
        <v>2575</v>
      </c>
      <c r="Q896" s="52" t="s">
        <v>2576</v>
      </c>
      <c r="R896" s="55" t="s">
        <v>64</v>
      </c>
      <c r="S896" s="52" t="s">
        <v>2445</v>
      </c>
    </row>
    <row r="897" spans="1:19" hidden="1" outlineLevel="2" x14ac:dyDescent="0.45">
      <c r="A897" t="s">
        <v>17</v>
      </c>
      <c r="B897" s="52" t="s">
        <v>57</v>
      </c>
      <c r="C897" s="52" t="s">
        <v>734</v>
      </c>
      <c r="D897" s="52" t="s">
        <v>735</v>
      </c>
      <c r="E897" s="52" t="s">
        <v>387</v>
      </c>
      <c r="F897" s="52" t="s">
        <v>821</v>
      </c>
      <c r="G897" s="52" t="s">
        <v>60</v>
      </c>
      <c r="H897" s="54">
        <v>46143</v>
      </c>
      <c r="I897" s="52" t="s">
        <v>2304</v>
      </c>
      <c r="J897" s="52" t="s">
        <v>2540</v>
      </c>
      <c r="K897" s="52" t="s">
        <v>2577</v>
      </c>
      <c r="L897" s="52" t="s">
        <v>2578</v>
      </c>
      <c r="M897" s="52" t="s">
        <v>29</v>
      </c>
      <c r="N897" s="53">
        <v>-4846.84</v>
      </c>
      <c r="O897" s="53">
        <v>-4846.84</v>
      </c>
      <c r="P897" s="52" t="s">
        <v>739</v>
      </c>
      <c r="Q897" s="52" t="s">
        <v>2579</v>
      </c>
      <c r="R897" s="55" t="s">
        <v>64</v>
      </c>
      <c r="S897" s="52" t="s">
        <v>2540</v>
      </c>
    </row>
    <row r="898" spans="1:19" hidden="1" outlineLevel="2" x14ac:dyDescent="0.45">
      <c r="A898" t="s">
        <v>17</v>
      </c>
      <c r="B898" s="52" t="s">
        <v>66</v>
      </c>
      <c r="C898" s="52" t="s">
        <v>376</v>
      </c>
      <c r="D898" s="52" t="s">
        <v>377</v>
      </c>
      <c r="E898" s="52" t="s">
        <v>387</v>
      </c>
      <c r="F898" s="52" t="s">
        <v>2580</v>
      </c>
      <c r="G898" s="52" t="s">
        <v>60</v>
      </c>
      <c r="H898" s="54">
        <v>46143</v>
      </c>
      <c r="I898" s="52" t="s">
        <v>2304</v>
      </c>
      <c r="J898" s="52" t="s">
        <v>2321</v>
      </c>
      <c r="K898" s="52" t="s">
        <v>2513</v>
      </c>
      <c r="L898" s="52" t="s">
        <v>2513</v>
      </c>
      <c r="M898" s="52" t="s">
        <v>67</v>
      </c>
      <c r="N898" s="53">
        <v>-1416</v>
      </c>
      <c r="O898" s="53">
        <v>-4841.3</v>
      </c>
      <c r="P898" s="52" t="s">
        <v>2514</v>
      </c>
      <c r="Q898" s="52" t="s">
        <v>2581</v>
      </c>
      <c r="R898" s="55" t="s">
        <v>64</v>
      </c>
      <c r="S898" s="52" t="s">
        <v>2321</v>
      </c>
    </row>
    <row r="899" spans="1:19" hidden="1" outlineLevel="2" x14ac:dyDescent="0.45">
      <c r="A899" t="s">
        <v>17</v>
      </c>
      <c r="B899" s="52" t="s">
        <v>57</v>
      </c>
      <c r="C899" s="52" t="s">
        <v>774</v>
      </c>
      <c r="D899" s="52" t="s">
        <v>775</v>
      </c>
      <c r="E899" s="52" t="s">
        <v>387</v>
      </c>
      <c r="F899" s="52" t="s">
        <v>2582</v>
      </c>
      <c r="G899" s="52" t="s">
        <v>60</v>
      </c>
      <c r="H899" s="54">
        <v>46143</v>
      </c>
      <c r="I899" s="52" t="s">
        <v>2304</v>
      </c>
      <c r="J899" s="52" t="s">
        <v>2328</v>
      </c>
      <c r="K899" s="52"/>
      <c r="L899" s="52"/>
      <c r="M899" s="52" t="s">
        <v>29</v>
      </c>
      <c r="N899" s="53">
        <v>-4056.2</v>
      </c>
      <c r="O899" s="53">
        <v>-4056.2</v>
      </c>
      <c r="P899" s="52" t="s">
        <v>2583</v>
      </c>
      <c r="Q899" s="52" t="s">
        <v>2583</v>
      </c>
      <c r="R899" s="55" t="s">
        <v>64</v>
      </c>
      <c r="S899" s="52" t="s">
        <v>2328</v>
      </c>
    </row>
    <row r="900" spans="1:19" hidden="1" outlineLevel="2" x14ac:dyDescent="0.45">
      <c r="A900" t="s">
        <v>17</v>
      </c>
      <c r="B900" s="52" t="s">
        <v>57</v>
      </c>
      <c r="C900" s="52" t="s">
        <v>758</v>
      </c>
      <c r="D900" s="52" t="s">
        <v>759</v>
      </c>
      <c r="E900" s="52" t="s">
        <v>387</v>
      </c>
      <c r="F900" s="52" t="s">
        <v>2072</v>
      </c>
      <c r="G900" s="52" t="s">
        <v>60</v>
      </c>
      <c r="H900" s="54">
        <v>46143</v>
      </c>
      <c r="I900" s="52" t="s">
        <v>2304</v>
      </c>
      <c r="J900" s="52" t="s">
        <v>2445</v>
      </c>
      <c r="K900" s="52" t="s">
        <v>2584</v>
      </c>
      <c r="L900" s="52" t="s">
        <v>2584</v>
      </c>
      <c r="M900" s="52" t="s">
        <v>29</v>
      </c>
      <c r="N900" s="53">
        <v>-4031</v>
      </c>
      <c r="O900" s="53">
        <v>-4031</v>
      </c>
      <c r="P900" s="52" t="s">
        <v>2585</v>
      </c>
      <c r="Q900" s="52" t="s">
        <v>2586</v>
      </c>
      <c r="R900" s="55" t="s">
        <v>64</v>
      </c>
      <c r="S900" s="52" t="s">
        <v>2445</v>
      </c>
    </row>
    <row r="901" spans="1:19" hidden="1" outlineLevel="2" x14ac:dyDescent="0.45">
      <c r="A901" t="s">
        <v>17</v>
      </c>
      <c r="B901" s="52" t="s">
        <v>66</v>
      </c>
      <c r="C901" s="52" t="s">
        <v>870</v>
      </c>
      <c r="D901" s="52" t="s">
        <v>871</v>
      </c>
      <c r="E901" s="52" t="s">
        <v>387</v>
      </c>
      <c r="F901" s="52" t="s">
        <v>2587</v>
      </c>
      <c r="G901" s="52" t="s">
        <v>60</v>
      </c>
      <c r="H901" s="54">
        <v>46143</v>
      </c>
      <c r="I901" s="52" t="s">
        <v>2304</v>
      </c>
      <c r="J901" s="52" t="s">
        <v>2445</v>
      </c>
      <c r="K901" s="52"/>
      <c r="L901" s="52"/>
      <c r="M901" s="52" t="s">
        <v>67</v>
      </c>
      <c r="N901" s="53">
        <v>-979.14</v>
      </c>
      <c r="O901" s="53">
        <v>-3368.24</v>
      </c>
      <c r="P901" s="52" t="s">
        <v>2588</v>
      </c>
      <c r="Q901" s="52" t="s">
        <v>2588</v>
      </c>
      <c r="R901" s="55" t="s">
        <v>64</v>
      </c>
      <c r="S901" s="52" t="s">
        <v>2445</v>
      </c>
    </row>
    <row r="902" spans="1:19" hidden="1" outlineLevel="2" x14ac:dyDescent="0.45">
      <c r="A902" t="s">
        <v>17</v>
      </c>
      <c r="B902" s="52" t="s">
        <v>57</v>
      </c>
      <c r="C902" s="52" t="s">
        <v>774</v>
      </c>
      <c r="D902" s="52" t="s">
        <v>775</v>
      </c>
      <c r="E902" s="52" t="s">
        <v>387</v>
      </c>
      <c r="F902" s="52" t="s">
        <v>2589</v>
      </c>
      <c r="G902" s="52" t="s">
        <v>60</v>
      </c>
      <c r="H902" s="54">
        <v>46143</v>
      </c>
      <c r="I902" s="52" t="s">
        <v>2304</v>
      </c>
      <c r="J902" s="52" t="s">
        <v>2416</v>
      </c>
      <c r="K902" s="52" t="s">
        <v>777</v>
      </c>
      <c r="L902" s="52" t="s">
        <v>777</v>
      </c>
      <c r="M902" s="52" t="s">
        <v>29</v>
      </c>
      <c r="N902" s="53">
        <v>-2784.71</v>
      </c>
      <c r="O902" s="53">
        <v>-2784.71</v>
      </c>
      <c r="P902" s="52" t="s">
        <v>778</v>
      </c>
      <c r="Q902" s="52" t="s">
        <v>2590</v>
      </c>
      <c r="R902" s="55" t="s">
        <v>64</v>
      </c>
      <c r="S902" s="52" t="s">
        <v>2416</v>
      </c>
    </row>
    <row r="903" spans="1:19" hidden="1" outlineLevel="2" x14ac:dyDescent="0.45">
      <c r="A903" t="s">
        <v>17</v>
      </c>
      <c r="B903" s="52" t="s">
        <v>66</v>
      </c>
      <c r="C903" s="52" t="s">
        <v>376</v>
      </c>
      <c r="D903" s="52" t="s">
        <v>377</v>
      </c>
      <c r="E903" s="52" t="s">
        <v>387</v>
      </c>
      <c r="F903" s="52" t="s">
        <v>2591</v>
      </c>
      <c r="G903" s="52" t="s">
        <v>60</v>
      </c>
      <c r="H903" s="54">
        <v>46143</v>
      </c>
      <c r="I903" s="52" t="s">
        <v>2304</v>
      </c>
      <c r="J903" s="52" t="s">
        <v>2321</v>
      </c>
      <c r="K903" s="52" t="s">
        <v>2592</v>
      </c>
      <c r="L903" s="52" t="s">
        <v>2592</v>
      </c>
      <c r="M903" s="52" t="s">
        <v>67</v>
      </c>
      <c r="N903" s="53">
        <v>-755.2</v>
      </c>
      <c r="O903" s="53">
        <v>-2582.0300000000002</v>
      </c>
      <c r="P903" s="52" t="s">
        <v>2593</v>
      </c>
      <c r="Q903" s="52" t="s">
        <v>2594</v>
      </c>
      <c r="R903" s="55" t="s">
        <v>64</v>
      </c>
      <c r="S903" s="52" t="s">
        <v>2321</v>
      </c>
    </row>
    <row r="904" spans="1:19" hidden="1" outlineLevel="2" x14ac:dyDescent="0.45">
      <c r="A904" t="s">
        <v>17</v>
      </c>
      <c r="B904" s="52" t="s">
        <v>57</v>
      </c>
      <c r="C904" s="52" t="s">
        <v>870</v>
      </c>
      <c r="D904" s="52" t="s">
        <v>871</v>
      </c>
      <c r="E904" s="52" t="s">
        <v>387</v>
      </c>
      <c r="F904" s="52" t="s">
        <v>2595</v>
      </c>
      <c r="G904" s="52" t="s">
        <v>60</v>
      </c>
      <c r="H904" s="54">
        <v>46143</v>
      </c>
      <c r="I904" s="52" t="s">
        <v>2304</v>
      </c>
      <c r="J904" s="52" t="s">
        <v>2445</v>
      </c>
      <c r="K904" s="52"/>
      <c r="L904" s="52"/>
      <c r="M904" s="52" t="s">
        <v>29</v>
      </c>
      <c r="N904" s="53">
        <v>-2575.6</v>
      </c>
      <c r="O904" s="53">
        <v>-2575.6</v>
      </c>
      <c r="P904" s="52" t="s">
        <v>2596</v>
      </c>
      <c r="Q904" s="52" t="s">
        <v>2596</v>
      </c>
      <c r="R904" s="55" t="s">
        <v>64</v>
      </c>
      <c r="S904" s="52" t="s">
        <v>2445</v>
      </c>
    </row>
    <row r="905" spans="1:19" hidden="1" outlineLevel="2" x14ac:dyDescent="0.45">
      <c r="A905" t="s">
        <v>17</v>
      </c>
      <c r="B905" s="52" t="s">
        <v>57</v>
      </c>
      <c r="C905" s="52" t="s">
        <v>774</v>
      </c>
      <c r="D905" s="52" t="s">
        <v>775</v>
      </c>
      <c r="E905" s="52" t="s">
        <v>387</v>
      </c>
      <c r="F905" s="52" t="s">
        <v>2601</v>
      </c>
      <c r="G905" s="52" t="s">
        <v>60</v>
      </c>
      <c r="H905" s="54">
        <v>46143</v>
      </c>
      <c r="I905" s="52" t="s">
        <v>2304</v>
      </c>
      <c r="J905" s="52" t="s">
        <v>2343</v>
      </c>
      <c r="K905" s="52" t="s">
        <v>777</v>
      </c>
      <c r="L905" s="52" t="s">
        <v>777</v>
      </c>
      <c r="M905" s="52" t="s">
        <v>29</v>
      </c>
      <c r="N905" s="53">
        <v>-2347.92</v>
      </c>
      <c r="O905" s="53">
        <v>-2347.92</v>
      </c>
      <c r="P905" s="52" t="s">
        <v>778</v>
      </c>
      <c r="Q905" s="52" t="s">
        <v>2602</v>
      </c>
      <c r="R905" s="55" t="s">
        <v>64</v>
      </c>
      <c r="S905" s="52" t="s">
        <v>2343</v>
      </c>
    </row>
    <row r="906" spans="1:19" hidden="1" outlineLevel="2" x14ac:dyDescent="0.45">
      <c r="A906" t="s">
        <v>17</v>
      </c>
      <c r="B906" s="52" t="s">
        <v>57</v>
      </c>
      <c r="C906" s="52" t="s">
        <v>758</v>
      </c>
      <c r="D906" s="52" t="s">
        <v>759</v>
      </c>
      <c r="E906" s="52" t="s">
        <v>387</v>
      </c>
      <c r="F906" s="52" t="s">
        <v>2045</v>
      </c>
      <c r="G906" s="52" t="s">
        <v>60</v>
      </c>
      <c r="H906" s="54">
        <v>46143</v>
      </c>
      <c r="I906" s="52" t="s">
        <v>2304</v>
      </c>
      <c r="J906" s="52" t="s">
        <v>2445</v>
      </c>
      <c r="K906" s="52" t="s">
        <v>2603</v>
      </c>
      <c r="L906" s="52" t="s">
        <v>2603</v>
      </c>
      <c r="M906" s="52" t="s">
        <v>29</v>
      </c>
      <c r="N906" s="53">
        <v>-2264.3000000000002</v>
      </c>
      <c r="O906" s="53">
        <v>-2264.3000000000002</v>
      </c>
      <c r="P906" s="52" t="s">
        <v>2604</v>
      </c>
      <c r="Q906" s="52" t="s">
        <v>2605</v>
      </c>
      <c r="R906" s="55" t="s">
        <v>64</v>
      </c>
      <c r="S906" s="52" t="s">
        <v>2445</v>
      </c>
    </row>
    <row r="907" spans="1:19" hidden="1" outlineLevel="2" x14ac:dyDescent="0.45">
      <c r="A907" t="s">
        <v>17</v>
      </c>
      <c r="B907" s="52" t="s">
        <v>57</v>
      </c>
      <c r="C907" s="52" t="s">
        <v>630</v>
      </c>
      <c r="D907" s="52" t="s">
        <v>631</v>
      </c>
      <c r="E907" s="52" t="s">
        <v>387</v>
      </c>
      <c r="F907" s="52" t="s">
        <v>2606</v>
      </c>
      <c r="G907" s="52" t="s">
        <v>60</v>
      </c>
      <c r="H907" s="54">
        <v>46143</v>
      </c>
      <c r="I907" s="52" t="s">
        <v>2304</v>
      </c>
      <c r="J907" s="52" t="s">
        <v>2316</v>
      </c>
      <c r="K907" s="52" t="s">
        <v>2607</v>
      </c>
      <c r="L907" s="52" t="s">
        <v>2607</v>
      </c>
      <c r="M907" s="52" t="s">
        <v>29</v>
      </c>
      <c r="N907" s="53">
        <v>-1920</v>
      </c>
      <c r="O907" s="53">
        <v>-1920</v>
      </c>
      <c r="P907" s="52" t="s">
        <v>2608</v>
      </c>
      <c r="Q907" s="52" t="s">
        <v>2609</v>
      </c>
      <c r="R907" s="55" t="s">
        <v>64</v>
      </c>
      <c r="S907" s="52" t="s">
        <v>2316</v>
      </c>
    </row>
    <row r="908" spans="1:19" hidden="1" outlineLevel="2" x14ac:dyDescent="0.45">
      <c r="A908" t="s">
        <v>17</v>
      </c>
      <c r="B908" s="52" t="s">
        <v>57</v>
      </c>
      <c r="C908" s="52" t="s">
        <v>829</v>
      </c>
      <c r="D908" s="52" t="s">
        <v>830</v>
      </c>
      <c r="E908" s="52" t="s">
        <v>387</v>
      </c>
      <c r="F908" s="52" t="s">
        <v>2610</v>
      </c>
      <c r="G908" s="52" t="s">
        <v>60</v>
      </c>
      <c r="H908" s="54">
        <v>46143</v>
      </c>
      <c r="I908" s="52" t="s">
        <v>2304</v>
      </c>
      <c r="J908" s="52" t="s">
        <v>2540</v>
      </c>
      <c r="K908" s="52" t="s">
        <v>2611</v>
      </c>
      <c r="L908" s="52" t="s">
        <v>2612</v>
      </c>
      <c r="M908" s="52" t="s">
        <v>29</v>
      </c>
      <c r="N908" s="53">
        <v>-1808.4</v>
      </c>
      <c r="O908" s="53">
        <v>-1808.4</v>
      </c>
      <c r="P908" s="52" t="s">
        <v>834</v>
      </c>
      <c r="Q908" s="52" t="s">
        <v>2613</v>
      </c>
      <c r="R908" s="55" t="s">
        <v>64</v>
      </c>
      <c r="S908" s="52" t="s">
        <v>2540</v>
      </c>
    </row>
    <row r="909" spans="1:19" hidden="1" outlineLevel="2" x14ac:dyDescent="0.45">
      <c r="A909" t="s">
        <v>17</v>
      </c>
      <c r="B909" s="52" t="s">
        <v>57</v>
      </c>
      <c r="C909" s="52" t="s">
        <v>656</v>
      </c>
      <c r="D909" s="52" t="s">
        <v>657</v>
      </c>
      <c r="E909" s="52" t="s">
        <v>387</v>
      </c>
      <c r="F909" s="52" t="s">
        <v>1918</v>
      </c>
      <c r="G909" s="52" t="s">
        <v>60</v>
      </c>
      <c r="H909" s="54">
        <v>46143</v>
      </c>
      <c r="I909" s="52" t="s">
        <v>2304</v>
      </c>
      <c r="J909" s="52" t="s">
        <v>2445</v>
      </c>
      <c r="K909" s="52" t="s">
        <v>2614</v>
      </c>
      <c r="L909" s="52" t="s">
        <v>2614</v>
      </c>
      <c r="M909" s="52" t="s">
        <v>29</v>
      </c>
      <c r="N909" s="53">
        <v>-1613.16</v>
      </c>
      <c r="O909" s="53">
        <v>-1613.16</v>
      </c>
      <c r="P909" s="52" t="s">
        <v>2615</v>
      </c>
      <c r="Q909" s="52" t="s">
        <v>2616</v>
      </c>
      <c r="R909" s="55" t="s">
        <v>64</v>
      </c>
      <c r="S909" s="52" t="s">
        <v>2445</v>
      </c>
    </row>
    <row r="910" spans="1:19" hidden="1" outlineLevel="2" x14ac:dyDescent="0.45">
      <c r="A910" t="s">
        <v>17</v>
      </c>
      <c r="B910" s="52" t="s">
        <v>57</v>
      </c>
      <c r="C910" s="52" t="s">
        <v>656</v>
      </c>
      <c r="D910" s="52" t="s">
        <v>657</v>
      </c>
      <c r="E910" s="52" t="s">
        <v>387</v>
      </c>
      <c r="F910" s="52" t="s">
        <v>2617</v>
      </c>
      <c r="G910" s="52" t="s">
        <v>60</v>
      </c>
      <c r="H910" s="54">
        <v>46143</v>
      </c>
      <c r="I910" s="52" t="s">
        <v>2304</v>
      </c>
      <c r="J910" s="52" t="s">
        <v>2328</v>
      </c>
      <c r="K910" s="52" t="s">
        <v>2618</v>
      </c>
      <c r="L910" s="52" t="s">
        <v>2618</v>
      </c>
      <c r="M910" s="52" t="s">
        <v>29</v>
      </c>
      <c r="N910" s="53">
        <v>-1613.16</v>
      </c>
      <c r="O910" s="53">
        <v>-1613.16</v>
      </c>
      <c r="P910" s="52" t="s">
        <v>2619</v>
      </c>
      <c r="Q910" s="52" t="s">
        <v>2620</v>
      </c>
      <c r="R910" s="55" t="s">
        <v>64</v>
      </c>
      <c r="S910" s="52" t="s">
        <v>2328</v>
      </c>
    </row>
    <row r="911" spans="1:19" hidden="1" outlineLevel="2" x14ac:dyDescent="0.45">
      <c r="A911" t="s">
        <v>17</v>
      </c>
      <c r="B911" s="52" t="s">
        <v>57</v>
      </c>
      <c r="C911" s="52" t="s">
        <v>682</v>
      </c>
      <c r="D911" s="52" t="s">
        <v>683</v>
      </c>
      <c r="E911" s="52" t="s">
        <v>387</v>
      </c>
      <c r="F911" s="52" t="s">
        <v>936</v>
      </c>
      <c r="G911" s="52" t="s">
        <v>60</v>
      </c>
      <c r="H911" s="54">
        <v>46143</v>
      </c>
      <c r="I911" s="52" t="s">
        <v>2304</v>
      </c>
      <c r="J911" s="52" t="s">
        <v>2333</v>
      </c>
      <c r="K911" s="52" t="s">
        <v>2621</v>
      </c>
      <c r="L911" s="52" t="s">
        <v>2621</v>
      </c>
      <c r="M911" s="52" t="s">
        <v>29</v>
      </c>
      <c r="N911" s="53">
        <v>-1473</v>
      </c>
      <c r="O911" s="53">
        <v>-1473</v>
      </c>
      <c r="P911" s="52" t="s">
        <v>2622</v>
      </c>
      <c r="Q911" s="52" t="s">
        <v>2623</v>
      </c>
      <c r="R911" s="55" t="s">
        <v>64</v>
      </c>
      <c r="S911" s="52" t="s">
        <v>2333</v>
      </c>
    </row>
    <row r="912" spans="1:19" hidden="1" outlineLevel="2" x14ac:dyDescent="0.45">
      <c r="A912" t="s">
        <v>17</v>
      </c>
      <c r="B912" s="52" t="s">
        <v>57</v>
      </c>
      <c r="C912" s="52" t="s">
        <v>838</v>
      </c>
      <c r="D912" s="52" t="s">
        <v>839</v>
      </c>
      <c r="E912" s="52" t="s">
        <v>387</v>
      </c>
      <c r="F912" s="52" t="s">
        <v>1926</v>
      </c>
      <c r="G912" s="52" t="s">
        <v>60</v>
      </c>
      <c r="H912" s="54">
        <v>46143</v>
      </c>
      <c r="I912" s="52" t="s">
        <v>2304</v>
      </c>
      <c r="J912" s="52" t="s">
        <v>2308</v>
      </c>
      <c r="K912" s="52" t="s">
        <v>2624</v>
      </c>
      <c r="L912" s="52" t="s">
        <v>2624</v>
      </c>
      <c r="M912" s="52" t="s">
        <v>29</v>
      </c>
      <c r="N912" s="53">
        <v>-1204.52</v>
      </c>
      <c r="O912" s="53">
        <v>-1204.52</v>
      </c>
      <c r="P912" s="52" t="s">
        <v>2625</v>
      </c>
      <c r="Q912" s="52" t="s">
        <v>2626</v>
      </c>
      <c r="R912" s="55" t="s">
        <v>64</v>
      </c>
      <c r="S912" s="52" t="s">
        <v>2308</v>
      </c>
    </row>
    <row r="913" spans="1:19" hidden="1" outlineLevel="2" x14ac:dyDescent="0.45">
      <c r="A913" t="s">
        <v>17</v>
      </c>
      <c r="B913" s="52" t="s">
        <v>57</v>
      </c>
      <c r="C913" s="52"/>
      <c r="D913" s="52" t="s">
        <v>1575</v>
      </c>
      <c r="E913" s="52" t="s">
        <v>387</v>
      </c>
      <c r="F913" s="52" t="s">
        <v>2627</v>
      </c>
      <c r="G913" s="52" t="s">
        <v>60</v>
      </c>
      <c r="H913" s="54">
        <v>46143</v>
      </c>
      <c r="I913" s="52" t="s">
        <v>2304</v>
      </c>
      <c r="J913" s="52" t="s">
        <v>2445</v>
      </c>
      <c r="K913" s="52"/>
      <c r="L913" s="52"/>
      <c r="M913" s="52" t="s">
        <v>29</v>
      </c>
      <c r="N913" s="53">
        <v>-1203.7</v>
      </c>
      <c r="O913" s="53">
        <v>-1203.7</v>
      </c>
      <c r="P913" s="52" t="s">
        <v>2628</v>
      </c>
      <c r="Q913" s="52" t="s">
        <v>2628</v>
      </c>
      <c r="R913" s="55" t="s">
        <v>64</v>
      </c>
      <c r="S913" s="52" t="s">
        <v>2445</v>
      </c>
    </row>
    <row r="914" spans="1:19" hidden="1" outlineLevel="2" x14ac:dyDescent="0.45">
      <c r="A914" t="s">
        <v>17</v>
      </c>
      <c r="B914" s="52" t="s">
        <v>57</v>
      </c>
      <c r="C914" s="52" t="s">
        <v>2629</v>
      </c>
      <c r="D914" s="52" t="s">
        <v>2630</v>
      </c>
      <c r="E914" s="52" t="s">
        <v>387</v>
      </c>
      <c r="F914" s="52" t="s">
        <v>2631</v>
      </c>
      <c r="G914" s="52" t="s">
        <v>60</v>
      </c>
      <c r="H914" s="54">
        <v>46143</v>
      </c>
      <c r="I914" s="52" t="s">
        <v>2304</v>
      </c>
      <c r="J914" s="52" t="s">
        <v>2343</v>
      </c>
      <c r="K914" s="52" t="s">
        <v>2632</v>
      </c>
      <c r="L914" s="52" t="s">
        <v>2632</v>
      </c>
      <c r="M914" s="52" t="s">
        <v>29</v>
      </c>
      <c r="N914" s="53">
        <v>-1103.3</v>
      </c>
      <c r="O914" s="53">
        <v>-1103.3</v>
      </c>
      <c r="P914" s="52" t="s">
        <v>2633</v>
      </c>
      <c r="Q914" s="52" t="s">
        <v>2634</v>
      </c>
      <c r="R914" s="55" t="s">
        <v>64</v>
      </c>
      <c r="S914" s="52" t="s">
        <v>2343</v>
      </c>
    </row>
    <row r="915" spans="1:19" hidden="1" outlineLevel="2" x14ac:dyDescent="0.45">
      <c r="A915" t="s">
        <v>17</v>
      </c>
      <c r="B915" s="52" t="s">
        <v>66</v>
      </c>
      <c r="C915" s="52"/>
      <c r="D915" s="52" t="s">
        <v>1276</v>
      </c>
      <c r="E915" s="52" t="s">
        <v>387</v>
      </c>
      <c r="F915" s="52" t="s">
        <v>2635</v>
      </c>
      <c r="G915" s="52" t="s">
        <v>60</v>
      </c>
      <c r="H915" s="54">
        <v>46143</v>
      </c>
      <c r="I915" s="52" t="s">
        <v>2304</v>
      </c>
      <c r="J915" s="52" t="s">
        <v>2445</v>
      </c>
      <c r="K915" s="52"/>
      <c r="L915" s="52"/>
      <c r="M915" s="52" t="s">
        <v>67</v>
      </c>
      <c r="N915" s="53">
        <v>-292.57</v>
      </c>
      <c r="O915" s="53">
        <v>-1006.44</v>
      </c>
      <c r="P915" s="52" t="s">
        <v>2636</v>
      </c>
      <c r="Q915" s="52" t="s">
        <v>2636</v>
      </c>
      <c r="R915" s="55" t="s">
        <v>64</v>
      </c>
      <c r="S915" s="52" t="s">
        <v>2445</v>
      </c>
    </row>
    <row r="916" spans="1:19" hidden="1" outlineLevel="2" x14ac:dyDescent="0.45">
      <c r="A916" t="s">
        <v>17</v>
      </c>
      <c r="B916" s="52" t="s">
        <v>57</v>
      </c>
      <c r="C916" s="52" t="s">
        <v>780</v>
      </c>
      <c r="D916" s="52" t="s">
        <v>781</v>
      </c>
      <c r="E916" s="52" t="s">
        <v>387</v>
      </c>
      <c r="F916" s="52" t="s">
        <v>2637</v>
      </c>
      <c r="G916" s="52" t="s">
        <v>60</v>
      </c>
      <c r="H916" s="54">
        <v>46143</v>
      </c>
      <c r="I916" s="52" t="s">
        <v>2304</v>
      </c>
      <c r="J916" s="52" t="s">
        <v>2416</v>
      </c>
      <c r="K916" s="52" t="s">
        <v>2638</v>
      </c>
      <c r="L916" s="52" t="s">
        <v>2638</v>
      </c>
      <c r="M916" s="52" t="s">
        <v>29</v>
      </c>
      <c r="N916" s="53">
        <v>-932.05</v>
      </c>
      <c r="O916" s="53">
        <v>-932.05</v>
      </c>
      <c r="P916" s="52" t="s">
        <v>2639</v>
      </c>
      <c r="Q916" s="52" t="s">
        <v>2640</v>
      </c>
      <c r="R916" s="55" t="s">
        <v>64</v>
      </c>
      <c r="S916" s="52" t="s">
        <v>2416</v>
      </c>
    </row>
    <row r="917" spans="1:19" hidden="1" outlineLevel="2" x14ac:dyDescent="0.45">
      <c r="A917" t="s">
        <v>17</v>
      </c>
      <c r="B917" s="52" t="s">
        <v>57</v>
      </c>
      <c r="C917" s="52" t="s">
        <v>870</v>
      </c>
      <c r="D917" s="52" t="s">
        <v>871</v>
      </c>
      <c r="E917" s="52" t="s">
        <v>387</v>
      </c>
      <c r="F917" s="52" t="s">
        <v>2641</v>
      </c>
      <c r="G917" s="52" t="s">
        <v>60</v>
      </c>
      <c r="H917" s="54">
        <v>46143</v>
      </c>
      <c r="I917" s="52" t="s">
        <v>2304</v>
      </c>
      <c r="J917" s="52" t="s">
        <v>2488</v>
      </c>
      <c r="K917" s="52"/>
      <c r="L917" s="52"/>
      <c r="M917" s="52" t="s">
        <v>29</v>
      </c>
      <c r="N917" s="53">
        <v>-928</v>
      </c>
      <c r="O917" s="53">
        <v>-928</v>
      </c>
      <c r="P917" s="52" t="s">
        <v>2642</v>
      </c>
      <c r="Q917" s="52" t="s">
        <v>2642</v>
      </c>
      <c r="R917" s="55" t="s">
        <v>64</v>
      </c>
      <c r="S917" s="52" t="s">
        <v>2488</v>
      </c>
    </row>
    <row r="918" spans="1:19" hidden="1" outlineLevel="2" x14ac:dyDescent="0.45">
      <c r="A918" t="s">
        <v>17</v>
      </c>
      <c r="B918" s="52" t="s">
        <v>57</v>
      </c>
      <c r="C918" s="52" t="s">
        <v>2099</v>
      </c>
      <c r="D918" s="52" t="s">
        <v>2100</v>
      </c>
      <c r="E918" s="52" t="s">
        <v>387</v>
      </c>
      <c r="F918" s="52" t="s">
        <v>2643</v>
      </c>
      <c r="G918" s="52" t="s">
        <v>60</v>
      </c>
      <c r="H918" s="54">
        <v>46143</v>
      </c>
      <c r="I918" s="52" t="s">
        <v>2304</v>
      </c>
      <c r="J918" s="52" t="s">
        <v>2333</v>
      </c>
      <c r="K918" s="52" t="s">
        <v>2644</v>
      </c>
      <c r="L918" s="52" t="s">
        <v>2644</v>
      </c>
      <c r="M918" s="52" t="s">
        <v>29</v>
      </c>
      <c r="N918" s="53">
        <v>-810</v>
      </c>
      <c r="O918" s="53">
        <v>-810</v>
      </c>
      <c r="P918" s="52" t="s">
        <v>2645</v>
      </c>
      <c r="Q918" s="52" t="s">
        <v>2623</v>
      </c>
      <c r="R918" s="55" t="s">
        <v>64</v>
      </c>
      <c r="S918" s="52" t="s">
        <v>2333</v>
      </c>
    </row>
    <row r="919" spans="1:19" hidden="1" outlineLevel="2" x14ac:dyDescent="0.45">
      <c r="A919" t="s">
        <v>17</v>
      </c>
      <c r="B919" s="52" t="s">
        <v>57</v>
      </c>
      <c r="C919" s="52" t="s">
        <v>2099</v>
      </c>
      <c r="D919" s="52" t="s">
        <v>2100</v>
      </c>
      <c r="E919" s="52" t="s">
        <v>387</v>
      </c>
      <c r="F919" s="52" t="s">
        <v>765</v>
      </c>
      <c r="G919" s="52" t="s">
        <v>60</v>
      </c>
      <c r="H919" s="54">
        <v>46143</v>
      </c>
      <c r="I919" s="52" t="s">
        <v>2304</v>
      </c>
      <c r="J919" s="52" t="s">
        <v>2333</v>
      </c>
      <c r="K919" s="52" t="s">
        <v>2646</v>
      </c>
      <c r="L919" s="52" t="s">
        <v>2646</v>
      </c>
      <c r="M919" s="52" t="s">
        <v>29</v>
      </c>
      <c r="N919" s="53">
        <v>-810</v>
      </c>
      <c r="O919" s="53">
        <v>-810</v>
      </c>
      <c r="P919" s="52" t="s">
        <v>2647</v>
      </c>
      <c r="Q919" s="52" t="s">
        <v>2623</v>
      </c>
      <c r="R919" s="55" t="s">
        <v>64</v>
      </c>
      <c r="S919" s="52" t="s">
        <v>2333</v>
      </c>
    </row>
    <row r="920" spans="1:19" hidden="1" outlineLevel="2" x14ac:dyDescent="0.45">
      <c r="A920" t="s">
        <v>17</v>
      </c>
      <c r="B920" s="52" t="s">
        <v>57</v>
      </c>
      <c r="C920" s="52" t="s">
        <v>780</v>
      </c>
      <c r="D920" s="52" t="s">
        <v>781</v>
      </c>
      <c r="E920" s="52" t="s">
        <v>387</v>
      </c>
      <c r="F920" s="52" t="s">
        <v>2648</v>
      </c>
      <c r="G920" s="52" t="s">
        <v>60</v>
      </c>
      <c r="H920" s="54">
        <v>46143</v>
      </c>
      <c r="I920" s="52" t="s">
        <v>2304</v>
      </c>
      <c r="J920" s="52" t="s">
        <v>2343</v>
      </c>
      <c r="K920" s="52" t="s">
        <v>2649</v>
      </c>
      <c r="L920" s="52" t="s">
        <v>2649</v>
      </c>
      <c r="M920" s="52" t="s">
        <v>29</v>
      </c>
      <c r="N920" s="53">
        <v>-805</v>
      </c>
      <c r="O920" s="53">
        <v>-805</v>
      </c>
      <c r="P920" s="52" t="s">
        <v>2650</v>
      </c>
      <c r="Q920" s="52" t="s">
        <v>2651</v>
      </c>
      <c r="R920" s="55" t="s">
        <v>64</v>
      </c>
      <c r="S920" s="52" t="s">
        <v>2343</v>
      </c>
    </row>
    <row r="921" spans="1:19" hidden="1" outlineLevel="2" x14ac:dyDescent="0.45">
      <c r="A921" t="s">
        <v>17</v>
      </c>
      <c r="B921" s="52" t="s">
        <v>57</v>
      </c>
      <c r="C921" s="52" t="s">
        <v>630</v>
      </c>
      <c r="D921" s="52" t="s">
        <v>631</v>
      </c>
      <c r="E921" s="52" t="s">
        <v>387</v>
      </c>
      <c r="F921" s="52" t="s">
        <v>2652</v>
      </c>
      <c r="G921" s="52" t="s">
        <v>60</v>
      </c>
      <c r="H921" s="54">
        <v>46143</v>
      </c>
      <c r="I921" s="52" t="s">
        <v>2304</v>
      </c>
      <c r="J921" s="52" t="s">
        <v>2316</v>
      </c>
      <c r="K921" s="52" t="s">
        <v>2653</v>
      </c>
      <c r="L921" s="52" t="s">
        <v>2653</v>
      </c>
      <c r="M921" s="52" t="s">
        <v>29</v>
      </c>
      <c r="N921" s="53">
        <v>-800</v>
      </c>
      <c r="O921" s="53">
        <v>-800</v>
      </c>
      <c r="P921" s="52" t="s">
        <v>2654</v>
      </c>
      <c r="Q921" s="52" t="s">
        <v>2655</v>
      </c>
      <c r="R921" s="55" t="s">
        <v>64</v>
      </c>
      <c r="S921" s="52" t="s">
        <v>2316</v>
      </c>
    </row>
    <row r="922" spans="1:19" hidden="1" outlineLevel="2" x14ac:dyDescent="0.45">
      <c r="A922" t="s">
        <v>17</v>
      </c>
      <c r="B922" s="52" t="s">
        <v>57</v>
      </c>
      <c r="C922" s="52" t="s">
        <v>656</v>
      </c>
      <c r="D922" s="52" t="s">
        <v>657</v>
      </c>
      <c r="E922" s="52" t="s">
        <v>387</v>
      </c>
      <c r="F922" s="52" t="s">
        <v>2531</v>
      </c>
      <c r="G922" s="52" t="s">
        <v>60</v>
      </c>
      <c r="H922" s="54">
        <v>46143</v>
      </c>
      <c r="I922" s="52" t="s">
        <v>2304</v>
      </c>
      <c r="J922" s="52" t="s">
        <v>2445</v>
      </c>
      <c r="K922" s="52" t="s">
        <v>2532</v>
      </c>
      <c r="L922" s="52" t="s">
        <v>2532</v>
      </c>
      <c r="M922" s="52" t="s">
        <v>29</v>
      </c>
      <c r="N922" s="53">
        <v>-746.56</v>
      </c>
      <c r="O922" s="53">
        <v>-746.56</v>
      </c>
      <c r="P922" s="52" t="s">
        <v>2533</v>
      </c>
      <c r="Q922" s="52" t="s">
        <v>2534</v>
      </c>
      <c r="R922" s="55" t="s">
        <v>64</v>
      </c>
      <c r="S922" s="52" t="s">
        <v>2445</v>
      </c>
    </row>
    <row r="923" spans="1:19" hidden="1" outlineLevel="2" x14ac:dyDescent="0.45">
      <c r="A923" t="s">
        <v>17</v>
      </c>
      <c r="B923" s="52" t="s">
        <v>66</v>
      </c>
      <c r="C923" s="52" t="s">
        <v>856</v>
      </c>
      <c r="D923" s="52" t="s">
        <v>857</v>
      </c>
      <c r="E923" s="52" t="s">
        <v>387</v>
      </c>
      <c r="F923" s="52" t="s">
        <v>2656</v>
      </c>
      <c r="G923" s="52" t="s">
        <v>60</v>
      </c>
      <c r="H923" s="54">
        <v>46143</v>
      </c>
      <c r="I923" s="52" t="s">
        <v>2304</v>
      </c>
      <c r="J923" s="52" t="s">
        <v>2445</v>
      </c>
      <c r="K923" s="52" t="s">
        <v>2657</v>
      </c>
      <c r="L923" s="52" t="s">
        <v>2657</v>
      </c>
      <c r="M923" s="52" t="s">
        <v>67</v>
      </c>
      <c r="N923" s="53">
        <v>-212.4</v>
      </c>
      <c r="O923" s="53">
        <v>-730.66</v>
      </c>
      <c r="P923" s="52" t="s">
        <v>2658</v>
      </c>
      <c r="Q923" s="52" t="s">
        <v>2659</v>
      </c>
      <c r="R923" s="55" t="s">
        <v>64</v>
      </c>
      <c r="S923" s="52" t="s">
        <v>2445</v>
      </c>
    </row>
    <row r="924" spans="1:19" hidden="1" outlineLevel="2" x14ac:dyDescent="0.45">
      <c r="A924" t="s">
        <v>17</v>
      </c>
      <c r="B924" s="52" t="s">
        <v>66</v>
      </c>
      <c r="C924" s="52" t="s">
        <v>856</v>
      </c>
      <c r="D924" s="52" t="s">
        <v>857</v>
      </c>
      <c r="E924" s="52" t="s">
        <v>387</v>
      </c>
      <c r="F924" s="52" t="s">
        <v>2656</v>
      </c>
      <c r="G924" s="52" t="s">
        <v>60</v>
      </c>
      <c r="H924" s="54">
        <v>46143</v>
      </c>
      <c r="I924" s="52" t="s">
        <v>2304</v>
      </c>
      <c r="J924" s="52" t="s">
        <v>2445</v>
      </c>
      <c r="K924" s="52" t="s">
        <v>2660</v>
      </c>
      <c r="L924" s="52" t="s">
        <v>2660</v>
      </c>
      <c r="M924" s="52" t="s">
        <v>67</v>
      </c>
      <c r="N924" s="53">
        <v>-212.4</v>
      </c>
      <c r="O924" s="53">
        <v>-730.66</v>
      </c>
      <c r="P924" s="52" t="s">
        <v>2661</v>
      </c>
      <c r="Q924" s="52" t="s">
        <v>2659</v>
      </c>
      <c r="R924" s="55" t="s">
        <v>64</v>
      </c>
      <c r="S924" s="52" t="s">
        <v>2445</v>
      </c>
    </row>
    <row r="925" spans="1:19" hidden="1" outlineLevel="2" x14ac:dyDescent="0.45">
      <c r="A925" t="s">
        <v>17</v>
      </c>
      <c r="B925" s="52" t="s">
        <v>57</v>
      </c>
      <c r="C925" s="52" t="s">
        <v>780</v>
      </c>
      <c r="D925" s="52" t="s">
        <v>781</v>
      </c>
      <c r="E925" s="52" t="s">
        <v>387</v>
      </c>
      <c r="F925" s="52" t="s">
        <v>2637</v>
      </c>
      <c r="G925" s="52" t="s">
        <v>60</v>
      </c>
      <c r="H925" s="54">
        <v>46143</v>
      </c>
      <c r="I925" s="52" t="s">
        <v>2304</v>
      </c>
      <c r="J925" s="52" t="s">
        <v>2416</v>
      </c>
      <c r="K925" s="52" t="s">
        <v>2662</v>
      </c>
      <c r="L925" s="52" t="s">
        <v>2662</v>
      </c>
      <c r="M925" s="52" t="s">
        <v>29</v>
      </c>
      <c r="N925" s="53">
        <v>-685.8</v>
      </c>
      <c r="O925" s="53">
        <v>-685.8</v>
      </c>
      <c r="P925" s="52" t="s">
        <v>2663</v>
      </c>
      <c r="Q925" s="52" t="s">
        <v>2640</v>
      </c>
      <c r="R925" s="55" t="s">
        <v>64</v>
      </c>
      <c r="S925" s="52" t="s">
        <v>2416</v>
      </c>
    </row>
    <row r="926" spans="1:19" hidden="1" outlineLevel="2" x14ac:dyDescent="0.45">
      <c r="A926" t="s">
        <v>17</v>
      </c>
      <c r="B926" s="52" t="s">
        <v>57</v>
      </c>
      <c r="C926" s="52" t="s">
        <v>774</v>
      </c>
      <c r="D926" s="52" t="s">
        <v>775</v>
      </c>
      <c r="E926" s="52" t="s">
        <v>387</v>
      </c>
      <c r="F926" s="52" t="s">
        <v>2601</v>
      </c>
      <c r="G926" s="52" t="s">
        <v>60</v>
      </c>
      <c r="H926" s="54">
        <v>46143</v>
      </c>
      <c r="I926" s="52" t="s">
        <v>2304</v>
      </c>
      <c r="J926" s="52" t="s">
        <v>2343</v>
      </c>
      <c r="K926" s="52" t="s">
        <v>777</v>
      </c>
      <c r="L926" s="52" t="s">
        <v>777</v>
      </c>
      <c r="M926" s="52" t="s">
        <v>29</v>
      </c>
      <c r="N926" s="53">
        <v>-652.08000000000004</v>
      </c>
      <c r="O926" s="53">
        <v>-652.08000000000004</v>
      </c>
      <c r="P926" s="52" t="s">
        <v>778</v>
      </c>
      <c r="Q926" s="52" t="s">
        <v>2602</v>
      </c>
      <c r="R926" s="55" t="s">
        <v>64</v>
      </c>
      <c r="S926" s="52" t="s">
        <v>2343</v>
      </c>
    </row>
    <row r="927" spans="1:19" hidden="1" outlineLevel="2" x14ac:dyDescent="0.45">
      <c r="A927" t="s">
        <v>17</v>
      </c>
      <c r="B927" s="52" t="s">
        <v>57</v>
      </c>
      <c r="C927" s="52" t="s">
        <v>1547</v>
      </c>
      <c r="D927" s="52" t="s">
        <v>1548</v>
      </c>
      <c r="E927" s="52" t="s">
        <v>387</v>
      </c>
      <c r="F927" s="52" t="s">
        <v>2664</v>
      </c>
      <c r="G927" s="52" t="s">
        <v>60</v>
      </c>
      <c r="H927" s="54">
        <v>46143</v>
      </c>
      <c r="I927" s="52" t="s">
        <v>2304</v>
      </c>
      <c r="J927" s="52" t="s">
        <v>2321</v>
      </c>
      <c r="K927" s="52" t="s">
        <v>2665</v>
      </c>
      <c r="L927" s="52" t="s">
        <v>2665</v>
      </c>
      <c r="M927" s="52" t="s">
        <v>29</v>
      </c>
      <c r="N927" s="53">
        <v>-619.51</v>
      </c>
      <c r="O927" s="53">
        <v>-619.51</v>
      </c>
      <c r="P927" s="52" t="s">
        <v>2666</v>
      </c>
      <c r="Q927" s="52" t="s">
        <v>2667</v>
      </c>
      <c r="R927" s="55" t="s">
        <v>64</v>
      </c>
      <c r="S927" s="52" t="s">
        <v>2321</v>
      </c>
    </row>
    <row r="928" spans="1:19" hidden="1" outlineLevel="2" x14ac:dyDescent="0.45">
      <c r="A928" t="s">
        <v>17</v>
      </c>
      <c r="B928" s="52" t="s">
        <v>57</v>
      </c>
      <c r="C928" s="52" t="s">
        <v>780</v>
      </c>
      <c r="D928" s="52" t="s">
        <v>781</v>
      </c>
      <c r="E928" s="52" t="s">
        <v>387</v>
      </c>
      <c r="F928" s="52" t="s">
        <v>2648</v>
      </c>
      <c r="G928" s="52" t="s">
        <v>60</v>
      </c>
      <c r="H928" s="54">
        <v>46143</v>
      </c>
      <c r="I928" s="52" t="s">
        <v>2304</v>
      </c>
      <c r="J928" s="52" t="s">
        <v>2343</v>
      </c>
      <c r="K928" s="52" t="s">
        <v>2668</v>
      </c>
      <c r="L928" s="52" t="s">
        <v>2668</v>
      </c>
      <c r="M928" s="52" t="s">
        <v>29</v>
      </c>
      <c r="N928" s="53">
        <v>-592.79999999999995</v>
      </c>
      <c r="O928" s="53">
        <v>-592.79999999999995</v>
      </c>
      <c r="P928" s="52" t="s">
        <v>2669</v>
      </c>
      <c r="Q928" s="52" t="s">
        <v>2651</v>
      </c>
      <c r="R928" s="55" t="s">
        <v>64</v>
      </c>
      <c r="S928" s="52" t="s">
        <v>2343</v>
      </c>
    </row>
    <row r="929" spans="1:19" hidden="1" outlineLevel="2" x14ac:dyDescent="0.45">
      <c r="A929" t="s">
        <v>17</v>
      </c>
      <c r="B929" s="52" t="s">
        <v>57</v>
      </c>
      <c r="C929" s="52" t="s">
        <v>630</v>
      </c>
      <c r="D929" s="52" t="s">
        <v>631</v>
      </c>
      <c r="E929" s="52" t="s">
        <v>387</v>
      </c>
      <c r="F929" s="52" t="s">
        <v>2670</v>
      </c>
      <c r="G929" s="52" t="s">
        <v>60</v>
      </c>
      <c r="H929" s="54">
        <v>46143</v>
      </c>
      <c r="I929" s="52" t="s">
        <v>2304</v>
      </c>
      <c r="J929" s="52" t="s">
        <v>2316</v>
      </c>
      <c r="K929" s="52" t="s">
        <v>2671</v>
      </c>
      <c r="L929" s="52" t="s">
        <v>2671</v>
      </c>
      <c r="M929" s="52" t="s">
        <v>29</v>
      </c>
      <c r="N929" s="53">
        <v>-550</v>
      </c>
      <c r="O929" s="53">
        <v>-550</v>
      </c>
      <c r="P929" s="52" t="s">
        <v>2672</v>
      </c>
      <c r="Q929" s="52" t="s">
        <v>2673</v>
      </c>
      <c r="R929" s="55" t="s">
        <v>64</v>
      </c>
      <c r="S929" s="52" t="s">
        <v>2316</v>
      </c>
    </row>
    <row r="930" spans="1:19" hidden="1" outlineLevel="2" x14ac:dyDescent="0.45">
      <c r="A930" t="s">
        <v>17</v>
      </c>
      <c r="B930" s="52" t="s">
        <v>57</v>
      </c>
      <c r="C930" s="52" t="s">
        <v>1304</v>
      </c>
      <c r="D930" s="52" t="s">
        <v>1305</v>
      </c>
      <c r="E930" s="52" t="s">
        <v>387</v>
      </c>
      <c r="F930" s="52" t="s">
        <v>2674</v>
      </c>
      <c r="G930" s="52" t="s">
        <v>60</v>
      </c>
      <c r="H930" s="54">
        <v>46143</v>
      </c>
      <c r="I930" s="52" t="s">
        <v>2304</v>
      </c>
      <c r="J930" s="52" t="s">
        <v>2488</v>
      </c>
      <c r="K930" s="52" t="s">
        <v>2675</v>
      </c>
      <c r="L930" s="52" t="s">
        <v>2675</v>
      </c>
      <c r="M930" s="52" t="s">
        <v>29</v>
      </c>
      <c r="N930" s="53">
        <v>-499</v>
      </c>
      <c r="O930" s="53">
        <v>-499</v>
      </c>
      <c r="P930" s="52" t="s">
        <v>2676</v>
      </c>
      <c r="Q930" s="52" t="s">
        <v>2677</v>
      </c>
      <c r="R930" s="55" t="s">
        <v>64</v>
      </c>
      <c r="S930" s="52" t="s">
        <v>2488</v>
      </c>
    </row>
    <row r="931" spans="1:19" hidden="1" outlineLevel="2" x14ac:dyDescent="0.45">
      <c r="A931" t="s">
        <v>17</v>
      </c>
      <c r="B931" s="52" t="s">
        <v>57</v>
      </c>
      <c r="C931" s="52" t="s">
        <v>630</v>
      </c>
      <c r="D931" s="52" t="s">
        <v>631</v>
      </c>
      <c r="E931" s="52" t="s">
        <v>387</v>
      </c>
      <c r="F931" s="52" t="s">
        <v>2678</v>
      </c>
      <c r="G931" s="52" t="s">
        <v>60</v>
      </c>
      <c r="H931" s="54">
        <v>46143</v>
      </c>
      <c r="I931" s="52" t="s">
        <v>2304</v>
      </c>
      <c r="J931" s="52" t="s">
        <v>2316</v>
      </c>
      <c r="K931" s="52" t="s">
        <v>2679</v>
      </c>
      <c r="L931" s="52" t="s">
        <v>2679</v>
      </c>
      <c r="M931" s="52" t="s">
        <v>29</v>
      </c>
      <c r="N931" s="53">
        <v>-490</v>
      </c>
      <c r="O931" s="53">
        <v>-490</v>
      </c>
      <c r="P931" s="52" t="s">
        <v>2680</v>
      </c>
      <c r="Q931" s="52" t="s">
        <v>2681</v>
      </c>
      <c r="R931" s="55" t="s">
        <v>64</v>
      </c>
      <c r="S931" s="52" t="s">
        <v>2316</v>
      </c>
    </row>
    <row r="932" spans="1:19" hidden="1" outlineLevel="2" x14ac:dyDescent="0.45">
      <c r="A932" t="s">
        <v>17</v>
      </c>
      <c r="B932" s="52" t="s">
        <v>57</v>
      </c>
      <c r="C932" s="52" t="s">
        <v>774</v>
      </c>
      <c r="D932" s="52" t="s">
        <v>775</v>
      </c>
      <c r="E932" s="52" t="s">
        <v>387</v>
      </c>
      <c r="F932" s="52" t="s">
        <v>2682</v>
      </c>
      <c r="G932" s="52" t="s">
        <v>60</v>
      </c>
      <c r="H932" s="54">
        <v>46143</v>
      </c>
      <c r="I932" s="52" t="s">
        <v>2304</v>
      </c>
      <c r="J932" s="52" t="s">
        <v>2343</v>
      </c>
      <c r="K932" s="52"/>
      <c r="L932" s="52"/>
      <c r="M932" s="52" t="s">
        <v>29</v>
      </c>
      <c r="N932" s="53">
        <v>-377.02</v>
      </c>
      <c r="O932" s="53">
        <v>-377.02</v>
      </c>
      <c r="P932" s="52" t="s">
        <v>2683</v>
      </c>
      <c r="Q932" s="52" t="s">
        <v>2683</v>
      </c>
      <c r="R932" s="55" t="s">
        <v>64</v>
      </c>
      <c r="S932" s="52" t="s">
        <v>2343</v>
      </c>
    </row>
    <row r="933" spans="1:19" hidden="1" outlineLevel="2" x14ac:dyDescent="0.45">
      <c r="A933" t="s">
        <v>17</v>
      </c>
      <c r="B933" s="52" t="s">
        <v>57</v>
      </c>
      <c r="C933" s="52" t="s">
        <v>2351</v>
      </c>
      <c r="D933" s="52" t="s">
        <v>2352</v>
      </c>
      <c r="E933" s="52" t="s">
        <v>387</v>
      </c>
      <c r="F933" s="52" t="s">
        <v>2684</v>
      </c>
      <c r="G933" s="52" t="s">
        <v>60</v>
      </c>
      <c r="H933" s="54">
        <v>46143</v>
      </c>
      <c r="I933" s="52" t="s">
        <v>2304</v>
      </c>
      <c r="J933" s="52" t="s">
        <v>2325</v>
      </c>
      <c r="K933" s="52" t="s">
        <v>2685</v>
      </c>
      <c r="L933" s="52" t="s">
        <v>2685</v>
      </c>
      <c r="M933" s="52" t="s">
        <v>29</v>
      </c>
      <c r="N933" s="53">
        <v>-326</v>
      </c>
      <c r="O933" s="53">
        <v>-326</v>
      </c>
      <c r="P933" s="52" t="s">
        <v>2686</v>
      </c>
      <c r="Q933" s="52" t="s">
        <v>2687</v>
      </c>
      <c r="R933" s="55" t="s">
        <v>64</v>
      </c>
      <c r="S933" s="52" t="s">
        <v>2325</v>
      </c>
    </row>
    <row r="934" spans="1:19" hidden="1" outlineLevel="2" x14ac:dyDescent="0.45">
      <c r="A934" t="s">
        <v>17</v>
      </c>
      <c r="B934" s="52" t="s">
        <v>57</v>
      </c>
      <c r="C934" s="52" t="s">
        <v>785</v>
      </c>
      <c r="D934" s="52" t="s">
        <v>786</v>
      </c>
      <c r="E934" s="52" t="s">
        <v>387</v>
      </c>
      <c r="F934" s="52" t="s">
        <v>2688</v>
      </c>
      <c r="G934" s="52" t="s">
        <v>60</v>
      </c>
      <c r="H934" s="54">
        <v>46143</v>
      </c>
      <c r="I934" s="52" t="s">
        <v>2304</v>
      </c>
      <c r="J934" s="52" t="s">
        <v>2333</v>
      </c>
      <c r="K934" s="52" t="s">
        <v>2562</v>
      </c>
      <c r="L934" s="52" t="s">
        <v>2562</v>
      </c>
      <c r="M934" s="52" t="s">
        <v>29</v>
      </c>
      <c r="N934" s="53">
        <v>-305</v>
      </c>
      <c r="O934" s="53">
        <v>-305</v>
      </c>
      <c r="P934" s="52" t="s">
        <v>2689</v>
      </c>
      <c r="Q934" s="52" t="s">
        <v>2623</v>
      </c>
      <c r="R934" s="55" t="s">
        <v>64</v>
      </c>
      <c r="S934" s="52" t="s">
        <v>2333</v>
      </c>
    </row>
    <row r="935" spans="1:19" hidden="1" outlineLevel="2" x14ac:dyDescent="0.45">
      <c r="A935" t="s">
        <v>17</v>
      </c>
      <c r="B935" s="52" t="s">
        <v>57</v>
      </c>
      <c r="C935" s="52" t="s">
        <v>870</v>
      </c>
      <c r="D935" s="52" t="s">
        <v>871</v>
      </c>
      <c r="E935" s="52" t="s">
        <v>387</v>
      </c>
      <c r="F935" s="52" t="s">
        <v>2595</v>
      </c>
      <c r="G935" s="52" t="s">
        <v>60</v>
      </c>
      <c r="H935" s="54">
        <v>46143</v>
      </c>
      <c r="I935" s="52" t="s">
        <v>2304</v>
      </c>
      <c r="J935" s="52" t="s">
        <v>2445</v>
      </c>
      <c r="K935" s="52"/>
      <c r="L935" s="52"/>
      <c r="M935" s="52" t="s">
        <v>29</v>
      </c>
      <c r="N935" s="53">
        <v>-266.10000000000002</v>
      </c>
      <c r="O935" s="53">
        <v>-266.10000000000002</v>
      </c>
      <c r="P935" s="52" t="s">
        <v>2596</v>
      </c>
      <c r="Q935" s="52" t="s">
        <v>2596</v>
      </c>
      <c r="R935" s="55" t="s">
        <v>64</v>
      </c>
      <c r="S935" s="52" t="s">
        <v>2445</v>
      </c>
    </row>
    <row r="936" spans="1:19" hidden="1" outlineLevel="2" x14ac:dyDescent="0.45">
      <c r="A936" t="s">
        <v>17</v>
      </c>
      <c r="B936" s="52" t="s">
        <v>57</v>
      </c>
      <c r="C936" s="52" t="s">
        <v>1645</v>
      </c>
      <c r="D936" s="52" t="s">
        <v>1646</v>
      </c>
      <c r="E936" s="52" t="s">
        <v>387</v>
      </c>
      <c r="F936" s="52" t="s">
        <v>2690</v>
      </c>
      <c r="G936" s="52" t="s">
        <v>60</v>
      </c>
      <c r="H936" s="54">
        <v>46143</v>
      </c>
      <c r="I936" s="52" t="s">
        <v>2304</v>
      </c>
      <c r="J936" s="52" t="s">
        <v>2343</v>
      </c>
      <c r="K936" s="52"/>
      <c r="L936" s="52"/>
      <c r="M936" s="52" t="s">
        <v>29</v>
      </c>
      <c r="N936" s="53">
        <v>-247.85</v>
      </c>
      <c r="O936" s="53">
        <v>-247.85</v>
      </c>
      <c r="P936" s="52" t="s">
        <v>2691</v>
      </c>
      <c r="Q936" s="52" t="s">
        <v>2691</v>
      </c>
      <c r="R936" s="55" t="s">
        <v>64</v>
      </c>
      <c r="S936" s="52" t="s">
        <v>2343</v>
      </c>
    </row>
    <row r="937" spans="1:19" hidden="1" outlineLevel="2" x14ac:dyDescent="0.45">
      <c r="A937" t="s">
        <v>17</v>
      </c>
      <c r="B937" s="52" t="s">
        <v>57</v>
      </c>
      <c r="C937" s="52" t="s">
        <v>774</v>
      </c>
      <c r="D937" s="52" t="s">
        <v>775</v>
      </c>
      <c r="E937" s="52" t="s">
        <v>387</v>
      </c>
      <c r="F937" s="52" t="s">
        <v>2589</v>
      </c>
      <c r="G937" s="52" t="s">
        <v>60</v>
      </c>
      <c r="H937" s="54">
        <v>46143</v>
      </c>
      <c r="I937" s="52" t="s">
        <v>2304</v>
      </c>
      <c r="J937" s="52" t="s">
        <v>2416</v>
      </c>
      <c r="K937" s="52" t="s">
        <v>777</v>
      </c>
      <c r="L937" s="52" t="s">
        <v>777</v>
      </c>
      <c r="M937" s="52" t="s">
        <v>29</v>
      </c>
      <c r="N937" s="53">
        <v>-215.29</v>
      </c>
      <c r="O937" s="53">
        <v>-215.29</v>
      </c>
      <c r="P937" s="52" t="s">
        <v>778</v>
      </c>
      <c r="Q937" s="52" t="s">
        <v>2590</v>
      </c>
      <c r="R937" s="55" t="s">
        <v>64</v>
      </c>
      <c r="S937" s="52" t="s">
        <v>2416</v>
      </c>
    </row>
    <row r="938" spans="1:19" hidden="1" outlineLevel="2" x14ac:dyDescent="0.45">
      <c r="A938" t="s">
        <v>17</v>
      </c>
      <c r="B938" s="52" t="s">
        <v>57</v>
      </c>
      <c r="C938" s="52" t="s">
        <v>870</v>
      </c>
      <c r="D938" s="52" t="s">
        <v>871</v>
      </c>
      <c r="E938" s="52" t="s">
        <v>387</v>
      </c>
      <c r="F938" s="52" t="s">
        <v>2595</v>
      </c>
      <c r="G938" s="52" t="s">
        <v>60</v>
      </c>
      <c r="H938" s="54">
        <v>46143</v>
      </c>
      <c r="I938" s="52" t="s">
        <v>2304</v>
      </c>
      <c r="J938" s="52" t="s">
        <v>2445</v>
      </c>
      <c r="K938" s="52"/>
      <c r="L938" s="52"/>
      <c r="M938" s="52" t="s">
        <v>29</v>
      </c>
      <c r="N938" s="53">
        <v>-201.3</v>
      </c>
      <c r="O938" s="53">
        <v>-201.3</v>
      </c>
      <c r="P938" s="52" t="s">
        <v>2596</v>
      </c>
      <c r="Q938" s="52" t="s">
        <v>2596</v>
      </c>
      <c r="R938" s="55" t="s">
        <v>64</v>
      </c>
      <c r="S938" s="52" t="s">
        <v>2445</v>
      </c>
    </row>
    <row r="939" spans="1:19" hidden="1" outlineLevel="2" x14ac:dyDescent="0.45">
      <c r="A939" t="s">
        <v>17</v>
      </c>
      <c r="B939" s="52" t="s">
        <v>57</v>
      </c>
      <c r="C939" s="52" t="s">
        <v>870</v>
      </c>
      <c r="D939" s="52" t="s">
        <v>871</v>
      </c>
      <c r="E939" s="52" t="s">
        <v>387</v>
      </c>
      <c r="F939" s="52" t="s">
        <v>2641</v>
      </c>
      <c r="G939" s="52" t="s">
        <v>60</v>
      </c>
      <c r="H939" s="54">
        <v>46143</v>
      </c>
      <c r="I939" s="52" t="s">
        <v>2304</v>
      </c>
      <c r="J939" s="52" t="s">
        <v>2488</v>
      </c>
      <c r="K939" s="52"/>
      <c r="L939" s="52"/>
      <c r="M939" s="52" t="s">
        <v>29</v>
      </c>
      <c r="N939" s="53">
        <v>-162.9</v>
      </c>
      <c r="O939" s="53">
        <v>-162.9</v>
      </c>
      <c r="P939" s="52" t="s">
        <v>2642</v>
      </c>
      <c r="Q939" s="52" t="s">
        <v>2642</v>
      </c>
      <c r="R939" s="55" t="s">
        <v>64</v>
      </c>
      <c r="S939" s="52" t="s">
        <v>2488</v>
      </c>
    </row>
    <row r="940" spans="1:19" hidden="1" outlineLevel="2" x14ac:dyDescent="0.45">
      <c r="A940" t="s">
        <v>17</v>
      </c>
      <c r="B940" s="52" t="s">
        <v>57</v>
      </c>
      <c r="C940" s="52" t="s">
        <v>780</v>
      </c>
      <c r="D940" s="52" t="s">
        <v>781</v>
      </c>
      <c r="E940" s="52" t="s">
        <v>387</v>
      </c>
      <c r="F940" s="52" t="s">
        <v>2637</v>
      </c>
      <c r="G940" s="52" t="s">
        <v>60</v>
      </c>
      <c r="H940" s="54">
        <v>46143</v>
      </c>
      <c r="I940" s="52" t="s">
        <v>2304</v>
      </c>
      <c r="J940" s="52" t="s">
        <v>2416</v>
      </c>
      <c r="K940" s="52" t="s">
        <v>2649</v>
      </c>
      <c r="L940" s="52" t="s">
        <v>2649</v>
      </c>
      <c r="M940" s="52" t="s">
        <v>29</v>
      </c>
      <c r="N940" s="53">
        <v>-127</v>
      </c>
      <c r="O940" s="53">
        <v>-127</v>
      </c>
      <c r="P940" s="52" t="s">
        <v>2650</v>
      </c>
      <c r="Q940" s="52" t="s">
        <v>2640</v>
      </c>
      <c r="R940" s="55" t="s">
        <v>64</v>
      </c>
      <c r="S940" s="52" t="s">
        <v>2416</v>
      </c>
    </row>
    <row r="941" spans="1:19" hidden="1" outlineLevel="2" x14ac:dyDescent="0.45">
      <c r="A941" t="s">
        <v>17</v>
      </c>
      <c r="B941" s="52" t="s">
        <v>57</v>
      </c>
      <c r="C941" s="52" t="s">
        <v>838</v>
      </c>
      <c r="D941" s="52" t="s">
        <v>839</v>
      </c>
      <c r="E941" s="52" t="s">
        <v>387</v>
      </c>
      <c r="F941" s="52" t="s">
        <v>2692</v>
      </c>
      <c r="G941" s="52" t="s">
        <v>60</v>
      </c>
      <c r="H941" s="54">
        <v>46143</v>
      </c>
      <c r="I941" s="52" t="s">
        <v>2304</v>
      </c>
      <c r="J941" s="52" t="s">
        <v>2328</v>
      </c>
      <c r="K941" s="52" t="s">
        <v>2693</v>
      </c>
      <c r="L941" s="52" t="s">
        <v>2693</v>
      </c>
      <c r="M941" s="52" t="s">
        <v>29</v>
      </c>
      <c r="N941" s="53">
        <v>-119.98</v>
      </c>
      <c r="O941" s="53">
        <v>-119.98</v>
      </c>
      <c r="P941" s="52" t="s">
        <v>2694</v>
      </c>
      <c r="Q941" s="52" t="s">
        <v>2695</v>
      </c>
      <c r="R941" s="55" t="s">
        <v>64</v>
      </c>
      <c r="S941" s="52" t="s">
        <v>2328</v>
      </c>
    </row>
    <row r="942" spans="1:19" hidden="1" outlineLevel="2" x14ac:dyDescent="0.45">
      <c r="A942" t="s">
        <v>17</v>
      </c>
      <c r="B942" s="52" t="s">
        <v>57</v>
      </c>
      <c r="C942" s="52" t="s">
        <v>349</v>
      </c>
      <c r="D942" s="52" t="s">
        <v>350</v>
      </c>
      <c r="E942" s="52" t="s">
        <v>387</v>
      </c>
      <c r="F942" s="52" t="s">
        <v>2696</v>
      </c>
      <c r="G942" s="52" t="s">
        <v>60</v>
      </c>
      <c r="H942" s="54">
        <v>46143</v>
      </c>
      <c r="I942" s="52" t="s">
        <v>2304</v>
      </c>
      <c r="J942" s="52" t="s">
        <v>2328</v>
      </c>
      <c r="K942" s="52" t="s">
        <v>2697</v>
      </c>
      <c r="L942" s="52" t="s">
        <v>2697</v>
      </c>
      <c r="M942" s="52" t="s">
        <v>29</v>
      </c>
      <c r="N942" s="53">
        <v>-113.75</v>
      </c>
      <c r="O942" s="53">
        <v>-113.75</v>
      </c>
      <c r="P942" s="52" t="s">
        <v>2698</v>
      </c>
      <c r="Q942" s="52" t="s">
        <v>2699</v>
      </c>
      <c r="R942" s="55" t="s">
        <v>64</v>
      </c>
      <c r="S942" s="52" t="s">
        <v>2328</v>
      </c>
    </row>
    <row r="943" spans="1:19" hidden="1" outlineLevel="2" x14ac:dyDescent="0.45">
      <c r="A943" t="s">
        <v>17</v>
      </c>
      <c r="B943" s="52" t="s">
        <v>57</v>
      </c>
      <c r="C943" s="52" t="s">
        <v>870</v>
      </c>
      <c r="D943" s="52" t="s">
        <v>871</v>
      </c>
      <c r="E943" s="52" t="s">
        <v>387</v>
      </c>
      <c r="F943" s="52" t="s">
        <v>2595</v>
      </c>
      <c r="G943" s="52" t="s">
        <v>60</v>
      </c>
      <c r="H943" s="54">
        <v>46143</v>
      </c>
      <c r="I943" s="52" t="s">
        <v>2304</v>
      </c>
      <c r="J943" s="52" t="s">
        <v>2445</v>
      </c>
      <c r="K943" s="52"/>
      <c r="L943" s="52"/>
      <c r="M943" s="52" t="s">
        <v>29</v>
      </c>
      <c r="N943" s="53">
        <v>-111</v>
      </c>
      <c r="O943" s="53">
        <v>-111</v>
      </c>
      <c r="P943" s="52" t="s">
        <v>2596</v>
      </c>
      <c r="Q943" s="52" t="s">
        <v>2596</v>
      </c>
      <c r="R943" s="55" t="s">
        <v>64</v>
      </c>
      <c r="S943" s="52" t="s">
        <v>2445</v>
      </c>
    </row>
    <row r="944" spans="1:19" hidden="1" outlineLevel="2" x14ac:dyDescent="0.45">
      <c r="A944" t="s">
        <v>17</v>
      </c>
      <c r="B944" s="52" t="s">
        <v>57</v>
      </c>
      <c r="C944" s="52" t="s">
        <v>780</v>
      </c>
      <c r="D944" s="52" t="s">
        <v>781</v>
      </c>
      <c r="E944" s="52" t="s">
        <v>387</v>
      </c>
      <c r="F944" s="52" t="s">
        <v>2637</v>
      </c>
      <c r="G944" s="52" t="s">
        <v>60</v>
      </c>
      <c r="H944" s="54">
        <v>46143</v>
      </c>
      <c r="I944" s="52" t="s">
        <v>2304</v>
      </c>
      <c r="J944" s="52" t="s">
        <v>2416</v>
      </c>
      <c r="K944" s="52" t="s">
        <v>2668</v>
      </c>
      <c r="L944" s="52" t="s">
        <v>2668</v>
      </c>
      <c r="M944" s="52" t="s">
        <v>29</v>
      </c>
      <c r="N944" s="53">
        <v>-93</v>
      </c>
      <c r="O944" s="53">
        <v>-93</v>
      </c>
      <c r="P944" s="52" t="s">
        <v>2669</v>
      </c>
      <c r="Q944" s="52" t="s">
        <v>2640</v>
      </c>
      <c r="R944" s="55" t="s">
        <v>64</v>
      </c>
      <c r="S944" s="52" t="s">
        <v>2416</v>
      </c>
    </row>
    <row r="945" spans="1:19" hidden="1" outlineLevel="2" x14ac:dyDescent="0.45">
      <c r="A945" t="s">
        <v>17</v>
      </c>
      <c r="B945" s="52" t="s">
        <v>57</v>
      </c>
      <c r="C945" s="52" t="s">
        <v>856</v>
      </c>
      <c r="D945" s="52" t="s">
        <v>857</v>
      </c>
      <c r="E945" s="52" t="s">
        <v>387</v>
      </c>
      <c r="F945" s="52" t="s">
        <v>2700</v>
      </c>
      <c r="G945" s="52" t="s">
        <v>60</v>
      </c>
      <c r="H945" s="54">
        <v>46143</v>
      </c>
      <c r="I945" s="52" t="s">
        <v>2304</v>
      </c>
      <c r="J945" s="52" t="s">
        <v>2333</v>
      </c>
      <c r="K945" s="52" t="s">
        <v>2657</v>
      </c>
      <c r="L945" s="52" t="s">
        <v>2657</v>
      </c>
      <c r="M945" s="52" t="s">
        <v>29</v>
      </c>
      <c r="N945" s="53">
        <v>-81</v>
      </c>
      <c r="O945" s="53">
        <v>-81</v>
      </c>
      <c r="P945" s="52" t="s">
        <v>2658</v>
      </c>
      <c r="Q945" s="52" t="s">
        <v>2623</v>
      </c>
      <c r="R945" s="55" t="s">
        <v>64</v>
      </c>
      <c r="S945" s="52" t="s">
        <v>2333</v>
      </c>
    </row>
    <row r="946" spans="1:19" hidden="1" outlineLevel="2" x14ac:dyDescent="0.45">
      <c r="A946" t="s">
        <v>17</v>
      </c>
      <c r="B946" s="52" t="s">
        <v>57</v>
      </c>
      <c r="C946" s="52" t="s">
        <v>856</v>
      </c>
      <c r="D946" s="52" t="s">
        <v>857</v>
      </c>
      <c r="E946" s="52" t="s">
        <v>387</v>
      </c>
      <c r="F946" s="52" t="s">
        <v>2701</v>
      </c>
      <c r="G946" s="52" t="s">
        <v>60</v>
      </c>
      <c r="H946" s="54">
        <v>46143</v>
      </c>
      <c r="I946" s="52" t="s">
        <v>2304</v>
      </c>
      <c r="J946" s="52" t="s">
        <v>2333</v>
      </c>
      <c r="K946" s="52" t="s">
        <v>2660</v>
      </c>
      <c r="L946" s="52" t="s">
        <v>2660</v>
      </c>
      <c r="M946" s="52" t="s">
        <v>29</v>
      </c>
      <c r="N946" s="53">
        <v>-80</v>
      </c>
      <c r="O946" s="53">
        <v>-80</v>
      </c>
      <c r="P946" s="52" t="s">
        <v>2661</v>
      </c>
      <c r="Q946" s="52" t="s">
        <v>2623</v>
      </c>
      <c r="R946" s="55" t="s">
        <v>64</v>
      </c>
      <c r="S946" s="52" t="s">
        <v>2333</v>
      </c>
    </row>
    <row r="947" spans="1:19" hidden="1" outlineLevel="2" x14ac:dyDescent="0.45">
      <c r="A947" t="s">
        <v>17</v>
      </c>
      <c r="B947" s="52" t="s">
        <v>57</v>
      </c>
      <c r="C947" s="52" t="s">
        <v>856</v>
      </c>
      <c r="D947" s="52" t="s">
        <v>857</v>
      </c>
      <c r="E947" s="52" t="s">
        <v>387</v>
      </c>
      <c r="F947" s="52" t="s">
        <v>2702</v>
      </c>
      <c r="G947" s="52" t="s">
        <v>60</v>
      </c>
      <c r="H947" s="54">
        <v>46143</v>
      </c>
      <c r="I947" s="52" t="s">
        <v>2304</v>
      </c>
      <c r="J947" s="52" t="s">
        <v>2333</v>
      </c>
      <c r="K947" s="52" t="s">
        <v>2703</v>
      </c>
      <c r="L947" s="52" t="s">
        <v>2703</v>
      </c>
      <c r="M947" s="52" t="s">
        <v>29</v>
      </c>
      <c r="N947" s="53">
        <v>-79</v>
      </c>
      <c r="O947" s="53">
        <v>-79</v>
      </c>
      <c r="P947" s="52" t="s">
        <v>2704</v>
      </c>
      <c r="Q947" s="52" t="s">
        <v>2623</v>
      </c>
      <c r="R947" s="55" t="s">
        <v>64</v>
      </c>
      <c r="S947" s="52" t="s">
        <v>2333</v>
      </c>
    </row>
    <row r="948" spans="1:19" hidden="1" outlineLevel="2" x14ac:dyDescent="0.45">
      <c r="A948" t="s">
        <v>17</v>
      </c>
      <c r="B948" s="52" t="s">
        <v>57</v>
      </c>
      <c r="C948" s="52" t="s">
        <v>856</v>
      </c>
      <c r="D948" s="52" t="s">
        <v>857</v>
      </c>
      <c r="E948" s="52" t="s">
        <v>387</v>
      </c>
      <c r="F948" s="52" t="s">
        <v>2705</v>
      </c>
      <c r="G948" s="52" t="s">
        <v>60</v>
      </c>
      <c r="H948" s="54">
        <v>46143</v>
      </c>
      <c r="I948" s="52" t="s">
        <v>2304</v>
      </c>
      <c r="J948" s="52" t="s">
        <v>2333</v>
      </c>
      <c r="K948" s="52" t="s">
        <v>2706</v>
      </c>
      <c r="L948" s="52" t="s">
        <v>2706</v>
      </c>
      <c r="M948" s="52" t="s">
        <v>29</v>
      </c>
      <c r="N948" s="53">
        <v>-79</v>
      </c>
      <c r="O948" s="53">
        <v>-79</v>
      </c>
      <c r="P948" s="52" t="s">
        <v>2707</v>
      </c>
      <c r="Q948" s="52" t="s">
        <v>2623</v>
      </c>
      <c r="R948" s="55" t="s">
        <v>64</v>
      </c>
      <c r="S948" s="52" t="s">
        <v>2333</v>
      </c>
    </row>
    <row r="949" spans="1:19" hidden="1" outlineLevel="2" x14ac:dyDescent="0.45">
      <c r="A949" t="s">
        <v>17</v>
      </c>
      <c r="B949" s="52" t="s">
        <v>57</v>
      </c>
      <c r="C949" s="52" t="s">
        <v>656</v>
      </c>
      <c r="D949" s="52" t="s">
        <v>657</v>
      </c>
      <c r="E949" s="52" t="s">
        <v>387</v>
      </c>
      <c r="F949" s="52" t="s">
        <v>1918</v>
      </c>
      <c r="G949" s="52" t="s">
        <v>60</v>
      </c>
      <c r="H949" s="54">
        <v>46143</v>
      </c>
      <c r="I949" s="52" t="s">
        <v>2304</v>
      </c>
      <c r="J949" s="52" t="s">
        <v>2445</v>
      </c>
      <c r="K949" s="52" t="s">
        <v>2614</v>
      </c>
      <c r="L949" s="52" t="s">
        <v>2614</v>
      </c>
      <c r="M949" s="52" t="s">
        <v>29</v>
      </c>
      <c r="N949" s="53">
        <v>-67.209999999999994</v>
      </c>
      <c r="O949" s="53">
        <v>-67.209999999999994</v>
      </c>
      <c r="P949" s="52" t="s">
        <v>2615</v>
      </c>
      <c r="Q949" s="52" t="s">
        <v>2616</v>
      </c>
      <c r="R949" s="55" t="s">
        <v>64</v>
      </c>
      <c r="S949" s="52" t="s">
        <v>2445</v>
      </c>
    </row>
    <row r="950" spans="1:19" hidden="1" outlineLevel="2" x14ac:dyDescent="0.45">
      <c r="A950" t="s">
        <v>17</v>
      </c>
      <c r="B950" s="52" t="s">
        <v>57</v>
      </c>
      <c r="C950" s="52" t="s">
        <v>656</v>
      </c>
      <c r="D950" s="52" t="s">
        <v>657</v>
      </c>
      <c r="E950" s="52" t="s">
        <v>387</v>
      </c>
      <c r="F950" s="52" t="s">
        <v>2617</v>
      </c>
      <c r="G950" s="52" t="s">
        <v>60</v>
      </c>
      <c r="H950" s="54">
        <v>46143</v>
      </c>
      <c r="I950" s="52" t="s">
        <v>2304</v>
      </c>
      <c r="J950" s="52" t="s">
        <v>2328</v>
      </c>
      <c r="K950" s="52" t="s">
        <v>2618</v>
      </c>
      <c r="L950" s="52" t="s">
        <v>2618</v>
      </c>
      <c r="M950" s="52" t="s">
        <v>29</v>
      </c>
      <c r="N950" s="53">
        <v>-67.209999999999994</v>
      </c>
      <c r="O950" s="53">
        <v>-67.209999999999994</v>
      </c>
      <c r="P950" s="52" t="s">
        <v>2619</v>
      </c>
      <c r="Q950" s="52" t="s">
        <v>2620</v>
      </c>
      <c r="R950" s="55" t="s">
        <v>64</v>
      </c>
      <c r="S950" s="52" t="s">
        <v>2328</v>
      </c>
    </row>
    <row r="951" spans="1:19" hidden="1" outlineLevel="2" x14ac:dyDescent="0.45">
      <c r="A951" t="s">
        <v>17</v>
      </c>
      <c r="B951" s="52" t="s">
        <v>57</v>
      </c>
      <c r="C951" s="52" t="s">
        <v>620</v>
      </c>
      <c r="D951" s="52" t="s">
        <v>621</v>
      </c>
      <c r="E951" s="52" t="s">
        <v>387</v>
      </c>
      <c r="F951" s="52" t="s">
        <v>2708</v>
      </c>
      <c r="G951" s="52" t="s">
        <v>60</v>
      </c>
      <c r="H951" s="54">
        <v>46143</v>
      </c>
      <c r="I951" s="52" t="s">
        <v>2304</v>
      </c>
      <c r="J951" s="52" t="s">
        <v>2333</v>
      </c>
      <c r="K951" s="52" t="s">
        <v>1301</v>
      </c>
      <c r="L951" s="52" t="s">
        <v>1301</v>
      </c>
      <c r="M951" s="52" t="s">
        <v>29</v>
      </c>
      <c r="N951" s="53">
        <v>-64</v>
      </c>
      <c r="O951" s="53">
        <v>-64</v>
      </c>
      <c r="P951" s="52" t="s">
        <v>2709</v>
      </c>
      <c r="Q951" s="52" t="s">
        <v>2623</v>
      </c>
      <c r="R951" s="55" t="s">
        <v>64</v>
      </c>
      <c r="S951" s="52" t="s">
        <v>2333</v>
      </c>
    </row>
    <row r="952" spans="1:19" hidden="1" outlineLevel="2" x14ac:dyDescent="0.45">
      <c r="A952" t="s">
        <v>17</v>
      </c>
      <c r="B952" s="52" t="s">
        <v>66</v>
      </c>
      <c r="C952" s="52" t="s">
        <v>349</v>
      </c>
      <c r="D952" s="52" t="s">
        <v>350</v>
      </c>
      <c r="E952" s="52" t="s">
        <v>387</v>
      </c>
      <c r="F952" s="52" t="s">
        <v>2710</v>
      </c>
      <c r="G952" s="52" t="s">
        <v>60</v>
      </c>
      <c r="H952" s="54">
        <v>46143</v>
      </c>
      <c r="I952" s="52" t="s">
        <v>2304</v>
      </c>
      <c r="J952" s="52" t="s">
        <v>2445</v>
      </c>
      <c r="K952" s="52" t="s">
        <v>2711</v>
      </c>
      <c r="L952" s="52" t="s">
        <v>2711</v>
      </c>
      <c r="M952" s="52" t="s">
        <v>67</v>
      </c>
      <c r="N952" s="53">
        <v>-4.59</v>
      </c>
      <c r="O952" s="53">
        <v>-15.79</v>
      </c>
      <c r="P952" s="52" t="s">
        <v>2712</v>
      </c>
      <c r="Q952" s="52" t="s">
        <v>2713</v>
      </c>
      <c r="R952" s="55" t="s">
        <v>64</v>
      </c>
      <c r="S952" s="52" t="s">
        <v>2445</v>
      </c>
    </row>
    <row r="953" spans="1:19" hidden="1" outlineLevel="2" x14ac:dyDescent="0.45">
      <c r="A953" t="s">
        <v>17</v>
      </c>
      <c r="B953" s="52" t="s">
        <v>57</v>
      </c>
      <c r="C953" s="52" t="s">
        <v>349</v>
      </c>
      <c r="D953" s="52" t="s">
        <v>350</v>
      </c>
      <c r="E953" s="52" t="s">
        <v>387</v>
      </c>
      <c r="F953" s="52" t="s">
        <v>2394</v>
      </c>
      <c r="G953" s="52" t="s">
        <v>60</v>
      </c>
      <c r="H953" s="54">
        <v>46143</v>
      </c>
      <c r="I953" s="52" t="s">
        <v>2304</v>
      </c>
      <c r="J953" s="52" t="s">
        <v>2328</v>
      </c>
      <c r="K953" s="52" t="s">
        <v>2714</v>
      </c>
      <c r="L953" s="52" t="s">
        <v>2714</v>
      </c>
      <c r="M953" s="52" t="s">
        <v>29</v>
      </c>
      <c r="N953" s="53">
        <v>-0.05</v>
      </c>
      <c r="O953" s="53">
        <v>-0.05</v>
      </c>
      <c r="P953" s="52" t="s">
        <v>2715</v>
      </c>
      <c r="Q953" s="52" t="s">
        <v>2395</v>
      </c>
      <c r="R953" s="55" t="s">
        <v>64</v>
      </c>
      <c r="S953" s="52" t="s">
        <v>2328</v>
      </c>
    </row>
    <row r="954" spans="1:19" hidden="1" outlineLevel="2" x14ac:dyDescent="0.45">
      <c r="A954" s="63" t="s">
        <v>17</v>
      </c>
      <c r="B954" s="64" t="s">
        <v>57</v>
      </c>
      <c r="C954" s="64" t="s">
        <v>349</v>
      </c>
      <c r="D954" s="64" t="s">
        <v>350</v>
      </c>
      <c r="E954" s="64" t="s">
        <v>387</v>
      </c>
      <c r="F954" s="64" t="s">
        <v>2716</v>
      </c>
      <c r="G954" s="64" t="s">
        <v>60</v>
      </c>
      <c r="H954" s="54">
        <v>46143</v>
      </c>
      <c r="I954" s="64" t="s">
        <v>2304</v>
      </c>
      <c r="J954" s="64" t="s">
        <v>2338</v>
      </c>
      <c r="K954" s="64" t="s">
        <v>2717</v>
      </c>
      <c r="L954" s="64" t="s">
        <v>2717</v>
      </c>
      <c r="M954" s="64" t="s">
        <v>29</v>
      </c>
      <c r="N954" s="65">
        <v>-227462.26</v>
      </c>
      <c r="O954" s="65">
        <v>-227462.26</v>
      </c>
      <c r="P954" s="64" t="s">
        <v>2718</v>
      </c>
      <c r="Q954" s="64" t="s">
        <v>2718</v>
      </c>
      <c r="R954" s="64" t="s">
        <v>64</v>
      </c>
      <c r="S954" s="64" t="s">
        <v>2338</v>
      </c>
    </row>
    <row r="955" spans="1:19" s="70" customFormat="1" hidden="1" outlineLevel="2" x14ac:dyDescent="0.45">
      <c r="A955" s="70" t="s">
        <v>17</v>
      </c>
      <c r="B955" s="71" t="s">
        <v>57</v>
      </c>
      <c r="C955" s="71" t="s">
        <v>442</v>
      </c>
      <c r="D955" s="71" t="s">
        <v>443</v>
      </c>
      <c r="E955" s="71" t="s">
        <v>387</v>
      </c>
      <c r="F955" s="71" t="s">
        <v>2597</v>
      </c>
      <c r="G955" s="71" t="s">
        <v>60</v>
      </c>
      <c r="H955" s="72">
        <v>46143</v>
      </c>
      <c r="I955" s="71" t="s">
        <v>2304</v>
      </c>
      <c r="J955" s="71" t="s">
        <v>2321</v>
      </c>
      <c r="K955" s="71" t="s">
        <v>2598</v>
      </c>
      <c r="L955" s="71" t="s">
        <v>2598</v>
      </c>
      <c r="M955" s="71" t="s">
        <v>29</v>
      </c>
      <c r="N955" s="73">
        <v>-2394.33</v>
      </c>
      <c r="O955" s="73">
        <v>-2394.33</v>
      </c>
      <c r="P955" s="71" t="s">
        <v>2599</v>
      </c>
      <c r="Q955" s="71" t="s">
        <v>2600</v>
      </c>
      <c r="R955" s="75" t="s">
        <v>64</v>
      </c>
      <c r="S955" s="71" t="s">
        <v>2321</v>
      </c>
    </row>
    <row r="956" spans="1:19" s="70" customFormat="1" hidden="1" outlineLevel="2" x14ac:dyDescent="0.45">
      <c r="A956" s="70" t="s">
        <v>17</v>
      </c>
      <c r="B956" s="71" t="s">
        <v>57</v>
      </c>
      <c r="C956" s="71" t="s">
        <v>442</v>
      </c>
      <c r="D956" s="71" t="s">
        <v>443</v>
      </c>
      <c r="E956" s="71" t="s">
        <v>71</v>
      </c>
      <c r="F956" s="71" t="s">
        <v>2719</v>
      </c>
      <c r="G956" s="71" t="s">
        <v>73</v>
      </c>
      <c r="H956" s="72">
        <v>46143</v>
      </c>
      <c r="I956" s="71" t="s">
        <v>2304</v>
      </c>
      <c r="J956" s="71" t="s">
        <v>2321</v>
      </c>
      <c r="K956" s="71" t="s">
        <v>2720</v>
      </c>
      <c r="L956" s="71" t="s">
        <v>2720</v>
      </c>
      <c r="M956" s="71" t="s">
        <v>29</v>
      </c>
      <c r="N956" s="73">
        <v>2394.33</v>
      </c>
      <c r="O956" s="73">
        <v>2394.33</v>
      </c>
      <c r="P956" s="71" t="s">
        <v>2599</v>
      </c>
      <c r="Q956" s="71" t="s">
        <v>2721</v>
      </c>
      <c r="R956" s="75" t="s">
        <v>64</v>
      </c>
      <c r="S956" s="71" t="s">
        <v>2321</v>
      </c>
    </row>
    <row r="957" spans="1:19" hidden="1" outlineLevel="2" x14ac:dyDescent="0.45">
      <c r="A957" t="s">
        <v>17</v>
      </c>
      <c r="B957" s="52" t="s">
        <v>66</v>
      </c>
      <c r="C957" s="52"/>
      <c r="D957" s="52"/>
      <c r="E957" s="52" t="s">
        <v>367</v>
      </c>
      <c r="F957" s="52" t="s">
        <v>2722</v>
      </c>
      <c r="G957" s="52" t="s">
        <v>369</v>
      </c>
      <c r="H957" s="54">
        <v>46143</v>
      </c>
      <c r="I957" s="52" t="s">
        <v>2304</v>
      </c>
      <c r="J957" s="52" t="s">
        <v>2723</v>
      </c>
      <c r="K957" s="52"/>
      <c r="L957" s="52"/>
      <c r="M957" s="52" t="s">
        <v>67</v>
      </c>
      <c r="N957" s="53">
        <v>0</v>
      </c>
      <c r="O957" s="53">
        <v>-1109.95</v>
      </c>
      <c r="P957" s="52" t="s">
        <v>370</v>
      </c>
      <c r="Q957" s="52" t="s">
        <v>370</v>
      </c>
      <c r="R957" s="55" t="s">
        <v>64</v>
      </c>
      <c r="S957" s="52" t="s">
        <v>2723</v>
      </c>
    </row>
    <row r="958" spans="1:19" outlineLevel="1" collapsed="1" x14ac:dyDescent="0.45">
      <c r="A958" s="1" t="s">
        <v>1744</v>
      </c>
      <c r="B958" s="52"/>
      <c r="C958" s="52"/>
      <c r="D958" s="52"/>
      <c r="E958" s="52"/>
      <c r="F958" s="52"/>
      <c r="G958" s="52"/>
      <c r="H958" s="54"/>
      <c r="I958" s="52"/>
      <c r="J958" s="52"/>
      <c r="K958" s="52"/>
      <c r="L958" s="52"/>
      <c r="M958" s="52"/>
      <c r="N958" s="53"/>
      <c r="O958" s="53">
        <f>SUBTOTAL(9,O842:O957)</f>
        <v>-693222.28999999992</v>
      </c>
      <c r="P958" s="52"/>
      <c r="Q958" s="52"/>
      <c r="R958" s="55"/>
      <c r="S958" s="52"/>
    </row>
    <row r="959" spans="1:19" hidden="1" outlineLevel="2" x14ac:dyDescent="0.45">
      <c r="A959" t="s">
        <v>18</v>
      </c>
      <c r="B959" s="52" t="s">
        <v>57</v>
      </c>
      <c r="C959" s="52" t="s">
        <v>1745</v>
      </c>
      <c r="D959" s="52" t="s">
        <v>1746</v>
      </c>
      <c r="E959" s="52" t="s">
        <v>387</v>
      </c>
      <c r="F959" s="52" t="s">
        <v>2724</v>
      </c>
      <c r="G959" s="52" t="s">
        <v>60</v>
      </c>
      <c r="H959" s="54">
        <v>46143</v>
      </c>
      <c r="I959" s="52" t="s">
        <v>2304</v>
      </c>
      <c r="J959" s="52" t="s">
        <v>2308</v>
      </c>
      <c r="K959" s="52" t="s">
        <v>2725</v>
      </c>
      <c r="L959" s="52" t="s">
        <v>2725</v>
      </c>
      <c r="M959" s="52" t="s">
        <v>29</v>
      </c>
      <c r="N959" s="53">
        <v>-59450</v>
      </c>
      <c r="O959" s="53">
        <v>-59450</v>
      </c>
      <c r="P959" s="52" t="s">
        <v>2726</v>
      </c>
      <c r="Q959" s="52" t="s">
        <v>2727</v>
      </c>
      <c r="R959" s="55" t="s">
        <v>64</v>
      </c>
      <c r="S959" s="52" t="s">
        <v>2308</v>
      </c>
    </row>
    <row r="960" spans="1:19" hidden="1" outlineLevel="2" x14ac:dyDescent="0.45">
      <c r="A960" t="s">
        <v>18</v>
      </c>
      <c r="B960" s="52" t="s">
        <v>57</v>
      </c>
      <c r="C960" s="52" t="s">
        <v>1745</v>
      </c>
      <c r="D960" s="52" t="s">
        <v>1746</v>
      </c>
      <c r="E960" s="52" t="s">
        <v>387</v>
      </c>
      <c r="F960" s="52" t="s">
        <v>2728</v>
      </c>
      <c r="G960" s="52" t="s">
        <v>60</v>
      </c>
      <c r="H960" s="54">
        <v>46143</v>
      </c>
      <c r="I960" s="52" t="s">
        <v>2304</v>
      </c>
      <c r="J960" s="52" t="s">
        <v>2308</v>
      </c>
      <c r="K960" s="52" t="s">
        <v>2729</v>
      </c>
      <c r="L960" s="52" t="s">
        <v>2729</v>
      </c>
      <c r="M960" s="52" t="s">
        <v>29</v>
      </c>
      <c r="N960" s="53">
        <v>-30568</v>
      </c>
      <c r="O960" s="53">
        <v>-30568</v>
      </c>
      <c r="P960" s="52" t="s">
        <v>2730</v>
      </c>
      <c r="Q960" s="52" t="s">
        <v>2731</v>
      </c>
      <c r="R960" s="55" t="s">
        <v>64</v>
      </c>
      <c r="S960" s="52" t="s">
        <v>2308</v>
      </c>
    </row>
    <row r="961" spans="1:19" hidden="1" outlineLevel="2" x14ac:dyDescent="0.45">
      <c r="A961" t="s">
        <v>18</v>
      </c>
      <c r="B961" s="52" t="s">
        <v>57</v>
      </c>
      <c r="C961" s="52" t="s">
        <v>1745</v>
      </c>
      <c r="D961" s="52" t="s">
        <v>1746</v>
      </c>
      <c r="E961" s="52" t="s">
        <v>387</v>
      </c>
      <c r="F961" s="52" t="s">
        <v>2420</v>
      </c>
      <c r="G961" s="52" t="s">
        <v>60</v>
      </c>
      <c r="H961" s="54">
        <v>46143</v>
      </c>
      <c r="I961" s="52" t="s">
        <v>2304</v>
      </c>
      <c r="J961" s="52" t="s">
        <v>2321</v>
      </c>
      <c r="K961" s="52" t="s">
        <v>2732</v>
      </c>
      <c r="L961" s="52" t="s">
        <v>2732</v>
      </c>
      <c r="M961" s="52" t="s">
        <v>29</v>
      </c>
      <c r="N961" s="53">
        <v>-4494</v>
      </c>
      <c r="O961" s="53">
        <v>-4494</v>
      </c>
      <c r="P961" s="52" t="s">
        <v>2733</v>
      </c>
      <c r="Q961" s="52" t="s">
        <v>2423</v>
      </c>
      <c r="R961" s="55" t="s">
        <v>64</v>
      </c>
      <c r="S961" s="52" t="s">
        <v>2321</v>
      </c>
    </row>
    <row r="962" spans="1:19" hidden="1" outlineLevel="2" x14ac:dyDescent="0.45">
      <c r="A962" t="s">
        <v>18</v>
      </c>
      <c r="B962" s="52" t="s">
        <v>57</v>
      </c>
      <c r="C962" s="52" t="s">
        <v>1745</v>
      </c>
      <c r="D962" s="52" t="s">
        <v>1746</v>
      </c>
      <c r="E962" s="52" t="s">
        <v>387</v>
      </c>
      <c r="F962" s="52" t="s">
        <v>2724</v>
      </c>
      <c r="G962" s="52" t="s">
        <v>60</v>
      </c>
      <c r="H962" s="54">
        <v>46143</v>
      </c>
      <c r="I962" s="52" t="s">
        <v>2304</v>
      </c>
      <c r="J962" s="52" t="s">
        <v>2308</v>
      </c>
      <c r="K962" s="52" t="s">
        <v>2725</v>
      </c>
      <c r="L962" s="52" t="s">
        <v>2725</v>
      </c>
      <c r="M962" s="52" t="s">
        <v>29</v>
      </c>
      <c r="N962" s="53">
        <v>-1623</v>
      </c>
      <c r="O962" s="53">
        <v>-1623</v>
      </c>
      <c r="P962" s="52" t="s">
        <v>2726</v>
      </c>
      <c r="Q962" s="52" t="s">
        <v>2727</v>
      </c>
      <c r="R962" s="55" t="s">
        <v>64</v>
      </c>
      <c r="S962" s="52" t="s">
        <v>2308</v>
      </c>
    </row>
    <row r="963" spans="1:19" hidden="1" outlineLevel="2" x14ac:dyDescent="0.45">
      <c r="A963" t="s">
        <v>18</v>
      </c>
      <c r="B963" s="52" t="s">
        <v>57</v>
      </c>
      <c r="C963" s="52" t="s">
        <v>1745</v>
      </c>
      <c r="D963" s="52" t="s">
        <v>1746</v>
      </c>
      <c r="E963" s="52" t="s">
        <v>387</v>
      </c>
      <c r="F963" s="52" t="s">
        <v>2724</v>
      </c>
      <c r="G963" s="52" t="s">
        <v>60</v>
      </c>
      <c r="H963" s="54">
        <v>46143</v>
      </c>
      <c r="I963" s="52" t="s">
        <v>2304</v>
      </c>
      <c r="J963" s="52" t="s">
        <v>2308</v>
      </c>
      <c r="K963" s="52" t="s">
        <v>2725</v>
      </c>
      <c r="L963" s="52" t="s">
        <v>2725</v>
      </c>
      <c r="M963" s="52" t="s">
        <v>29</v>
      </c>
      <c r="N963" s="53">
        <v>-1486</v>
      </c>
      <c r="O963" s="53">
        <v>-1486</v>
      </c>
      <c r="P963" s="52" t="s">
        <v>2726</v>
      </c>
      <c r="Q963" s="52" t="s">
        <v>2727</v>
      </c>
      <c r="R963" s="55" t="s">
        <v>64</v>
      </c>
      <c r="S963" s="52" t="s">
        <v>2308</v>
      </c>
    </row>
    <row r="964" spans="1:19" hidden="1" outlineLevel="2" x14ac:dyDescent="0.45">
      <c r="A964" t="s">
        <v>18</v>
      </c>
      <c r="B964" s="52" t="s">
        <v>65</v>
      </c>
      <c r="C964" s="52" t="s">
        <v>1745</v>
      </c>
      <c r="D964" s="52" t="s">
        <v>1746</v>
      </c>
      <c r="E964" s="52" t="s">
        <v>387</v>
      </c>
      <c r="F964" s="52" t="s">
        <v>2734</v>
      </c>
      <c r="G964" s="52" t="s">
        <v>60</v>
      </c>
      <c r="H964" s="54">
        <v>46143</v>
      </c>
      <c r="I964" s="52" t="s">
        <v>2304</v>
      </c>
      <c r="J964" s="52" t="s">
        <v>2308</v>
      </c>
      <c r="K964" s="52" t="s">
        <v>2729</v>
      </c>
      <c r="L964" s="52" t="s">
        <v>2729</v>
      </c>
      <c r="M964" s="52" t="s">
        <v>29</v>
      </c>
      <c r="N964" s="53">
        <v>-14160</v>
      </c>
      <c r="O964" s="53">
        <v>-14160</v>
      </c>
      <c r="P964" s="52" t="s">
        <v>2730</v>
      </c>
      <c r="Q964" s="52" t="s">
        <v>2735</v>
      </c>
      <c r="R964" s="52" t="s">
        <v>64</v>
      </c>
      <c r="S964" s="52" t="s">
        <v>2308</v>
      </c>
    </row>
    <row r="965" spans="1:19" hidden="1" outlineLevel="2" x14ac:dyDescent="0.45">
      <c r="A965" t="s">
        <v>18</v>
      </c>
      <c r="B965" s="52" t="s">
        <v>57</v>
      </c>
      <c r="C965" s="52" t="s">
        <v>1745</v>
      </c>
      <c r="D965" s="52" t="s">
        <v>1746</v>
      </c>
      <c r="E965" s="52" t="s">
        <v>387</v>
      </c>
      <c r="F965" s="52" t="s">
        <v>2420</v>
      </c>
      <c r="G965" s="52" t="s">
        <v>60</v>
      </c>
      <c r="H965" s="54">
        <v>46143</v>
      </c>
      <c r="I965" s="52" t="s">
        <v>2304</v>
      </c>
      <c r="J965" s="52" t="s">
        <v>2321</v>
      </c>
      <c r="K965" s="52" t="s">
        <v>2736</v>
      </c>
      <c r="L965" s="52" t="s">
        <v>2737</v>
      </c>
      <c r="M965" s="52" t="s">
        <v>29</v>
      </c>
      <c r="N965" s="53">
        <v>-6924.65</v>
      </c>
      <c r="O965" s="53">
        <v>-6924.65</v>
      </c>
      <c r="P965" s="52" t="s">
        <v>1769</v>
      </c>
      <c r="Q965" s="52" t="s">
        <v>2423</v>
      </c>
      <c r="R965" s="52" t="s">
        <v>64</v>
      </c>
      <c r="S965" s="52" t="s">
        <v>2321</v>
      </c>
    </row>
    <row r="966" spans="1:19" hidden="1" outlineLevel="2" x14ac:dyDescent="0.45">
      <c r="A966" t="s">
        <v>18</v>
      </c>
      <c r="B966" s="52" t="s">
        <v>57</v>
      </c>
      <c r="C966" s="52" t="s">
        <v>1745</v>
      </c>
      <c r="D966" s="52" t="s">
        <v>1746</v>
      </c>
      <c r="E966" s="52" t="s">
        <v>387</v>
      </c>
      <c r="F966" s="52" t="s">
        <v>2420</v>
      </c>
      <c r="G966" s="52" t="s">
        <v>60</v>
      </c>
      <c r="H966" s="54">
        <v>46143</v>
      </c>
      <c r="I966" s="52" t="s">
        <v>2304</v>
      </c>
      <c r="J966" s="52" t="s">
        <v>2321</v>
      </c>
      <c r="K966" s="52" t="s">
        <v>2738</v>
      </c>
      <c r="L966" s="52" t="s">
        <v>2739</v>
      </c>
      <c r="M966" s="52" t="s">
        <v>29</v>
      </c>
      <c r="N966" s="53">
        <v>-17061.61</v>
      </c>
      <c r="O966" s="53">
        <v>-17061.61</v>
      </c>
      <c r="P966" s="52" t="s">
        <v>1766</v>
      </c>
      <c r="Q966" s="52" t="s">
        <v>2423</v>
      </c>
      <c r="R966" s="52" t="s">
        <v>64</v>
      </c>
      <c r="S966" s="52" t="s">
        <v>2321</v>
      </c>
    </row>
    <row r="967" spans="1:19" hidden="1" outlineLevel="2" x14ac:dyDescent="0.45">
      <c r="A967" t="s">
        <v>18</v>
      </c>
      <c r="B967" s="52" t="s">
        <v>57</v>
      </c>
      <c r="C967" s="52" t="s">
        <v>1745</v>
      </c>
      <c r="D967" s="52" t="s">
        <v>1746</v>
      </c>
      <c r="E967" s="52" t="s">
        <v>387</v>
      </c>
      <c r="F967" s="52" t="s">
        <v>2420</v>
      </c>
      <c r="G967" s="52" t="s">
        <v>60</v>
      </c>
      <c r="H967" s="54">
        <v>46143</v>
      </c>
      <c r="I967" s="52" t="s">
        <v>2304</v>
      </c>
      <c r="J967" s="52" t="s">
        <v>2321</v>
      </c>
      <c r="K967" s="52" t="s">
        <v>2740</v>
      </c>
      <c r="L967" s="52" t="s">
        <v>2741</v>
      </c>
      <c r="M967" s="52" t="s">
        <v>29</v>
      </c>
      <c r="N967" s="53">
        <v>-32836.5</v>
      </c>
      <c r="O967" s="53">
        <v>-32836.5</v>
      </c>
      <c r="P967" s="52" t="s">
        <v>1762</v>
      </c>
      <c r="Q967" s="52" t="s">
        <v>2423</v>
      </c>
      <c r="R967" s="52" t="s">
        <v>64</v>
      </c>
      <c r="S967" s="52" t="s">
        <v>2321</v>
      </c>
    </row>
    <row r="968" spans="1:19" outlineLevel="1" collapsed="1" x14ac:dyDescent="0.45">
      <c r="A968" s="1" t="s">
        <v>1834</v>
      </c>
      <c r="B968" s="52"/>
      <c r="C968" s="52"/>
      <c r="D968" s="52"/>
      <c r="E968" s="52"/>
      <c r="F968" s="52"/>
      <c r="G968" s="52"/>
      <c r="H968" s="54"/>
      <c r="I968" s="52"/>
      <c r="J968" s="52"/>
      <c r="K968" s="52"/>
      <c r="L968" s="52"/>
      <c r="M968" s="52"/>
      <c r="N968" s="53"/>
      <c r="O968" s="53">
        <f>SUBTOTAL(9,O959:O967)</f>
        <v>-168603.76</v>
      </c>
      <c r="P968" s="52"/>
      <c r="Q968" s="52"/>
      <c r="R968" s="52"/>
      <c r="S968" s="52"/>
    </row>
    <row r="969" spans="1:19" x14ac:dyDescent="0.45">
      <c r="A969" s="1" t="s">
        <v>3383</v>
      </c>
      <c r="B969" s="52"/>
      <c r="C969" s="52"/>
      <c r="D969" s="52"/>
      <c r="E969" s="52"/>
      <c r="F969" s="52"/>
      <c r="G969" s="52"/>
      <c r="H969" s="54"/>
      <c r="I969" s="52"/>
      <c r="J969" s="52"/>
      <c r="K969" s="52"/>
      <c r="L969" s="52"/>
      <c r="M969" s="52"/>
      <c r="N969" s="53"/>
      <c r="O969" s="92">
        <f>SUBTOTAL(9,O807:O967)</f>
        <v>36302.069999999207</v>
      </c>
      <c r="P969" s="52"/>
      <c r="Q969" s="52"/>
      <c r="R969" s="52"/>
      <c r="S969" s="52"/>
    </row>
    <row r="970" spans="1:19" x14ac:dyDescent="0.45">
      <c r="A970" s="1"/>
      <c r="B970" s="52"/>
      <c r="C970" s="52"/>
      <c r="D970" s="52"/>
      <c r="E970" s="52"/>
      <c r="F970" s="52"/>
      <c r="G970" s="52"/>
      <c r="H970" s="54"/>
      <c r="I970" s="52"/>
      <c r="J970" s="52"/>
      <c r="K970" s="52"/>
      <c r="L970" s="52"/>
      <c r="M970" s="52"/>
      <c r="N970" s="53"/>
      <c r="O970" s="51"/>
      <c r="P970" s="52"/>
      <c r="Q970" s="52"/>
      <c r="R970" s="52"/>
      <c r="S970" s="52"/>
    </row>
    <row r="971" spans="1:19" x14ac:dyDescent="0.45">
      <c r="A971" s="1"/>
      <c r="B971" s="52"/>
      <c r="C971" s="52"/>
      <c r="D971" s="52"/>
      <c r="E971" s="52"/>
      <c r="F971" s="52"/>
      <c r="G971" s="52"/>
      <c r="H971" s="54"/>
      <c r="I971" s="52"/>
      <c r="J971" s="52"/>
      <c r="K971" s="52"/>
      <c r="L971" s="52"/>
      <c r="M971" s="52"/>
      <c r="N971" s="53"/>
      <c r="O971" s="51"/>
      <c r="P971" s="52"/>
      <c r="Q971" s="52"/>
      <c r="R971" s="52"/>
      <c r="S971" s="52"/>
    </row>
    <row r="972" spans="1:19" x14ac:dyDescent="0.45">
      <c r="A972" s="44" t="s">
        <v>37</v>
      </c>
      <c r="B972" s="45" t="s">
        <v>38</v>
      </c>
      <c r="C972" s="46" t="s">
        <v>39</v>
      </c>
      <c r="D972" s="46" t="s">
        <v>40</v>
      </c>
      <c r="E972" s="46" t="s">
        <v>41</v>
      </c>
      <c r="F972" s="47" t="s">
        <v>42</v>
      </c>
      <c r="G972" s="47" t="s">
        <v>43</v>
      </c>
      <c r="H972" s="46" t="s">
        <v>2831</v>
      </c>
      <c r="I972" s="47" t="s">
        <v>45</v>
      </c>
      <c r="J972" s="46" t="s">
        <v>46</v>
      </c>
      <c r="K972" s="47" t="s">
        <v>47</v>
      </c>
      <c r="L972" s="47" t="s">
        <v>48</v>
      </c>
      <c r="M972" s="45" t="s">
        <v>49</v>
      </c>
      <c r="N972" s="48" t="s">
        <v>50</v>
      </c>
      <c r="O972" s="48" t="s">
        <v>51</v>
      </c>
      <c r="P972" s="47" t="s">
        <v>52</v>
      </c>
      <c r="Q972" s="47" t="s">
        <v>53</v>
      </c>
      <c r="R972" s="49" t="s">
        <v>54</v>
      </c>
      <c r="S972" s="46" t="s">
        <v>2742</v>
      </c>
    </row>
    <row r="973" spans="1:19" hidden="1" outlineLevel="2" x14ac:dyDescent="0.45">
      <c r="A973" s="52" t="s">
        <v>14</v>
      </c>
      <c r="B973" s="52" t="s">
        <v>57</v>
      </c>
      <c r="C973" s="52" t="s">
        <v>187</v>
      </c>
      <c r="D973" s="52" t="s">
        <v>188</v>
      </c>
      <c r="E973" s="52" t="s">
        <v>71</v>
      </c>
      <c r="F973" s="52" t="s">
        <v>2856</v>
      </c>
      <c r="G973" s="52" t="s">
        <v>73</v>
      </c>
      <c r="H973" s="52" t="s">
        <v>2857</v>
      </c>
      <c r="I973" s="52" t="s">
        <v>2833</v>
      </c>
      <c r="J973" s="52" t="s">
        <v>2858</v>
      </c>
      <c r="K973" s="52" t="s">
        <v>2859</v>
      </c>
      <c r="L973" s="52" t="s">
        <v>2859</v>
      </c>
      <c r="M973" s="52" t="s">
        <v>29</v>
      </c>
      <c r="N973" s="84">
        <v>103840</v>
      </c>
      <c r="O973" s="84">
        <v>103840</v>
      </c>
      <c r="P973" s="52" t="s">
        <v>1867</v>
      </c>
      <c r="Q973" s="52" t="s">
        <v>118</v>
      </c>
      <c r="R973" s="52" t="s">
        <v>64</v>
      </c>
      <c r="S973" s="52" t="s">
        <v>2311</v>
      </c>
    </row>
    <row r="974" spans="1:19" hidden="1" outlineLevel="2" x14ac:dyDescent="0.45">
      <c r="A974" s="52" t="s">
        <v>14</v>
      </c>
      <c r="B974" s="52" t="s">
        <v>57</v>
      </c>
      <c r="C974" s="52" t="s">
        <v>187</v>
      </c>
      <c r="D974" s="52" t="s">
        <v>188</v>
      </c>
      <c r="E974" s="52" t="s">
        <v>71</v>
      </c>
      <c r="F974" s="52" t="s">
        <v>2862</v>
      </c>
      <c r="G974" s="52" t="s">
        <v>73</v>
      </c>
      <c r="H974" s="52" t="s">
        <v>2863</v>
      </c>
      <c r="I974" s="52" t="s">
        <v>2833</v>
      </c>
      <c r="J974" s="52" t="s">
        <v>2858</v>
      </c>
      <c r="K974" s="52" t="s">
        <v>2864</v>
      </c>
      <c r="L974" s="52" t="s">
        <v>2864</v>
      </c>
      <c r="M974" s="52" t="s">
        <v>29</v>
      </c>
      <c r="N974" s="84">
        <v>103840</v>
      </c>
      <c r="O974" s="84">
        <v>103840</v>
      </c>
      <c r="P974" s="52" t="s">
        <v>2323</v>
      </c>
      <c r="Q974" s="52" t="s">
        <v>118</v>
      </c>
      <c r="R974" s="52" t="s">
        <v>64</v>
      </c>
      <c r="S974" s="52" t="s">
        <v>2311</v>
      </c>
    </row>
    <row r="975" spans="1:19" hidden="1" outlineLevel="2" x14ac:dyDescent="0.45">
      <c r="A975" s="52" t="s">
        <v>14</v>
      </c>
      <c r="B975" s="52" t="s">
        <v>57</v>
      </c>
      <c r="C975" s="52" t="s">
        <v>187</v>
      </c>
      <c r="D975" s="52" t="s">
        <v>188</v>
      </c>
      <c r="E975" s="52" t="s">
        <v>71</v>
      </c>
      <c r="F975" s="52" t="s">
        <v>2865</v>
      </c>
      <c r="G975" s="52" t="s">
        <v>73</v>
      </c>
      <c r="H975" s="52" t="s">
        <v>2866</v>
      </c>
      <c r="I975" s="52" t="s">
        <v>2833</v>
      </c>
      <c r="J975" s="52" t="s">
        <v>2867</v>
      </c>
      <c r="K975" s="52" t="s">
        <v>2868</v>
      </c>
      <c r="L975" s="52" t="s">
        <v>2868</v>
      </c>
      <c r="M975" s="52" t="s">
        <v>29</v>
      </c>
      <c r="N975" s="84">
        <v>51920</v>
      </c>
      <c r="O975" s="84">
        <v>51920</v>
      </c>
      <c r="P975" s="52" t="s">
        <v>2869</v>
      </c>
      <c r="Q975" s="52" t="s">
        <v>2870</v>
      </c>
      <c r="R975" s="52" t="s">
        <v>64</v>
      </c>
      <c r="S975" s="52" t="s">
        <v>210</v>
      </c>
    </row>
    <row r="976" spans="1:19" hidden="1" outlineLevel="2" x14ac:dyDescent="0.45">
      <c r="A976" s="52" t="s">
        <v>14</v>
      </c>
      <c r="B976" s="52" t="s">
        <v>57</v>
      </c>
      <c r="C976" s="52" t="s">
        <v>187</v>
      </c>
      <c r="D976" s="52" t="s">
        <v>188</v>
      </c>
      <c r="E976" s="52" t="s">
        <v>71</v>
      </c>
      <c r="F976" s="52" t="s">
        <v>2871</v>
      </c>
      <c r="G976" s="52" t="s">
        <v>73</v>
      </c>
      <c r="H976" s="52" t="s">
        <v>2643</v>
      </c>
      <c r="I976" s="52" t="s">
        <v>2833</v>
      </c>
      <c r="J976" s="52" t="s">
        <v>2867</v>
      </c>
      <c r="K976" s="52" t="s">
        <v>2872</v>
      </c>
      <c r="L976" s="52" t="s">
        <v>2872</v>
      </c>
      <c r="M976" s="52" t="s">
        <v>29</v>
      </c>
      <c r="N976" s="84">
        <v>51920</v>
      </c>
      <c r="O976" s="84">
        <v>51920</v>
      </c>
      <c r="P976" s="52" t="s">
        <v>2869</v>
      </c>
      <c r="Q976" s="52" t="s">
        <v>2873</v>
      </c>
      <c r="R976" s="52" t="s">
        <v>64</v>
      </c>
      <c r="S976" s="52" t="s">
        <v>301</v>
      </c>
    </row>
    <row r="977" spans="1:19" hidden="1" outlineLevel="2" x14ac:dyDescent="0.45">
      <c r="A977" s="52" t="s">
        <v>14</v>
      </c>
      <c r="B977" s="52" t="s">
        <v>57</v>
      </c>
      <c r="C977" s="52" t="s">
        <v>187</v>
      </c>
      <c r="D977" s="52" t="s">
        <v>188</v>
      </c>
      <c r="E977" s="52" t="s">
        <v>71</v>
      </c>
      <c r="F977" s="52" t="s">
        <v>2874</v>
      </c>
      <c r="G977" s="52" t="s">
        <v>73</v>
      </c>
      <c r="H977" s="52" t="s">
        <v>2875</v>
      </c>
      <c r="I977" s="52" t="s">
        <v>2833</v>
      </c>
      <c r="J977" s="52" t="s">
        <v>2867</v>
      </c>
      <c r="K977" s="52" t="s">
        <v>2876</v>
      </c>
      <c r="L977" s="52" t="s">
        <v>2876</v>
      </c>
      <c r="M977" s="52" t="s">
        <v>29</v>
      </c>
      <c r="N977" s="84">
        <v>103840</v>
      </c>
      <c r="O977" s="84">
        <v>103840</v>
      </c>
      <c r="P977" s="52" t="s">
        <v>2877</v>
      </c>
      <c r="Q977" s="52" t="s">
        <v>2878</v>
      </c>
      <c r="R977" s="52" t="s">
        <v>64</v>
      </c>
      <c r="S977" s="52" t="s">
        <v>2723</v>
      </c>
    </row>
    <row r="978" spans="1:19" hidden="1" outlineLevel="2" x14ac:dyDescent="0.45">
      <c r="A978" s="52" t="s">
        <v>14</v>
      </c>
      <c r="B978" s="52" t="s">
        <v>57</v>
      </c>
      <c r="C978" s="52" t="s">
        <v>187</v>
      </c>
      <c r="D978" s="52" t="s">
        <v>188</v>
      </c>
      <c r="E978" s="52" t="s">
        <v>71</v>
      </c>
      <c r="F978" s="52" t="s">
        <v>2879</v>
      </c>
      <c r="G978" s="52" t="s">
        <v>73</v>
      </c>
      <c r="H978" s="52" t="s">
        <v>2880</v>
      </c>
      <c r="I978" s="52" t="s">
        <v>2833</v>
      </c>
      <c r="J978" s="52" t="s">
        <v>2867</v>
      </c>
      <c r="K978" s="52" t="s">
        <v>2881</v>
      </c>
      <c r="L978" s="52" t="s">
        <v>2881</v>
      </c>
      <c r="M978" s="52" t="s">
        <v>29</v>
      </c>
      <c r="N978" s="84">
        <v>51920</v>
      </c>
      <c r="O978" s="84">
        <v>51920</v>
      </c>
      <c r="P978" s="52" t="s">
        <v>2882</v>
      </c>
      <c r="Q978" s="52" t="s">
        <v>2883</v>
      </c>
      <c r="R978" s="52" t="s">
        <v>64</v>
      </c>
      <c r="S978" s="52" t="s">
        <v>383</v>
      </c>
    </row>
    <row r="979" spans="1:19" hidden="1" outlineLevel="2" x14ac:dyDescent="0.45">
      <c r="A979" s="52" t="s">
        <v>14</v>
      </c>
      <c r="B979" s="52" t="s">
        <v>57</v>
      </c>
      <c r="C979" s="52" t="s">
        <v>187</v>
      </c>
      <c r="D979" s="52" t="s">
        <v>188</v>
      </c>
      <c r="E979" s="52" t="s">
        <v>71</v>
      </c>
      <c r="F979" s="52" t="s">
        <v>2884</v>
      </c>
      <c r="G979" s="52" t="s">
        <v>73</v>
      </c>
      <c r="H979" s="52" t="s">
        <v>59</v>
      </c>
      <c r="I979" s="52" t="s">
        <v>2833</v>
      </c>
      <c r="J979" s="52" t="s">
        <v>2885</v>
      </c>
      <c r="K979" s="52" t="s">
        <v>2886</v>
      </c>
      <c r="L979" s="52" t="s">
        <v>2886</v>
      </c>
      <c r="M979" s="52" t="s">
        <v>29</v>
      </c>
      <c r="N979" s="84">
        <v>51920</v>
      </c>
      <c r="O979" s="84">
        <v>51920</v>
      </c>
      <c r="P979" s="52" t="s">
        <v>2882</v>
      </c>
      <c r="Q979" s="52" t="s">
        <v>2887</v>
      </c>
      <c r="R979" s="52" t="s">
        <v>64</v>
      </c>
      <c r="S979" s="52" t="s">
        <v>2311</v>
      </c>
    </row>
    <row r="980" spans="1:19" hidden="1" outlineLevel="2" x14ac:dyDescent="0.45">
      <c r="A980" s="52" t="s">
        <v>14</v>
      </c>
      <c r="B980" s="52" t="s">
        <v>57</v>
      </c>
      <c r="C980" s="52" t="s">
        <v>187</v>
      </c>
      <c r="D980" s="52" t="s">
        <v>188</v>
      </c>
      <c r="E980" s="52" t="s">
        <v>71</v>
      </c>
      <c r="F980" s="52" t="s">
        <v>2888</v>
      </c>
      <c r="G980" s="52" t="s">
        <v>73</v>
      </c>
      <c r="H980" s="52" t="s">
        <v>2817</v>
      </c>
      <c r="I980" s="52" t="s">
        <v>2833</v>
      </c>
      <c r="J980" s="52" t="s">
        <v>2889</v>
      </c>
      <c r="K980" s="52" t="s">
        <v>2890</v>
      </c>
      <c r="L980" s="52" t="s">
        <v>2890</v>
      </c>
      <c r="M980" s="52" t="s">
        <v>29</v>
      </c>
      <c r="N980" s="84">
        <v>51920</v>
      </c>
      <c r="O980" s="84">
        <v>51920</v>
      </c>
      <c r="P980" s="52" t="s">
        <v>2891</v>
      </c>
      <c r="Q980" s="52" t="s">
        <v>2892</v>
      </c>
      <c r="R980" s="52" t="s">
        <v>64</v>
      </c>
      <c r="S980" s="52" t="s">
        <v>2723</v>
      </c>
    </row>
    <row r="981" spans="1:19" hidden="1" outlineLevel="2" x14ac:dyDescent="0.45">
      <c r="A981" s="52" t="s">
        <v>14</v>
      </c>
      <c r="B981" s="52" t="s">
        <v>57</v>
      </c>
      <c r="C981" s="52" t="s">
        <v>96</v>
      </c>
      <c r="D981" s="52" t="s">
        <v>97</v>
      </c>
      <c r="E981" s="52" t="s">
        <v>71</v>
      </c>
      <c r="F981" s="52" t="s">
        <v>2893</v>
      </c>
      <c r="G981" s="52" t="s">
        <v>73</v>
      </c>
      <c r="H981" s="52"/>
      <c r="I981" s="52" t="s">
        <v>2833</v>
      </c>
      <c r="J981" s="52" t="s">
        <v>2889</v>
      </c>
      <c r="K981" s="52"/>
      <c r="L981" s="52"/>
      <c r="M981" s="52" t="s">
        <v>29</v>
      </c>
      <c r="N981" s="84">
        <v>496444.38</v>
      </c>
      <c r="O981" s="84">
        <v>496444.38</v>
      </c>
      <c r="P981" s="52" t="s">
        <v>2894</v>
      </c>
      <c r="Q981" s="52" t="s">
        <v>2894</v>
      </c>
      <c r="R981" s="52" t="s">
        <v>64</v>
      </c>
      <c r="S981" s="52"/>
    </row>
    <row r="982" spans="1:19" hidden="1" outlineLevel="2" x14ac:dyDescent="0.45">
      <c r="A982" s="52" t="s">
        <v>14</v>
      </c>
      <c r="B982" s="52" t="s">
        <v>57</v>
      </c>
      <c r="C982" s="52" t="s">
        <v>187</v>
      </c>
      <c r="D982" s="52" t="s">
        <v>188</v>
      </c>
      <c r="E982" s="52" t="s">
        <v>71</v>
      </c>
      <c r="F982" s="52" t="s">
        <v>2895</v>
      </c>
      <c r="G982" s="52" t="s">
        <v>73</v>
      </c>
      <c r="H982" s="52" t="s">
        <v>2896</v>
      </c>
      <c r="I982" s="52" t="s">
        <v>2833</v>
      </c>
      <c r="J982" s="52" t="s">
        <v>2897</v>
      </c>
      <c r="K982" s="52" t="s">
        <v>2898</v>
      </c>
      <c r="L982" s="52" t="s">
        <v>2898</v>
      </c>
      <c r="M982" s="52" t="s">
        <v>29</v>
      </c>
      <c r="N982" s="84">
        <v>103840</v>
      </c>
      <c r="O982" s="84">
        <v>103840</v>
      </c>
      <c r="P982" s="52" t="s">
        <v>2899</v>
      </c>
      <c r="Q982" s="52" t="s">
        <v>2900</v>
      </c>
      <c r="R982" s="52" t="s">
        <v>64</v>
      </c>
      <c r="S982" s="52" t="s">
        <v>2723</v>
      </c>
    </row>
    <row r="983" spans="1:19" hidden="1" outlineLevel="2" x14ac:dyDescent="0.45">
      <c r="A983" s="52" t="s">
        <v>14</v>
      </c>
      <c r="B983" s="52" t="s">
        <v>65</v>
      </c>
      <c r="C983" s="52" t="s">
        <v>187</v>
      </c>
      <c r="D983" s="52" t="s">
        <v>188</v>
      </c>
      <c r="E983" s="52" t="s">
        <v>71</v>
      </c>
      <c r="F983" s="52" t="s">
        <v>2901</v>
      </c>
      <c r="G983" s="52" t="s">
        <v>73</v>
      </c>
      <c r="H983" s="52" t="s">
        <v>2857</v>
      </c>
      <c r="I983" s="52" t="s">
        <v>2833</v>
      </c>
      <c r="J983" s="52" t="s">
        <v>2902</v>
      </c>
      <c r="K983" s="52" t="s">
        <v>2859</v>
      </c>
      <c r="L983" s="52" t="s">
        <v>2859</v>
      </c>
      <c r="M983" s="52" t="s">
        <v>29</v>
      </c>
      <c r="N983" s="84">
        <v>14160</v>
      </c>
      <c r="O983" s="84">
        <v>14160</v>
      </c>
      <c r="P983" s="52" t="s">
        <v>1867</v>
      </c>
      <c r="Q983" s="52" t="s">
        <v>2903</v>
      </c>
      <c r="R983" s="52" t="s">
        <v>64</v>
      </c>
      <c r="S983" s="52" t="s">
        <v>2311</v>
      </c>
    </row>
    <row r="984" spans="1:19" hidden="1" outlineLevel="2" x14ac:dyDescent="0.45">
      <c r="A984" s="52" t="s">
        <v>14</v>
      </c>
      <c r="B984" s="52" t="s">
        <v>65</v>
      </c>
      <c r="C984" s="52" t="s">
        <v>187</v>
      </c>
      <c r="D984" s="52" t="s">
        <v>188</v>
      </c>
      <c r="E984" s="52" t="s">
        <v>71</v>
      </c>
      <c r="F984" s="52" t="s">
        <v>2544</v>
      </c>
      <c r="G984" s="52" t="s">
        <v>73</v>
      </c>
      <c r="H984" s="52" t="s">
        <v>2904</v>
      </c>
      <c r="I984" s="52" t="s">
        <v>2833</v>
      </c>
      <c r="J984" s="52" t="s">
        <v>2905</v>
      </c>
      <c r="K984" s="52" t="s">
        <v>2322</v>
      </c>
      <c r="L984" s="52" t="s">
        <v>2322</v>
      </c>
      <c r="M984" s="52" t="s">
        <v>29</v>
      </c>
      <c r="N984" s="84">
        <v>14160</v>
      </c>
      <c r="O984" s="84">
        <v>14160</v>
      </c>
      <c r="P984" s="52" t="s">
        <v>2323</v>
      </c>
      <c r="Q984" s="52" t="s">
        <v>2906</v>
      </c>
      <c r="R984" s="52" t="s">
        <v>64</v>
      </c>
      <c r="S984" s="52" t="s">
        <v>383</v>
      </c>
    </row>
    <row r="985" spans="1:19" hidden="1" outlineLevel="2" x14ac:dyDescent="0.45">
      <c r="A985" s="52" t="s">
        <v>14</v>
      </c>
      <c r="B985" s="52" t="s">
        <v>65</v>
      </c>
      <c r="C985" s="52" t="s">
        <v>187</v>
      </c>
      <c r="D985" s="52" t="s">
        <v>188</v>
      </c>
      <c r="E985" s="52" t="s">
        <v>71</v>
      </c>
      <c r="F985" s="52" t="s">
        <v>2907</v>
      </c>
      <c r="G985" s="52" t="s">
        <v>73</v>
      </c>
      <c r="H985" s="52" t="s">
        <v>2863</v>
      </c>
      <c r="I985" s="52" t="s">
        <v>2833</v>
      </c>
      <c r="J985" s="52" t="s">
        <v>2905</v>
      </c>
      <c r="K985" s="52" t="s">
        <v>2864</v>
      </c>
      <c r="L985" s="52" t="s">
        <v>2864</v>
      </c>
      <c r="M985" s="52" t="s">
        <v>29</v>
      </c>
      <c r="N985" s="84">
        <v>14160</v>
      </c>
      <c r="O985" s="84">
        <v>14160</v>
      </c>
      <c r="P985" s="52" t="s">
        <v>2323</v>
      </c>
      <c r="Q985" s="52" t="s">
        <v>2908</v>
      </c>
      <c r="R985" s="52" t="s">
        <v>64</v>
      </c>
      <c r="S985" s="52" t="s">
        <v>2311</v>
      </c>
    </row>
    <row r="986" spans="1:19" hidden="1" outlineLevel="2" x14ac:dyDescent="0.45">
      <c r="A986" s="52" t="s">
        <v>14</v>
      </c>
      <c r="B986" s="52" t="s">
        <v>65</v>
      </c>
      <c r="C986" s="52" t="s">
        <v>187</v>
      </c>
      <c r="D986" s="52" t="s">
        <v>188</v>
      </c>
      <c r="E986" s="52" t="s">
        <v>71</v>
      </c>
      <c r="F986" s="52" t="s">
        <v>2909</v>
      </c>
      <c r="G986" s="52" t="s">
        <v>73</v>
      </c>
      <c r="H986" s="52" t="s">
        <v>2866</v>
      </c>
      <c r="I986" s="52" t="s">
        <v>2833</v>
      </c>
      <c r="J986" s="52" t="s">
        <v>2910</v>
      </c>
      <c r="K986" s="52" t="s">
        <v>2868</v>
      </c>
      <c r="L986" s="52" t="s">
        <v>2868</v>
      </c>
      <c r="M986" s="52" t="s">
        <v>29</v>
      </c>
      <c r="N986" s="84">
        <v>7080</v>
      </c>
      <c r="O986" s="84">
        <v>7080</v>
      </c>
      <c r="P986" s="52" t="s">
        <v>2869</v>
      </c>
      <c r="Q986" s="52" t="s">
        <v>2911</v>
      </c>
      <c r="R986" s="52" t="s">
        <v>64</v>
      </c>
      <c r="S986" s="52" t="s">
        <v>210</v>
      </c>
    </row>
    <row r="987" spans="1:19" hidden="1" outlineLevel="2" x14ac:dyDescent="0.45">
      <c r="A987" s="52" t="s">
        <v>14</v>
      </c>
      <c r="B987" s="52" t="s">
        <v>65</v>
      </c>
      <c r="C987" s="52" t="s">
        <v>187</v>
      </c>
      <c r="D987" s="52" t="s">
        <v>188</v>
      </c>
      <c r="E987" s="52" t="s">
        <v>71</v>
      </c>
      <c r="F987" s="52" t="s">
        <v>2912</v>
      </c>
      <c r="G987" s="52" t="s">
        <v>73</v>
      </c>
      <c r="H987" s="52" t="s">
        <v>2643</v>
      </c>
      <c r="I987" s="52" t="s">
        <v>2833</v>
      </c>
      <c r="J987" s="52" t="s">
        <v>2910</v>
      </c>
      <c r="K987" s="52" t="s">
        <v>2872</v>
      </c>
      <c r="L987" s="52" t="s">
        <v>2872</v>
      </c>
      <c r="M987" s="52" t="s">
        <v>29</v>
      </c>
      <c r="N987" s="84">
        <v>7080</v>
      </c>
      <c r="O987" s="84">
        <v>7080</v>
      </c>
      <c r="P987" s="52" t="s">
        <v>2869</v>
      </c>
      <c r="Q987" s="52" t="s">
        <v>2873</v>
      </c>
      <c r="R987" s="52" t="s">
        <v>64</v>
      </c>
      <c r="S987" s="52" t="s">
        <v>301</v>
      </c>
    </row>
    <row r="988" spans="1:19" hidden="1" outlineLevel="2" x14ac:dyDescent="0.45">
      <c r="A988" s="52" t="s">
        <v>14</v>
      </c>
      <c r="B988" s="52" t="s">
        <v>65</v>
      </c>
      <c r="C988" s="52" t="s">
        <v>187</v>
      </c>
      <c r="D988" s="52" t="s">
        <v>188</v>
      </c>
      <c r="E988" s="52" t="s">
        <v>71</v>
      </c>
      <c r="F988" s="52" t="s">
        <v>2913</v>
      </c>
      <c r="G988" s="52" t="s">
        <v>73</v>
      </c>
      <c r="H988" s="52" t="s">
        <v>2880</v>
      </c>
      <c r="I988" s="52" t="s">
        <v>2833</v>
      </c>
      <c r="J988" s="52" t="s">
        <v>2910</v>
      </c>
      <c r="K988" s="52" t="s">
        <v>2881</v>
      </c>
      <c r="L988" s="52" t="s">
        <v>2881</v>
      </c>
      <c r="M988" s="52" t="s">
        <v>29</v>
      </c>
      <c r="N988" s="84">
        <v>7080</v>
      </c>
      <c r="O988" s="84">
        <v>7080</v>
      </c>
      <c r="P988" s="52" t="s">
        <v>2882</v>
      </c>
      <c r="Q988" s="52" t="s">
        <v>2914</v>
      </c>
      <c r="R988" s="52" t="s">
        <v>64</v>
      </c>
      <c r="S988" s="52" t="s">
        <v>383</v>
      </c>
    </row>
    <row r="989" spans="1:19" hidden="1" outlineLevel="2" x14ac:dyDescent="0.45">
      <c r="A989" s="52" t="s">
        <v>14</v>
      </c>
      <c r="B989" s="52" t="s">
        <v>65</v>
      </c>
      <c r="C989" s="52" t="s">
        <v>187</v>
      </c>
      <c r="D989" s="52" t="s">
        <v>188</v>
      </c>
      <c r="E989" s="52" t="s">
        <v>71</v>
      </c>
      <c r="F989" s="52" t="s">
        <v>2915</v>
      </c>
      <c r="G989" s="52" t="s">
        <v>73</v>
      </c>
      <c r="H989" s="52" t="s">
        <v>2896</v>
      </c>
      <c r="I989" s="52" t="s">
        <v>2833</v>
      </c>
      <c r="J989" s="52" t="s">
        <v>2910</v>
      </c>
      <c r="K989" s="52" t="s">
        <v>2898</v>
      </c>
      <c r="L989" s="52" t="s">
        <v>2898</v>
      </c>
      <c r="M989" s="52" t="s">
        <v>29</v>
      </c>
      <c r="N989" s="84">
        <v>14160</v>
      </c>
      <c r="O989" s="84">
        <v>14160</v>
      </c>
      <c r="P989" s="52" t="s">
        <v>2899</v>
      </c>
      <c r="Q989" s="52" t="s">
        <v>2916</v>
      </c>
      <c r="R989" s="52" t="s">
        <v>64</v>
      </c>
      <c r="S989" s="52" t="s">
        <v>2723</v>
      </c>
    </row>
    <row r="990" spans="1:19" outlineLevel="1" collapsed="1" x14ac:dyDescent="0.45">
      <c r="A990" s="1" t="s">
        <v>337</v>
      </c>
      <c r="B990" s="52"/>
      <c r="C990" s="52"/>
      <c r="D990" s="52"/>
      <c r="E990" s="52"/>
      <c r="F990" s="52"/>
      <c r="G990" s="52"/>
      <c r="H990" s="54"/>
      <c r="I990" s="52"/>
      <c r="J990" s="52"/>
      <c r="K990" s="52"/>
      <c r="L990" s="52"/>
      <c r="M990" s="52"/>
      <c r="N990" s="53"/>
      <c r="O990" s="53">
        <f>SUBTOTAL(9,O973:O989)</f>
        <v>1249284.3799999999</v>
      </c>
      <c r="P990" s="52"/>
      <c r="Q990" s="52"/>
      <c r="R990" s="52"/>
      <c r="S990" s="52"/>
    </row>
    <row r="991" spans="1:19" hidden="1" outlineLevel="2" x14ac:dyDescent="0.45">
      <c r="A991" s="52" t="s">
        <v>15</v>
      </c>
      <c r="B991" s="52" t="s">
        <v>57</v>
      </c>
      <c r="C991" s="52"/>
      <c r="D991" s="52" t="s">
        <v>338</v>
      </c>
      <c r="E991" s="52" t="s">
        <v>71</v>
      </c>
      <c r="F991" s="52" t="s">
        <v>2917</v>
      </c>
      <c r="G991" s="52" t="s">
        <v>73</v>
      </c>
      <c r="H991" s="52" t="s">
        <v>59</v>
      </c>
      <c r="I991" s="52" t="s">
        <v>2833</v>
      </c>
      <c r="J991" s="52" t="s">
        <v>2918</v>
      </c>
      <c r="K991" s="52" t="s">
        <v>2919</v>
      </c>
      <c r="L991" s="52" t="s">
        <v>2919</v>
      </c>
      <c r="M991" s="52" t="s">
        <v>29</v>
      </c>
      <c r="N991" s="84">
        <v>51000</v>
      </c>
      <c r="O991" s="84">
        <v>51000</v>
      </c>
      <c r="P991" s="52" t="s">
        <v>2920</v>
      </c>
      <c r="Q991" s="52" t="s">
        <v>2921</v>
      </c>
      <c r="R991" s="52" t="s">
        <v>64</v>
      </c>
      <c r="S991" s="52" t="s">
        <v>2918</v>
      </c>
    </row>
    <row r="992" spans="1:19" hidden="1" outlineLevel="2" x14ac:dyDescent="0.45">
      <c r="A992" s="71" t="s">
        <v>15</v>
      </c>
      <c r="B992" s="71" t="s">
        <v>57</v>
      </c>
      <c r="C992" s="71" t="s">
        <v>349</v>
      </c>
      <c r="D992" s="71" t="s">
        <v>350</v>
      </c>
      <c r="E992" s="71" t="s">
        <v>387</v>
      </c>
      <c r="F992" s="71" t="s">
        <v>2922</v>
      </c>
      <c r="G992" s="71" t="s">
        <v>60</v>
      </c>
      <c r="H992" s="71" t="s">
        <v>2923</v>
      </c>
      <c r="I992" s="71" t="s">
        <v>2833</v>
      </c>
      <c r="J992" s="71" t="s">
        <v>2924</v>
      </c>
      <c r="K992" s="71" t="s">
        <v>2925</v>
      </c>
      <c r="L992" s="71" t="s">
        <v>2925</v>
      </c>
      <c r="M992" s="71" t="s">
        <v>29</v>
      </c>
      <c r="N992" s="85">
        <v>-58951.26</v>
      </c>
      <c r="O992" s="85">
        <v>-58951.26</v>
      </c>
      <c r="P992" s="71" t="s">
        <v>2718</v>
      </c>
      <c r="Q992" s="71" t="s">
        <v>2718</v>
      </c>
      <c r="R992" s="71" t="s">
        <v>64</v>
      </c>
      <c r="S992" s="71" t="s">
        <v>2924</v>
      </c>
    </row>
    <row r="993" spans="1:19" hidden="1" outlineLevel="2" x14ac:dyDescent="0.45">
      <c r="A993" s="71" t="s">
        <v>15</v>
      </c>
      <c r="B993" s="71" t="s">
        <v>57</v>
      </c>
      <c r="C993" s="71" t="s">
        <v>376</v>
      </c>
      <c r="D993" s="71" t="s">
        <v>377</v>
      </c>
      <c r="E993" s="71" t="s">
        <v>71</v>
      </c>
      <c r="F993" s="71" t="s">
        <v>2927</v>
      </c>
      <c r="G993" s="71" t="s">
        <v>73</v>
      </c>
      <c r="H993" s="71" t="s">
        <v>59</v>
      </c>
      <c r="I993" s="71" t="s">
        <v>2833</v>
      </c>
      <c r="J993" s="71" t="s">
        <v>2924</v>
      </c>
      <c r="K993" s="71" t="s">
        <v>2928</v>
      </c>
      <c r="L993" s="71" t="s">
        <v>2928</v>
      </c>
      <c r="M993" s="71" t="s">
        <v>29</v>
      </c>
      <c r="N993" s="85">
        <v>59637.25</v>
      </c>
      <c r="O993" s="85">
        <v>59637.25</v>
      </c>
      <c r="P993" s="71" t="s">
        <v>2929</v>
      </c>
      <c r="Q993" s="71" t="s">
        <v>2930</v>
      </c>
      <c r="R993" s="71" t="s">
        <v>64</v>
      </c>
      <c r="S993" s="71" t="s">
        <v>2924</v>
      </c>
    </row>
    <row r="994" spans="1:19" hidden="1" outlineLevel="2" x14ac:dyDescent="0.45">
      <c r="A994" s="52" t="s">
        <v>15</v>
      </c>
      <c r="B994" s="52" t="s">
        <v>57</v>
      </c>
      <c r="C994" s="52"/>
      <c r="D994" s="52" t="s">
        <v>338</v>
      </c>
      <c r="E994" s="52" t="s">
        <v>71</v>
      </c>
      <c r="F994" s="52" t="s">
        <v>2931</v>
      </c>
      <c r="G994" s="52" t="s">
        <v>73</v>
      </c>
      <c r="H994" s="52" t="s">
        <v>59</v>
      </c>
      <c r="I994" s="52" t="s">
        <v>2833</v>
      </c>
      <c r="J994" s="52" t="s">
        <v>2932</v>
      </c>
      <c r="K994" s="52" t="s">
        <v>2933</v>
      </c>
      <c r="L994" s="52" t="s">
        <v>2933</v>
      </c>
      <c r="M994" s="52" t="s">
        <v>29</v>
      </c>
      <c r="N994" s="84">
        <v>182000</v>
      </c>
      <c r="O994" s="84">
        <v>182000</v>
      </c>
      <c r="P994" s="52" t="s">
        <v>2934</v>
      </c>
      <c r="Q994" s="52" t="s">
        <v>2935</v>
      </c>
      <c r="R994" s="52" t="s">
        <v>64</v>
      </c>
      <c r="S994" s="52" t="s">
        <v>2932</v>
      </c>
    </row>
    <row r="995" spans="1:19" outlineLevel="1" collapsed="1" x14ac:dyDescent="0.45">
      <c r="A995" s="1" t="s">
        <v>384</v>
      </c>
      <c r="B995" s="52"/>
      <c r="C995" s="52"/>
      <c r="D995" s="52"/>
      <c r="E995" s="52"/>
      <c r="F995" s="52"/>
      <c r="G995" s="52"/>
      <c r="H995" s="54"/>
      <c r="I995" s="52"/>
      <c r="J995" s="52"/>
      <c r="K995" s="52"/>
      <c r="L995" s="52"/>
      <c r="M995" s="52"/>
      <c r="N995" s="53"/>
      <c r="O995" s="53">
        <f>SUBTOTAL(9,O991:O994)</f>
        <v>233685.99</v>
      </c>
      <c r="P995" s="52"/>
      <c r="Q995" s="52"/>
      <c r="R995" s="52"/>
      <c r="S995" s="52"/>
    </row>
    <row r="996" spans="1:19" hidden="1" outlineLevel="2" x14ac:dyDescent="0.45">
      <c r="A996" s="52" t="s">
        <v>16</v>
      </c>
      <c r="B996" s="52" t="s">
        <v>57</v>
      </c>
      <c r="C996" s="52" t="s">
        <v>410</v>
      </c>
      <c r="D996" s="52" t="s">
        <v>411</v>
      </c>
      <c r="E996" s="52" t="s">
        <v>387</v>
      </c>
      <c r="F996" s="52" t="s">
        <v>2936</v>
      </c>
      <c r="G996" s="52" t="s">
        <v>60</v>
      </c>
      <c r="H996" s="52" t="s">
        <v>2937</v>
      </c>
      <c r="I996" s="52" t="s">
        <v>2833</v>
      </c>
      <c r="J996" s="52" t="s">
        <v>2932</v>
      </c>
      <c r="K996" s="52" t="s">
        <v>2938</v>
      </c>
      <c r="L996" s="52" t="s">
        <v>2938</v>
      </c>
      <c r="M996" s="52" t="s">
        <v>29</v>
      </c>
      <c r="N996" s="84">
        <v>-20000</v>
      </c>
      <c r="O996" s="84">
        <v>-20000</v>
      </c>
      <c r="P996" s="52" t="s">
        <v>2939</v>
      </c>
      <c r="Q996" s="52" t="s">
        <v>2940</v>
      </c>
      <c r="R996" s="52" t="s">
        <v>64</v>
      </c>
      <c r="S996" s="52" t="s">
        <v>2932</v>
      </c>
    </row>
    <row r="997" spans="1:19" hidden="1" outlineLevel="2" x14ac:dyDescent="0.45">
      <c r="A997" s="52" t="s">
        <v>16</v>
      </c>
      <c r="B997" s="52" t="s">
        <v>57</v>
      </c>
      <c r="C997" s="52" t="s">
        <v>404</v>
      </c>
      <c r="D997" s="52" t="s">
        <v>405</v>
      </c>
      <c r="E997" s="52" t="s">
        <v>387</v>
      </c>
      <c r="F997" s="52" t="s">
        <v>2941</v>
      </c>
      <c r="G997" s="52" t="s">
        <v>60</v>
      </c>
      <c r="H997" s="52" t="s">
        <v>2942</v>
      </c>
      <c r="I997" s="52" t="s">
        <v>2833</v>
      </c>
      <c r="J997" s="52" t="s">
        <v>2932</v>
      </c>
      <c r="K997" s="52" t="s">
        <v>2943</v>
      </c>
      <c r="L997" s="52" t="s">
        <v>2943</v>
      </c>
      <c r="M997" s="52" t="s">
        <v>29</v>
      </c>
      <c r="N997" s="84">
        <v>-26864</v>
      </c>
      <c r="O997" s="84">
        <v>-26864</v>
      </c>
      <c r="P997" s="52" t="s">
        <v>2944</v>
      </c>
      <c r="Q997" s="52" t="s">
        <v>2945</v>
      </c>
      <c r="R997" s="52" t="s">
        <v>64</v>
      </c>
      <c r="S997" s="52" t="s">
        <v>2932</v>
      </c>
    </row>
    <row r="998" spans="1:19" hidden="1" outlineLevel="2" x14ac:dyDescent="0.45">
      <c r="A998" s="52" t="s">
        <v>16</v>
      </c>
      <c r="B998" s="52" t="s">
        <v>57</v>
      </c>
      <c r="C998" s="52" t="s">
        <v>455</v>
      </c>
      <c r="D998" s="52" t="s">
        <v>456</v>
      </c>
      <c r="E998" s="52" t="s">
        <v>387</v>
      </c>
      <c r="F998" s="52" t="s">
        <v>2946</v>
      </c>
      <c r="G998" s="52" t="s">
        <v>60</v>
      </c>
      <c r="H998" s="52" t="s">
        <v>2947</v>
      </c>
      <c r="I998" s="52" t="s">
        <v>2833</v>
      </c>
      <c r="J998" s="52" t="s">
        <v>2932</v>
      </c>
      <c r="K998" s="52" t="s">
        <v>2948</v>
      </c>
      <c r="L998" s="52" t="s">
        <v>2948</v>
      </c>
      <c r="M998" s="52" t="s">
        <v>29</v>
      </c>
      <c r="N998" s="84">
        <v>-600</v>
      </c>
      <c r="O998" s="84">
        <v>-600</v>
      </c>
      <c r="P998" s="52" t="s">
        <v>2949</v>
      </c>
      <c r="Q998" s="52" t="s">
        <v>2950</v>
      </c>
      <c r="R998" s="52" t="s">
        <v>64</v>
      </c>
      <c r="S998" s="52" t="s">
        <v>2951</v>
      </c>
    </row>
    <row r="999" spans="1:19" hidden="1" outlineLevel="2" x14ac:dyDescent="0.45">
      <c r="A999" s="52" t="s">
        <v>16</v>
      </c>
      <c r="B999" s="52" t="s">
        <v>57</v>
      </c>
      <c r="C999" s="52" t="s">
        <v>2952</v>
      </c>
      <c r="D999" s="52" t="s">
        <v>2953</v>
      </c>
      <c r="E999" s="52" t="s">
        <v>387</v>
      </c>
      <c r="F999" s="52" t="s">
        <v>2946</v>
      </c>
      <c r="G999" s="52" t="s">
        <v>60</v>
      </c>
      <c r="H999" s="52" t="s">
        <v>2954</v>
      </c>
      <c r="I999" s="52" t="s">
        <v>2833</v>
      </c>
      <c r="J999" s="52" t="s">
        <v>2932</v>
      </c>
      <c r="K999" s="52" t="s">
        <v>2955</v>
      </c>
      <c r="L999" s="52" t="s">
        <v>2955</v>
      </c>
      <c r="M999" s="52" t="s">
        <v>29</v>
      </c>
      <c r="N999" s="84">
        <v>-368</v>
      </c>
      <c r="O999" s="84">
        <v>-368</v>
      </c>
      <c r="P999" s="52" t="s">
        <v>2956</v>
      </c>
      <c r="Q999" s="52" t="s">
        <v>2950</v>
      </c>
      <c r="R999" s="52" t="s">
        <v>64</v>
      </c>
      <c r="S999" s="52" t="s">
        <v>2932</v>
      </c>
    </row>
    <row r="1000" spans="1:19" hidden="1" outlineLevel="2" x14ac:dyDescent="0.45">
      <c r="A1000" s="52" t="s">
        <v>16</v>
      </c>
      <c r="B1000" s="52" t="s">
        <v>57</v>
      </c>
      <c r="C1000" s="52" t="s">
        <v>2952</v>
      </c>
      <c r="D1000" s="52" t="s">
        <v>2953</v>
      </c>
      <c r="E1000" s="52" t="s">
        <v>387</v>
      </c>
      <c r="F1000" s="52" t="s">
        <v>2946</v>
      </c>
      <c r="G1000" s="52" t="s">
        <v>60</v>
      </c>
      <c r="H1000" s="52" t="s">
        <v>2857</v>
      </c>
      <c r="I1000" s="52" t="s">
        <v>2833</v>
      </c>
      <c r="J1000" s="52" t="s">
        <v>2932</v>
      </c>
      <c r="K1000" s="52" t="s">
        <v>2957</v>
      </c>
      <c r="L1000" s="52" t="s">
        <v>2957</v>
      </c>
      <c r="M1000" s="52" t="s">
        <v>29</v>
      </c>
      <c r="N1000" s="84">
        <v>-4232</v>
      </c>
      <c r="O1000" s="84">
        <v>-4232</v>
      </c>
      <c r="P1000" s="52" t="s">
        <v>2958</v>
      </c>
      <c r="Q1000" s="52" t="s">
        <v>2950</v>
      </c>
      <c r="R1000" s="52" t="s">
        <v>64</v>
      </c>
      <c r="S1000" s="52" t="s">
        <v>2932</v>
      </c>
    </row>
    <row r="1001" spans="1:19" hidden="1" outlineLevel="2" x14ac:dyDescent="0.45">
      <c r="A1001" s="52" t="s">
        <v>16</v>
      </c>
      <c r="B1001" s="52" t="s">
        <v>57</v>
      </c>
      <c r="C1001" s="52" t="s">
        <v>349</v>
      </c>
      <c r="D1001" s="52" t="s">
        <v>350</v>
      </c>
      <c r="E1001" s="52" t="s">
        <v>387</v>
      </c>
      <c r="F1001" s="52" t="s">
        <v>2959</v>
      </c>
      <c r="G1001" s="52" t="s">
        <v>60</v>
      </c>
      <c r="H1001" s="52" t="s">
        <v>2960</v>
      </c>
      <c r="I1001" s="52" t="s">
        <v>2833</v>
      </c>
      <c r="J1001" s="52" t="s">
        <v>2841</v>
      </c>
      <c r="K1001" s="52" t="s">
        <v>2961</v>
      </c>
      <c r="L1001" s="52" t="s">
        <v>2961</v>
      </c>
      <c r="M1001" s="52" t="s">
        <v>29</v>
      </c>
      <c r="N1001" s="84">
        <v>-1519.6</v>
      </c>
      <c r="O1001" s="84">
        <v>-1519.6</v>
      </c>
      <c r="P1001" s="52" t="s">
        <v>434</v>
      </c>
      <c r="Q1001" s="52" t="s">
        <v>2962</v>
      </c>
      <c r="R1001" s="52" t="s">
        <v>64</v>
      </c>
      <c r="S1001" s="52" t="s">
        <v>2932</v>
      </c>
    </row>
    <row r="1002" spans="1:19" hidden="1" outlineLevel="2" x14ac:dyDescent="0.45">
      <c r="A1002" s="52" t="s">
        <v>16</v>
      </c>
      <c r="B1002" s="52" t="s">
        <v>57</v>
      </c>
      <c r="C1002" s="52" t="s">
        <v>349</v>
      </c>
      <c r="D1002" s="52" t="s">
        <v>350</v>
      </c>
      <c r="E1002" s="52" t="s">
        <v>387</v>
      </c>
      <c r="F1002" s="52" t="s">
        <v>2959</v>
      </c>
      <c r="G1002" s="52" t="s">
        <v>60</v>
      </c>
      <c r="H1002" s="52" t="s">
        <v>2963</v>
      </c>
      <c r="I1002" s="52" t="s">
        <v>2833</v>
      </c>
      <c r="J1002" s="52" t="s">
        <v>2841</v>
      </c>
      <c r="K1002" s="52" t="s">
        <v>2964</v>
      </c>
      <c r="L1002" s="52" t="s">
        <v>2964</v>
      </c>
      <c r="M1002" s="52" t="s">
        <v>29</v>
      </c>
      <c r="N1002" s="84">
        <v>-11486.57</v>
      </c>
      <c r="O1002" s="84">
        <v>-11486.57</v>
      </c>
      <c r="P1002" s="52" t="s">
        <v>516</v>
      </c>
      <c r="Q1002" s="52" t="s">
        <v>2962</v>
      </c>
      <c r="R1002" s="52" t="s">
        <v>64</v>
      </c>
      <c r="S1002" s="52" t="s">
        <v>2932</v>
      </c>
    </row>
    <row r="1003" spans="1:19" hidden="1" outlineLevel="2" x14ac:dyDescent="0.45">
      <c r="A1003" s="52" t="s">
        <v>16</v>
      </c>
      <c r="B1003" s="52" t="s">
        <v>57</v>
      </c>
      <c r="C1003" s="52" t="s">
        <v>349</v>
      </c>
      <c r="D1003" s="52" t="s">
        <v>350</v>
      </c>
      <c r="E1003" s="52" t="s">
        <v>387</v>
      </c>
      <c r="F1003" s="52" t="s">
        <v>2965</v>
      </c>
      <c r="G1003" s="52" t="s">
        <v>60</v>
      </c>
      <c r="H1003" s="52" t="s">
        <v>2960</v>
      </c>
      <c r="I1003" s="52" t="s">
        <v>2833</v>
      </c>
      <c r="J1003" s="52" t="s">
        <v>2910</v>
      </c>
      <c r="K1003" s="52" t="s">
        <v>2961</v>
      </c>
      <c r="L1003" s="52" t="s">
        <v>2961</v>
      </c>
      <c r="M1003" s="52" t="s">
        <v>29</v>
      </c>
      <c r="N1003" s="84">
        <v>-5613.23</v>
      </c>
      <c r="O1003" s="84">
        <v>-5613.23</v>
      </c>
      <c r="P1003" s="52" t="s">
        <v>434</v>
      </c>
      <c r="Q1003" s="52" t="s">
        <v>2966</v>
      </c>
      <c r="R1003" s="52" t="s">
        <v>64</v>
      </c>
      <c r="S1003" s="52" t="s">
        <v>2932</v>
      </c>
    </row>
    <row r="1004" spans="1:19" hidden="1" outlineLevel="2" x14ac:dyDescent="0.45">
      <c r="A1004" s="52" t="s">
        <v>16</v>
      </c>
      <c r="B1004" s="52" t="s">
        <v>57</v>
      </c>
      <c r="C1004" s="52" t="s">
        <v>349</v>
      </c>
      <c r="D1004" s="52" t="s">
        <v>350</v>
      </c>
      <c r="E1004" s="52" t="s">
        <v>387</v>
      </c>
      <c r="F1004" s="52" t="s">
        <v>2965</v>
      </c>
      <c r="G1004" s="52" t="s">
        <v>60</v>
      </c>
      <c r="H1004" s="52" t="s">
        <v>2963</v>
      </c>
      <c r="I1004" s="52" t="s">
        <v>2833</v>
      </c>
      <c r="J1004" s="52" t="s">
        <v>2910</v>
      </c>
      <c r="K1004" s="52" t="s">
        <v>2964</v>
      </c>
      <c r="L1004" s="52" t="s">
        <v>2964</v>
      </c>
      <c r="M1004" s="52" t="s">
        <v>29</v>
      </c>
      <c r="N1004" s="84">
        <v>-17988.43</v>
      </c>
      <c r="O1004" s="84">
        <v>-17988.43</v>
      </c>
      <c r="P1004" s="52" t="s">
        <v>516</v>
      </c>
      <c r="Q1004" s="52" t="s">
        <v>2966</v>
      </c>
      <c r="R1004" s="52" t="s">
        <v>64</v>
      </c>
      <c r="S1004" s="52" t="s">
        <v>2932</v>
      </c>
    </row>
    <row r="1005" spans="1:19" hidden="1" outlineLevel="2" x14ac:dyDescent="0.45">
      <c r="A1005" s="52" t="s">
        <v>16</v>
      </c>
      <c r="B1005" s="52" t="s">
        <v>57</v>
      </c>
      <c r="C1005" s="52" t="s">
        <v>349</v>
      </c>
      <c r="D1005" s="52" t="s">
        <v>350</v>
      </c>
      <c r="E1005" s="52" t="s">
        <v>387</v>
      </c>
      <c r="F1005" s="52" t="s">
        <v>2967</v>
      </c>
      <c r="G1005" s="52" t="s">
        <v>60</v>
      </c>
      <c r="H1005" s="52" t="s">
        <v>2960</v>
      </c>
      <c r="I1005" s="52" t="s">
        <v>2833</v>
      </c>
      <c r="J1005" s="52" t="s">
        <v>2932</v>
      </c>
      <c r="K1005" s="52" t="s">
        <v>2961</v>
      </c>
      <c r="L1005" s="52" t="s">
        <v>2961</v>
      </c>
      <c r="M1005" s="52" t="s">
        <v>29</v>
      </c>
      <c r="N1005" s="84">
        <v>-85823.88</v>
      </c>
      <c r="O1005" s="84">
        <v>-85823.88</v>
      </c>
      <c r="P1005" s="52" t="s">
        <v>434</v>
      </c>
      <c r="Q1005" s="52" t="s">
        <v>2968</v>
      </c>
      <c r="R1005" s="52" t="s">
        <v>64</v>
      </c>
      <c r="S1005" s="52" t="s">
        <v>2932</v>
      </c>
    </row>
    <row r="1006" spans="1:19" hidden="1" outlineLevel="2" x14ac:dyDescent="0.45">
      <c r="A1006" s="52" t="s">
        <v>16</v>
      </c>
      <c r="B1006" s="52" t="s">
        <v>57</v>
      </c>
      <c r="C1006" s="52" t="s">
        <v>349</v>
      </c>
      <c r="D1006" s="52" t="s">
        <v>350</v>
      </c>
      <c r="E1006" s="52" t="s">
        <v>387</v>
      </c>
      <c r="F1006" s="52" t="s">
        <v>2969</v>
      </c>
      <c r="G1006" s="52" t="s">
        <v>60</v>
      </c>
      <c r="H1006" s="52" t="s">
        <v>2960</v>
      </c>
      <c r="I1006" s="52" t="s">
        <v>2833</v>
      </c>
      <c r="J1006" s="52" t="s">
        <v>2932</v>
      </c>
      <c r="K1006" s="52" t="s">
        <v>2961</v>
      </c>
      <c r="L1006" s="52" t="s">
        <v>2961</v>
      </c>
      <c r="M1006" s="52" t="s">
        <v>29</v>
      </c>
      <c r="N1006" s="84">
        <v>-30732.42</v>
      </c>
      <c r="O1006" s="84">
        <v>-30732.42</v>
      </c>
      <c r="P1006" s="52" t="s">
        <v>434</v>
      </c>
      <c r="Q1006" s="52" t="s">
        <v>2970</v>
      </c>
      <c r="R1006" s="52" t="s">
        <v>64</v>
      </c>
      <c r="S1006" s="52" t="s">
        <v>2932</v>
      </c>
    </row>
    <row r="1007" spans="1:19" hidden="1" outlineLevel="2" x14ac:dyDescent="0.45">
      <c r="A1007" s="52" t="s">
        <v>16</v>
      </c>
      <c r="B1007" s="52" t="s">
        <v>57</v>
      </c>
      <c r="C1007" s="52" t="s">
        <v>349</v>
      </c>
      <c r="D1007" s="52" t="s">
        <v>350</v>
      </c>
      <c r="E1007" s="52" t="s">
        <v>387</v>
      </c>
      <c r="F1007" s="52" t="s">
        <v>2971</v>
      </c>
      <c r="G1007" s="52" t="s">
        <v>60</v>
      </c>
      <c r="H1007" s="52" t="s">
        <v>2972</v>
      </c>
      <c r="I1007" s="52" t="s">
        <v>2833</v>
      </c>
      <c r="J1007" s="52" t="s">
        <v>2932</v>
      </c>
      <c r="K1007" s="52" t="s">
        <v>2973</v>
      </c>
      <c r="L1007" s="52" t="s">
        <v>2973</v>
      </c>
      <c r="M1007" s="52" t="s">
        <v>29</v>
      </c>
      <c r="N1007" s="84">
        <v>-2250</v>
      </c>
      <c r="O1007" s="84">
        <v>-2250</v>
      </c>
      <c r="P1007" s="52" t="s">
        <v>425</v>
      </c>
      <c r="Q1007" s="52" t="s">
        <v>2974</v>
      </c>
      <c r="R1007" s="52" t="s">
        <v>64</v>
      </c>
      <c r="S1007" s="52" t="s">
        <v>2932</v>
      </c>
    </row>
    <row r="1008" spans="1:19" hidden="1" outlineLevel="2" x14ac:dyDescent="0.45">
      <c r="A1008" s="52" t="s">
        <v>16</v>
      </c>
      <c r="B1008" s="52" t="s">
        <v>57</v>
      </c>
      <c r="C1008" s="52" t="s">
        <v>427</v>
      </c>
      <c r="D1008" s="52" t="s">
        <v>428</v>
      </c>
      <c r="E1008" s="52" t="s">
        <v>387</v>
      </c>
      <c r="F1008" s="52" t="s">
        <v>2975</v>
      </c>
      <c r="G1008" s="52" t="s">
        <v>60</v>
      </c>
      <c r="H1008" s="52" t="s">
        <v>2976</v>
      </c>
      <c r="I1008" s="52" t="s">
        <v>2833</v>
      </c>
      <c r="J1008" s="52" t="s">
        <v>2932</v>
      </c>
      <c r="K1008" s="52" t="s">
        <v>2977</v>
      </c>
      <c r="L1008" s="52" t="s">
        <v>2977</v>
      </c>
      <c r="M1008" s="52" t="s">
        <v>29</v>
      </c>
      <c r="N1008" s="84">
        <v>-1130</v>
      </c>
      <c r="O1008" s="84">
        <v>-1130</v>
      </c>
      <c r="P1008" s="52" t="s">
        <v>425</v>
      </c>
      <c r="Q1008" s="52" t="s">
        <v>2978</v>
      </c>
      <c r="R1008" s="52" t="s">
        <v>64</v>
      </c>
      <c r="S1008" s="52" t="s">
        <v>2932</v>
      </c>
    </row>
    <row r="1009" spans="1:19" hidden="1" outlineLevel="2" x14ac:dyDescent="0.45">
      <c r="A1009" s="52" t="s">
        <v>16</v>
      </c>
      <c r="B1009" s="52" t="s">
        <v>57</v>
      </c>
      <c r="C1009" s="52" t="s">
        <v>349</v>
      </c>
      <c r="D1009" s="52" t="s">
        <v>350</v>
      </c>
      <c r="E1009" s="52" t="s">
        <v>387</v>
      </c>
      <c r="F1009" s="52" t="s">
        <v>2979</v>
      </c>
      <c r="G1009" s="52" t="s">
        <v>60</v>
      </c>
      <c r="H1009" s="52" t="s">
        <v>2960</v>
      </c>
      <c r="I1009" s="52" t="s">
        <v>2833</v>
      </c>
      <c r="J1009" s="52" t="s">
        <v>2932</v>
      </c>
      <c r="K1009" s="52" t="s">
        <v>2961</v>
      </c>
      <c r="L1009" s="52" t="s">
        <v>2961</v>
      </c>
      <c r="M1009" s="52" t="s">
        <v>29</v>
      </c>
      <c r="N1009" s="84">
        <v>-27567.62</v>
      </c>
      <c r="O1009" s="84">
        <v>-27567.62</v>
      </c>
      <c r="P1009" s="52" t="s">
        <v>434</v>
      </c>
      <c r="Q1009" s="52" t="s">
        <v>2980</v>
      </c>
      <c r="R1009" s="52" t="s">
        <v>64</v>
      </c>
      <c r="S1009" s="52" t="s">
        <v>2932</v>
      </c>
    </row>
    <row r="1010" spans="1:19" hidden="1" outlineLevel="2" x14ac:dyDescent="0.45">
      <c r="A1010" s="52" t="s">
        <v>16</v>
      </c>
      <c r="B1010" s="52" t="s">
        <v>57</v>
      </c>
      <c r="C1010" s="52" t="s">
        <v>438</v>
      </c>
      <c r="D1010" s="52" t="s">
        <v>439</v>
      </c>
      <c r="E1010" s="52" t="s">
        <v>387</v>
      </c>
      <c r="F1010" s="52" t="s">
        <v>2979</v>
      </c>
      <c r="G1010" s="52" t="s">
        <v>60</v>
      </c>
      <c r="H1010" s="52" t="s">
        <v>2981</v>
      </c>
      <c r="I1010" s="52" t="s">
        <v>2833</v>
      </c>
      <c r="J1010" s="52" t="s">
        <v>2932</v>
      </c>
      <c r="K1010" s="52" t="s">
        <v>2982</v>
      </c>
      <c r="L1010" s="52" t="s">
        <v>2982</v>
      </c>
      <c r="M1010" s="52" t="s">
        <v>29</v>
      </c>
      <c r="N1010" s="84">
        <v>-8751</v>
      </c>
      <c r="O1010" s="84">
        <v>-8751</v>
      </c>
      <c r="P1010" s="52" t="s">
        <v>434</v>
      </c>
      <c r="Q1010" s="52" t="s">
        <v>2980</v>
      </c>
      <c r="R1010" s="52" t="s">
        <v>64</v>
      </c>
      <c r="S1010" s="52" t="s">
        <v>2932</v>
      </c>
    </row>
    <row r="1011" spans="1:19" hidden="1" outlineLevel="2" x14ac:dyDescent="0.45">
      <c r="A1011" s="52" t="s">
        <v>16</v>
      </c>
      <c r="B1011" s="52" t="s">
        <v>57</v>
      </c>
      <c r="C1011" s="52" t="s">
        <v>427</v>
      </c>
      <c r="D1011" s="52" t="s">
        <v>428</v>
      </c>
      <c r="E1011" s="52" t="s">
        <v>387</v>
      </c>
      <c r="F1011" s="52" t="s">
        <v>2979</v>
      </c>
      <c r="G1011" s="52" t="s">
        <v>60</v>
      </c>
      <c r="H1011" s="52" t="s">
        <v>2983</v>
      </c>
      <c r="I1011" s="52" t="s">
        <v>2833</v>
      </c>
      <c r="J1011" s="52" t="s">
        <v>2932</v>
      </c>
      <c r="K1011" s="52" t="s">
        <v>2984</v>
      </c>
      <c r="L1011" s="52" t="s">
        <v>2984</v>
      </c>
      <c r="M1011" s="52" t="s">
        <v>29</v>
      </c>
      <c r="N1011" s="84">
        <v>-1838.31</v>
      </c>
      <c r="O1011" s="84">
        <v>-1838.31</v>
      </c>
      <c r="P1011" s="52" t="s">
        <v>434</v>
      </c>
      <c r="Q1011" s="52" t="s">
        <v>2980</v>
      </c>
      <c r="R1011" s="52" t="s">
        <v>64</v>
      </c>
      <c r="S1011" s="52" t="s">
        <v>2932</v>
      </c>
    </row>
    <row r="1012" spans="1:19" hidden="1" outlineLevel="2" x14ac:dyDescent="0.45">
      <c r="A1012" s="52" t="s">
        <v>16</v>
      </c>
      <c r="B1012" s="52" t="s">
        <v>57</v>
      </c>
      <c r="C1012" s="52" t="s">
        <v>442</v>
      </c>
      <c r="D1012" s="52" t="s">
        <v>443</v>
      </c>
      <c r="E1012" s="52" t="s">
        <v>387</v>
      </c>
      <c r="F1012" s="52" t="s">
        <v>2985</v>
      </c>
      <c r="G1012" s="52" t="s">
        <v>60</v>
      </c>
      <c r="H1012" s="52" t="s">
        <v>2986</v>
      </c>
      <c r="I1012" s="52" t="s">
        <v>2833</v>
      </c>
      <c r="J1012" s="52" t="s">
        <v>2932</v>
      </c>
      <c r="K1012" s="52" t="s">
        <v>2987</v>
      </c>
      <c r="L1012" s="52" t="s">
        <v>2987</v>
      </c>
      <c r="M1012" s="52" t="s">
        <v>29</v>
      </c>
      <c r="N1012" s="84">
        <v>-19601.18</v>
      </c>
      <c r="O1012" s="84">
        <v>-19601.18</v>
      </c>
      <c r="P1012" s="52" t="s">
        <v>434</v>
      </c>
      <c r="Q1012" s="52" t="s">
        <v>2988</v>
      </c>
      <c r="R1012" s="52" t="s">
        <v>64</v>
      </c>
      <c r="S1012" s="52" t="s">
        <v>2932</v>
      </c>
    </row>
    <row r="1013" spans="1:19" hidden="1" outlineLevel="2" x14ac:dyDescent="0.45">
      <c r="A1013" s="52" t="s">
        <v>16</v>
      </c>
      <c r="B1013" s="52" t="s">
        <v>57</v>
      </c>
      <c r="C1013" s="52" t="s">
        <v>349</v>
      </c>
      <c r="D1013" s="52" t="s">
        <v>350</v>
      </c>
      <c r="E1013" s="52" t="s">
        <v>387</v>
      </c>
      <c r="F1013" s="52" t="s">
        <v>2989</v>
      </c>
      <c r="G1013" s="52" t="s">
        <v>60</v>
      </c>
      <c r="H1013" s="52" t="s">
        <v>2990</v>
      </c>
      <c r="I1013" s="52" t="s">
        <v>2833</v>
      </c>
      <c r="J1013" s="52" t="s">
        <v>2851</v>
      </c>
      <c r="K1013" s="52" t="s">
        <v>2991</v>
      </c>
      <c r="L1013" s="52" t="s">
        <v>2991</v>
      </c>
      <c r="M1013" s="52" t="s">
        <v>29</v>
      </c>
      <c r="N1013" s="84">
        <v>-0.4</v>
      </c>
      <c r="O1013" s="84">
        <v>-0.4</v>
      </c>
      <c r="P1013" s="52" t="s">
        <v>2992</v>
      </c>
      <c r="Q1013" s="52" t="s">
        <v>2993</v>
      </c>
      <c r="R1013" s="52" t="s">
        <v>64</v>
      </c>
      <c r="S1013" s="52" t="s">
        <v>2851</v>
      </c>
    </row>
    <row r="1014" spans="1:19" hidden="1" outlineLevel="2" x14ac:dyDescent="0.45">
      <c r="A1014" s="52" t="s">
        <v>16</v>
      </c>
      <c r="B1014" s="52" t="s">
        <v>57</v>
      </c>
      <c r="C1014" s="52" t="s">
        <v>349</v>
      </c>
      <c r="D1014" s="52" t="s">
        <v>350</v>
      </c>
      <c r="E1014" s="52" t="s">
        <v>387</v>
      </c>
      <c r="F1014" s="52" t="s">
        <v>2989</v>
      </c>
      <c r="G1014" s="52" t="s">
        <v>60</v>
      </c>
      <c r="H1014" s="52" t="s">
        <v>2990</v>
      </c>
      <c r="I1014" s="52" t="s">
        <v>2833</v>
      </c>
      <c r="J1014" s="52" t="s">
        <v>2851</v>
      </c>
      <c r="K1014" s="52" t="s">
        <v>2991</v>
      </c>
      <c r="L1014" s="52" t="s">
        <v>2991</v>
      </c>
      <c r="M1014" s="52" t="s">
        <v>29</v>
      </c>
      <c r="N1014" s="84">
        <v>-8.59</v>
      </c>
      <c r="O1014" s="84">
        <v>-8.59</v>
      </c>
      <c r="P1014" s="52" t="s">
        <v>2992</v>
      </c>
      <c r="Q1014" s="52" t="s">
        <v>2993</v>
      </c>
      <c r="R1014" s="52" t="s">
        <v>64</v>
      </c>
      <c r="S1014" s="52" t="s">
        <v>2851</v>
      </c>
    </row>
    <row r="1015" spans="1:19" hidden="1" outlineLevel="2" x14ac:dyDescent="0.45">
      <c r="A1015" s="52" t="s">
        <v>16</v>
      </c>
      <c r="B1015" s="52" t="s">
        <v>57</v>
      </c>
      <c r="C1015" s="52" t="s">
        <v>349</v>
      </c>
      <c r="D1015" s="52" t="s">
        <v>350</v>
      </c>
      <c r="E1015" s="52" t="s">
        <v>387</v>
      </c>
      <c r="F1015" s="52" t="s">
        <v>2989</v>
      </c>
      <c r="G1015" s="52" t="s">
        <v>60</v>
      </c>
      <c r="H1015" s="52" t="s">
        <v>2990</v>
      </c>
      <c r="I1015" s="52" t="s">
        <v>2833</v>
      </c>
      <c r="J1015" s="52" t="s">
        <v>2851</v>
      </c>
      <c r="K1015" s="52" t="s">
        <v>2991</v>
      </c>
      <c r="L1015" s="52" t="s">
        <v>2991</v>
      </c>
      <c r="M1015" s="52" t="s">
        <v>29</v>
      </c>
      <c r="N1015" s="84">
        <v>-8.69</v>
      </c>
      <c r="O1015" s="84">
        <v>-8.69</v>
      </c>
      <c r="P1015" s="52" t="s">
        <v>2992</v>
      </c>
      <c r="Q1015" s="52" t="s">
        <v>2993</v>
      </c>
      <c r="R1015" s="52" t="s">
        <v>64</v>
      </c>
      <c r="S1015" s="52" t="s">
        <v>2851</v>
      </c>
    </row>
    <row r="1016" spans="1:19" hidden="1" outlineLevel="2" x14ac:dyDescent="0.45">
      <c r="A1016" s="52" t="s">
        <v>16</v>
      </c>
      <c r="B1016" s="52" t="s">
        <v>57</v>
      </c>
      <c r="C1016" s="52" t="s">
        <v>349</v>
      </c>
      <c r="D1016" s="52" t="s">
        <v>350</v>
      </c>
      <c r="E1016" s="52" t="s">
        <v>387</v>
      </c>
      <c r="F1016" s="52" t="s">
        <v>2989</v>
      </c>
      <c r="G1016" s="52" t="s">
        <v>60</v>
      </c>
      <c r="H1016" s="52" t="s">
        <v>2990</v>
      </c>
      <c r="I1016" s="52" t="s">
        <v>2833</v>
      </c>
      <c r="J1016" s="52" t="s">
        <v>2851</v>
      </c>
      <c r="K1016" s="52" t="s">
        <v>2991</v>
      </c>
      <c r="L1016" s="52" t="s">
        <v>2991</v>
      </c>
      <c r="M1016" s="52" t="s">
        <v>29</v>
      </c>
      <c r="N1016" s="84">
        <v>-9.75</v>
      </c>
      <c r="O1016" s="84">
        <v>-9.75</v>
      </c>
      <c r="P1016" s="52" t="s">
        <v>2992</v>
      </c>
      <c r="Q1016" s="52" t="s">
        <v>2993</v>
      </c>
      <c r="R1016" s="52" t="s">
        <v>64</v>
      </c>
      <c r="S1016" s="52" t="s">
        <v>2851</v>
      </c>
    </row>
    <row r="1017" spans="1:19" hidden="1" outlineLevel="2" x14ac:dyDescent="0.45">
      <c r="A1017" s="52" t="s">
        <v>16</v>
      </c>
      <c r="B1017" s="52" t="s">
        <v>57</v>
      </c>
      <c r="C1017" s="52" t="s">
        <v>349</v>
      </c>
      <c r="D1017" s="52" t="s">
        <v>350</v>
      </c>
      <c r="E1017" s="52" t="s">
        <v>387</v>
      </c>
      <c r="F1017" s="52" t="s">
        <v>2989</v>
      </c>
      <c r="G1017" s="52" t="s">
        <v>60</v>
      </c>
      <c r="H1017" s="52" t="s">
        <v>2990</v>
      </c>
      <c r="I1017" s="52" t="s">
        <v>2833</v>
      </c>
      <c r="J1017" s="52" t="s">
        <v>2851</v>
      </c>
      <c r="K1017" s="52" t="s">
        <v>2991</v>
      </c>
      <c r="L1017" s="52" t="s">
        <v>2991</v>
      </c>
      <c r="M1017" s="52" t="s">
        <v>29</v>
      </c>
      <c r="N1017" s="84">
        <v>-29.45</v>
      </c>
      <c r="O1017" s="84">
        <v>-29.45</v>
      </c>
      <c r="P1017" s="52" t="s">
        <v>2992</v>
      </c>
      <c r="Q1017" s="52" t="s">
        <v>2993</v>
      </c>
      <c r="R1017" s="52" t="s">
        <v>64</v>
      </c>
      <c r="S1017" s="52" t="s">
        <v>2851</v>
      </c>
    </row>
    <row r="1018" spans="1:19" hidden="1" outlineLevel="2" x14ac:dyDescent="0.45">
      <c r="A1018" s="52" t="s">
        <v>16</v>
      </c>
      <c r="B1018" s="52" t="s">
        <v>57</v>
      </c>
      <c r="C1018" s="52" t="s">
        <v>349</v>
      </c>
      <c r="D1018" s="52" t="s">
        <v>350</v>
      </c>
      <c r="E1018" s="52" t="s">
        <v>387</v>
      </c>
      <c r="F1018" s="52" t="s">
        <v>2989</v>
      </c>
      <c r="G1018" s="52" t="s">
        <v>60</v>
      </c>
      <c r="H1018" s="52" t="s">
        <v>2990</v>
      </c>
      <c r="I1018" s="52" t="s">
        <v>2833</v>
      </c>
      <c r="J1018" s="52" t="s">
        <v>2851</v>
      </c>
      <c r="K1018" s="52" t="s">
        <v>2991</v>
      </c>
      <c r="L1018" s="52" t="s">
        <v>2991</v>
      </c>
      <c r="M1018" s="52" t="s">
        <v>29</v>
      </c>
      <c r="N1018" s="84">
        <v>-35.42</v>
      </c>
      <c r="O1018" s="84">
        <v>-35.42</v>
      </c>
      <c r="P1018" s="52" t="s">
        <v>2992</v>
      </c>
      <c r="Q1018" s="52" t="s">
        <v>2993</v>
      </c>
      <c r="R1018" s="52" t="s">
        <v>64</v>
      </c>
      <c r="S1018" s="52" t="s">
        <v>2851</v>
      </c>
    </row>
    <row r="1019" spans="1:19" hidden="1" outlineLevel="2" x14ac:dyDescent="0.45">
      <c r="A1019" s="52" t="s">
        <v>16</v>
      </c>
      <c r="B1019" s="52" t="s">
        <v>57</v>
      </c>
      <c r="C1019" s="52" t="s">
        <v>349</v>
      </c>
      <c r="D1019" s="52" t="s">
        <v>350</v>
      </c>
      <c r="E1019" s="52" t="s">
        <v>387</v>
      </c>
      <c r="F1019" s="52" t="s">
        <v>2989</v>
      </c>
      <c r="G1019" s="52" t="s">
        <v>60</v>
      </c>
      <c r="H1019" s="52" t="s">
        <v>2990</v>
      </c>
      <c r="I1019" s="52" t="s">
        <v>2833</v>
      </c>
      <c r="J1019" s="52" t="s">
        <v>2851</v>
      </c>
      <c r="K1019" s="52" t="s">
        <v>2991</v>
      </c>
      <c r="L1019" s="52" t="s">
        <v>2991</v>
      </c>
      <c r="M1019" s="52" t="s">
        <v>29</v>
      </c>
      <c r="N1019" s="84">
        <v>-39.770000000000003</v>
      </c>
      <c r="O1019" s="84">
        <v>-39.770000000000003</v>
      </c>
      <c r="P1019" s="52" t="s">
        <v>2992</v>
      </c>
      <c r="Q1019" s="52" t="s">
        <v>2993</v>
      </c>
      <c r="R1019" s="52" t="s">
        <v>64</v>
      </c>
      <c r="S1019" s="52" t="s">
        <v>2851</v>
      </c>
    </row>
    <row r="1020" spans="1:19" hidden="1" outlineLevel="2" x14ac:dyDescent="0.45">
      <c r="A1020" s="52" t="s">
        <v>16</v>
      </c>
      <c r="B1020" s="52" t="s">
        <v>57</v>
      </c>
      <c r="C1020" s="52" t="s">
        <v>349</v>
      </c>
      <c r="D1020" s="52" t="s">
        <v>350</v>
      </c>
      <c r="E1020" s="52" t="s">
        <v>387</v>
      </c>
      <c r="F1020" s="52" t="s">
        <v>2989</v>
      </c>
      <c r="G1020" s="52" t="s">
        <v>60</v>
      </c>
      <c r="H1020" s="52" t="s">
        <v>2990</v>
      </c>
      <c r="I1020" s="52" t="s">
        <v>2833</v>
      </c>
      <c r="J1020" s="52" t="s">
        <v>2851</v>
      </c>
      <c r="K1020" s="52" t="s">
        <v>2991</v>
      </c>
      <c r="L1020" s="52" t="s">
        <v>2991</v>
      </c>
      <c r="M1020" s="52" t="s">
        <v>29</v>
      </c>
      <c r="N1020" s="84">
        <v>-75.03</v>
      </c>
      <c r="O1020" s="84">
        <v>-75.03</v>
      </c>
      <c r="P1020" s="52" t="s">
        <v>2992</v>
      </c>
      <c r="Q1020" s="52" t="s">
        <v>2993</v>
      </c>
      <c r="R1020" s="52" t="s">
        <v>64</v>
      </c>
      <c r="S1020" s="52" t="s">
        <v>2851</v>
      </c>
    </row>
    <row r="1021" spans="1:19" s="70" customFormat="1" hidden="1" outlineLevel="2" x14ac:dyDescent="0.45">
      <c r="A1021" s="52" t="s">
        <v>16</v>
      </c>
      <c r="B1021" s="52" t="s">
        <v>57</v>
      </c>
      <c r="C1021" s="52" t="s">
        <v>2994</v>
      </c>
      <c r="D1021" s="52" t="s">
        <v>2995</v>
      </c>
      <c r="E1021" s="52" t="s">
        <v>387</v>
      </c>
      <c r="F1021" s="52" t="s">
        <v>2989</v>
      </c>
      <c r="G1021" s="52" t="s">
        <v>60</v>
      </c>
      <c r="H1021" s="52" t="s">
        <v>2996</v>
      </c>
      <c r="I1021" s="52" t="s">
        <v>2833</v>
      </c>
      <c r="J1021" s="52" t="s">
        <v>2851</v>
      </c>
      <c r="K1021" s="52" t="s">
        <v>2997</v>
      </c>
      <c r="L1021" s="52" t="s">
        <v>2997</v>
      </c>
      <c r="M1021" s="52" t="s">
        <v>29</v>
      </c>
      <c r="N1021" s="84">
        <v>-17738.04</v>
      </c>
      <c r="O1021" s="84">
        <v>-17738.04</v>
      </c>
      <c r="P1021" s="52" t="s">
        <v>2998</v>
      </c>
      <c r="Q1021" s="52" t="s">
        <v>2993</v>
      </c>
      <c r="R1021" s="52" t="s">
        <v>64</v>
      </c>
      <c r="S1021" s="52" t="s">
        <v>2932</v>
      </c>
    </row>
    <row r="1022" spans="1:19" hidden="1" outlineLevel="2" x14ac:dyDescent="0.45">
      <c r="A1022" s="52" t="s">
        <v>16</v>
      </c>
      <c r="B1022" s="52" t="s">
        <v>57</v>
      </c>
      <c r="C1022" s="52"/>
      <c r="D1022" s="52" t="s">
        <v>2999</v>
      </c>
      <c r="E1022" s="52" t="s">
        <v>387</v>
      </c>
      <c r="F1022" s="52" t="s">
        <v>2989</v>
      </c>
      <c r="G1022" s="52" t="s">
        <v>60</v>
      </c>
      <c r="H1022" s="52" t="s">
        <v>3000</v>
      </c>
      <c r="I1022" s="52" t="s">
        <v>2833</v>
      </c>
      <c r="J1022" s="52" t="s">
        <v>2851</v>
      </c>
      <c r="K1022" s="52" t="s">
        <v>3001</v>
      </c>
      <c r="L1022" s="52" t="s">
        <v>3001</v>
      </c>
      <c r="M1022" s="52" t="s">
        <v>29</v>
      </c>
      <c r="N1022" s="84">
        <v>-2304.3200000000002</v>
      </c>
      <c r="O1022" s="84">
        <v>-2304.3200000000002</v>
      </c>
      <c r="P1022" s="52" t="s">
        <v>2998</v>
      </c>
      <c r="Q1022" s="52" t="s">
        <v>2993</v>
      </c>
      <c r="R1022" s="52" t="s">
        <v>64</v>
      </c>
      <c r="S1022" s="52" t="s">
        <v>2932</v>
      </c>
    </row>
    <row r="1023" spans="1:19" hidden="1" outlineLevel="2" x14ac:dyDescent="0.45">
      <c r="A1023" s="52" t="s">
        <v>16</v>
      </c>
      <c r="B1023" s="52" t="s">
        <v>57</v>
      </c>
      <c r="C1023" s="52" t="s">
        <v>870</v>
      </c>
      <c r="D1023" s="52" t="s">
        <v>871</v>
      </c>
      <c r="E1023" s="52" t="s">
        <v>387</v>
      </c>
      <c r="F1023" s="52" t="s">
        <v>2989</v>
      </c>
      <c r="G1023" s="52" t="s">
        <v>60</v>
      </c>
      <c r="H1023" s="52" t="s">
        <v>3002</v>
      </c>
      <c r="I1023" s="52" t="s">
        <v>2833</v>
      </c>
      <c r="J1023" s="52" t="s">
        <v>2851</v>
      </c>
      <c r="K1023" s="52" t="s">
        <v>3003</v>
      </c>
      <c r="L1023" s="52" t="s">
        <v>3003</v>
      </c>
      <c r="M1023" s="52" t="s">
        <v>29</v>
      </c>
      <c r="N1023" s="84">
        <v>-9402.4699999999993</v>
      </c>
      <c r="O1023" s="84">
        <v>-9402.4699999999993</v>
      </c>
      <c r="P1023" s="52" t="s">
        <v>2998</v>
      </c>
      <c r="Q1023" s="52" t="s">
        <v>2993</v>
      </c>
      <c r="R1023" s="52" t="s">
        <v>64</v>
      </c>
      <c r="S1023" s="52" t="s">
        <v>2932</v>
      </c>
    </row>
    <row r="1024" spans="1:19" hidden="1" outlineLevel="2" x14ac:dyDescent="0.45">
      <c r="A1024" s="52" t="s">
        <v>16</v>
      </c>
      <c r="B1024" s="52" t="s">
        <v>57</v>
      </c>
      <c r="C1024" s="52"/>
      <c r="D1024" s="52" t="s">
        <v>982</v>
      </c>
      <c r="E1024" s="52" t="s">
        <v>387</v>
      </c>
      <c r="F1024" s="52" t="s">
        <v>2989</v>
      </c>
      <c r="G1024" s="52" t="s">
        <v>60</v>
      </c>
      <c r="H1024" s="52" t="s">
        <v>3004</v>
      </c>
      <c r="I1024" s="52" t="s">
        <v>2833</v>
      </c>
      <c r="J1024" s="52" t="s">
        <v>2851</v>
      </c>
      <c r="K1024" s="52" t="s">
        <v>3005</v>
      </c>
      <c r="L1024" s="52" t="s">
        <v>3005</v>
      </c>
      <c r="M1024" s="52" t="s">
        <v>29</v>
      </c>
      <c r="N1024" s="84">
        <v>-8372.7000000000007</v>
      </c>
      <c r="O1024" s="84">
        <v>-8372.7000000000007</v>
      </c>
      <c r="P1024" s="52" t="s">
        <v>2998</v>
      </c>
      <c r="Q1024" s="52" t="s">
        <v>2993</v>
      </c>
      <c r="R1024" s="52" t="s">
        <v>64</v>
      </c>
      <c r="S1024" s="52" t="s">
        <v>2932</v>
      </c>
    </row>
    <row r="1025" spans="1:19" hidden="1" outlineLevel="2" x14ac:dyDescent="0.45">
      <c r="A1025" s="52" t="s">
        <v>16</v>
      </c>
      <c r="B1025" s="52" t="s">
        <v>57</v>
      </c>
      <c r="C1025" s="52"/>
      <c r="D1025" s="52" t="s">
        <v>3006</v>
      </c>
      <c r="E1025" s="52" t="s">
        <v>387</v>
      </c>
      <c r="F1025" s="52" t="s">
        <v>2989</v>
      </c>
      <c r="G1025" s="52" t="s">
        <v>60</v>
      </c>
      <c r="H1025" s="52" t="s">
        <v>3007</v>
      </c>
      <c r="I1025" s="52" t="s">
        <v>2833</v>
      </c>
      <c r="J1025" s="52" t="s">
        <v>2851</v>
      </c>
      <c r="K1025" s="52" t="s">
        <v>3008</v>
      </c>
      <c r="L1025" s="52" t="s">
        <v>3008</v>
      </c>
      <c r="M1025" s="52" t="s">
        <v>29</v>
      </c>
      <c r="N1025" s="84">
        <v>-8991.35</v>
      </c>
      <c r="O1025" s="84">
        <v>-8991.35</v>
      </c>
      <c r="P1025" s="52" t="s">
        <v>2998</v>
      </c>
      <c r="Q1025" s="52" t="s">
        <v>2993</v>
      </c>
      <c r="R1025" s="52" t="s">
        <v>64</v>
      </c>
      <c r="S1025" s="52" t="s">
        <v>2932</v>
      </c>
    </row>
    <row r="1026" spans="1:19" hidden="1" outlineLevel="2" x14ac:dyDescent="0.45">
      <c r="A1026" s="52" t="s">
        <v>16</v>
      </c>
      <c r="B1026" s="52" t="s">
        <v>57</v>
      </c>
      <c r="C1026" s="52"/>
      <c r="D1026" s="52" t="s">
        <v>949</v>
      </c>
      <c r="E1026" s="52" t="s">
        <v>387</v>
      </c>
      <c r="F1026" s="52" t="s">
        <v>2989</v>
      </c>
      <c r="G1026" s="52" t="s">
        <v>60</v>
      </c>
      <c r="H1026" s="52" t="s">
        <v>3009</v>
      </c>
      <c r="I1026" s="52" t="s">
        <v>2833</v>
      </c>
      <c r="J1026" s="52" t="s">
        <v>2851</v>
      </c>
      <c r="K1026" s="52" t="s">
        <v>3010</v>
      </c>
      <c r="L1026" s="52" t="s">
        <v>3010</v>
      </c>
      <c r="M1026" s="52" t="s">
        <v>29</v>
      </c>
      <c r="N1026" s="84">
        <v>-2053.79</v>
      </c>
      <c r="O1026" s="84">
        <v>-2053.79</v>
      </c>
      <c r="P1026" s="52" t="s">
        <v>2998</v>
      </c>
      <c r="Q1026" s="52" t="s">
        <v>2993</v>
      </c>
      <c r="R1026" s="52" t="s">
        <v>64</v>
      </c>
      <c r="S1026" s="52" t="s">
        <v>2932</v>
      </c>
    </row>
    <row r="1027" spans="1:19" hidden="1" outlineLevel="2" x14ac:dyDescent="0.45">
      <c r="A1027" s="52" t="s">
        <v>16</v>
      </c>
      <c r="B1027" s="52" t="s">
        <v>57</v>
      </c>
      <c r="C1027" s="52" t="s">
        <v>349</v>
      </c>
      <c r="D1027" s="52" t="s">
        <v>350</v>
      </c>
      <c r="E1027" s="52" t="s">
        <v>387</v>
      </c>
      <c r="F1027" s="52" t="s">
        <v>3011</v>
      </c>
      <c r="G1027" s="52" t="s">
        <v>60</v>
      </c>
      <c r="H1027" s="52" t="s">
        <v>2990</v>
      </c>
      <c r="I1027" s="52" t="s">
        <v>2833</v>
      </c>
      <c r="J1027" s="52" t="s">
        <v>2851</v>
      </c>
      <c r="K1027" s="52" t="s">
        <v>2991</v>
      </c>
      <c r="L1027" s="52" t="s">
        <v>2991</v>
      </c>
      <c r="M1027" s="52" t="s">
        <v>29</v>
      </c>
      <c r="N1027" s="84">
        <v>-5.32</v>
      </c>
      <c r="O1027" s="84">
        <v>-5.32</v>
      </c>
      <c r="P1027" s="52" t="s">
        <v>2992</v>
      </c>
      <c r="Q1027" s="52" t="s">
        <v>3012</v>
      </c>
      <c r="R1027" s="52" t="s">
        <v>64</v>
      </c>
      <c r="S1027" s="52" t="s">
        <v>2851</v>
      </c>
    </row>
    <row r="1028" spans="1:19" hidden="1" outlineLevel="2" x14ac:dyDescent="0.45">
      <c r="A1028" s="52" t="s">
        <v>16</v>
      </c>
      <c r="B1028" s="52" t="s">
        <v>57</v>
      </c>
      <c r="C1028" s="52" t="s">
        <v>349</v>
      </c>
      <c r="D1028" s="52" t="s">
        <v>350</v>
      </c>
      <c r="E1028" s="52" t="s">
        <v>387</v>
      </c>
      <c r="F1028" s="52" t="s">
        <v>3011</v>
      </c>
      <c r="G1028" s="52" t="s">
        <v>60</v>
      </c>
      <c r="H1028" s="52" t="s">
        <v>2990</v>
      </c>
      <c r="I1028" s="52" t="s">
        <v>2833</v>
      </c>
      <c r="J1028" s="52" t="s">
        <v>2851</v>
      </c>
      <c r="K1028" s="52" t="s">
        <v>2991</v>
      </c>
      <c r="L1028" s="52" t="s">
        <v>2991</v>
      </c>
      <c r="M1028" s="52" t="s">
        <v>29</v>
      </c>
      <c r="N1028" s="84">
        <v>-6.09</v>
      </c>
      <c r="O1028" s="84">
        <v>-6.09</v>
      </c>
      <c r="P1028" s="52" t="s">
        <v>2992</v>
      </c>
      <c r="Q1028" s="52" t="s">
        <v>3012</v>
      </c>
      <c r="R1028" s="52" t="s">
        <v>64</v>
      </c>
      <c r="S1028" s="52" t="s">
        <v>2851</v>
      </c>
    </row>
    <row r="1029" spans="1:19" hidden="1" outlineLevel="2" x14ac:dyDescent="0.45">
      <c r="A1029" s="52" t="s">
        <v>16</v>
      </c>
      <c r="B1029" s="52" t="s">
        <v>57</v>
      </c>
      <c r="C1029" s="52" t="s">
        <v>349</v>
      </c>
      <c r="D1029" s="52" t="s">
        <v>350</v>
      </c>
      <c r="E1029" s="52" t="s">
        <v>387</v>
      </c>
      <c r="F1029" s="52" t="s">
        <v>3011</v>
      </c>
      <c r="G1029" s="52" t="s">
        <v>60</v>
      </c>
      <c r="H1029" s="52" t="s">
        <v>2990</v>
      </c>
      <c r="I1029" s="52" t="s">
        <v>2833</v>
      </c>
      <c r="J1029" s="52" t="s">
        <v>2851</v>
      </c>
      <c r="K1029" s="52" t="s">
        <v>2991</v>
      </c>
      <c r="L1029" s="52" t="s">
        <v>2991</v>
      </c>
      <c r="M1029" s="52" t="s">
        <v>29</v>
      </c>
      <c r="N1029" s="84">
        <v>-6.17</v>
      </c>
      <c r="O1029" s="84">
        <v>-6.17</v>
      </c>
      <c r="P1029" s="52" t="s">
        <v>2992</v>
      </c>
      <c r="Q1029" s="52" t="s">
        <v>3012</v>
      </c>
      <c r="R1029" s="52" t="s">
        <v>64</v>
      </c>
      <c r="S1029" s="52" t="s">
        <v>2851</v>
      </c>
    </row>
    <row r="1030" spans="1:19" hidden="1" outlineLevel="2" x14ac:dyDescent="0.45">
      <c r="A1030" s="52" t="s">
        <v>16</v>
      </c>
      <c r="B1030" s="52" t="s">
        <v>57</v>
      </c>
      <c r="C1030" s="52" t="s">
        <v>349</v>
      </c>
      <c r="D1030" s="52" t="s">
        <v>350</v>
      </c>
      <c r="E1030" s="52" t="s">
        <v>387</v>
      </c>
      <c r="F1030" s="52" t="s">
        <v>3011</v>
      </c>
      <c r="G1030" s="52" t="s">
        <v>60</v>
      </c>
      <c r="H1030" s="52" t="s">
        <v>2990</v>
      </c>
      <c r="I1030" s="52" t="s">
        <v>2833</v>
      </c>
      <c r="J1030" s="52" t="s">
        <v>2851</v>
      </c>
      <c r="K1030" s="52" t="s">
        <v>2991</v>
      </c>
      <c r="L1030" s="52" t="s">
        <v>2991</v>
      </c>
      <c r="M1030" s="52" t="s">
        <v>29</v>
      </c>
      <c r="N1030" s="84">
        <v>-9.49</v>
      </c>
      <c r="O1030" s="84">
        <v>-9.49</v>
      </c>
      <c r="P1030" s="52" t="s">
        <v>2992</v>
      </c>
      <c r="Q1030" s="52" t="s">
        <v>3012</v>
      </c>
      <c r="R1030" s="52" t="s">
        <v>64</v>
      </c>
      <c r="S1030" s="52" t="s">
        <v>2851</v>
      </c>
    </row>
    <row r="1031" spans="1:19" hidden="1" outlineLevel="2" x14ac:dyDescent="0.45">
      <c r="A1031" s="52" t="s">
        <v>16</v>
      </c>
      <c r="B1031" s="52" t="s">
        <v>57</v>
      </c>
      <c r="C1031" s="52" t="s">
        <v>349</v>
      </c>
      <c r="D1031" s="52" t="s">
        <v>350</v>
      </c>
      <c r="E1031" s="52" t="s">
        <v>387</v>
      </c>
      <c r="F1031" s="52" t="s">
        <v>3011</v>
      </c>
      <c r="G1031" s="52" t="s">
        <v>60</v>
      </c>
      <c r="H1031" s="52" t="s">
        <v>2990</v>
      </c>
      <c r="I1031" s="52" t="s">
        <v>2833</v>
      </c>
      <c r="J1031" s="52" t="s">
        <v>2851</v>
      </c>
      <c r="K1031" s="52" t="s">
        <v>2991</v>
      </c>
      <c r="L1031" s="52" t="s">
        <v>2991</v>
      </c>
      <c r="M1031" s="52" t="s">
        <v>29</v>
      </c>
      <c r="N1031" s="84">
        <v>-9.6199999999999992</v>
      </c>
      <c r="O1031" s="84">
        <v>-9.6199999999999992</v>
      </c>
      <c r="P1031" s="52" t="s">
        <v>2992</v>
      </c>
      <c r="Q1031" s="52" t="s">
        <v>3012</v>
      </c>
      <c r="R1031" s="52" t="s">
        <v>64</v>
      </c>
      <c r="S1031" s="52" t="s">
        <v>2851</v>
      </c>
    </row>
    <row r="1032" spans="1:19" hidden="1" outlineLevel="2" x14ac:dyDescent="0.45">
      <c r="A1032" s="52" t="s">
        <v>16</v>
      </c>
      <c r="B1032" s="52" t="s">
        <v>57</v>
      </c>
      <c r="C1032" s="52" t="s">
        <v>349</v>
      </c>
      <c r="D1032" s="52" t="s">
        <v>350</v>
      </c>
      <c r="E1032" s="52" t="s">
        <v>387</v>
      </c>
      <c r="F1032" s="52" t="s">
        <v>3011</v>
      </c>
      <c r="G1032" s="52" t="s">
        <v>60</v>
      </c>
      <c r="H1032" s="52" t="s">
        <v>2990</v>
      </c>
      <c r="I1032" s="52" t="s">
        <v>2833</v>
      </c>
      <c r="J1032" s="52" t="s">
        <v>2851</v>
      </c>
      <c r="K1032" s="52" t="s">
        <v>2991</v>
      </c>
      <c r="L1032" s="52" t="s">
        <v>2991</v>
      </c>
      <c r="M1032" s="52" t="s">
        <v>29</v>
      </c>
      <c r="N1032" s="84">
        <v>-10.74</v>
      </c>
      <c r="O1032" s="84">
        <v>-10.74</v>
      </c>
      <c r="P1032" s="52" t="s">
        <v>2992</v>
      </c>
      <c r="Q1032" s="52" t="s">
        <v>3012</v>
      </c>
      <c r="R1032" s="52" t="s">
        <v>64</v>
      </c>
      <c r="S1032" s="52" t="s">
        <v>2851</v>
      </c>
    </row>
    <row r="1033" spans="1:19" hidden="1" outlineLevel="2" x14ac:dyDescent="0.45">
      <c r="A1033" s="52" t="s">
        <v>16</v>
      </c>
      <c r="B1033" s="52" t="s">
        <v>57</v>
      </c>
      <c r="C1033" s="52" t="s">
        <v>349</v>
      </c>
      <c r="D1033" s="52" t="s">
        <v>350</v>
      </c>
      <c r="E1033" s="52" t="s">
        <v>387</v>
      </c>
      <c r="F1033" s="52" t="s">
        <v>3011</v>
      </c>
      <c r="G1033" s="52" t="s">
        <v>60</v>
      </c>
      <c r="H1033" s="52" t="s">
        <v>2990</v>
      </c>
      <c r="I1033" s="52" t="s">
        <v>2833</v>
      </c>
      <c r="J1033" s="52" t="s">
        <v>2851</v>
      </c>
      <c r="K1033" s="52" t="s">
        <v>2991</v>
      </c>
      <c r="L1033" s="52" t="s">
        <v>2991</v>
      </c>
      <c r="M1033" s="52" t="s">
        <v>29</v>
      </c>
      <c r="N1033" s="84">
        <v>-11.72</v>
      </c>
      <c r="O1033" s="84">
        <v>-11.72</v>
      </c>
      <c r="P1033" s="52" t="s">
        <v>2992</v>
      </c>
      <c r="Q1033" s="52" t="s">
        <v>3012</v>
      </c>
      <c r="R1033" s="52" t="s">
        <v>64</v>
      </c>
      <c r="S1033" s="52" t="s">
        <v>2851</v>
      </c>
    </row>
    <row r="1034" spans="1:19" hidden="1" outlineLevel="2" x14ac:dyDescent="0.45">
      <c r="A1034" s="52" t="s">
        <v>16</v>
      </c>
      <c r="B1034" s="52" t="s">
        <v>57</v>
      </c>
      <c r="C1034" s="52" t="s">
        <v>349</v>
      </c>
      <c r="D1034" s="52" t="s">
        <v>350</v>
      </c>
      <c r="E1034" s="52" t="s">
        <v>387</v>
      </c>
      <c r="F1034" s="52" t="s">
        <v>3011</v>
      </c>
      <c r="G1034" s="52" t="s">
        <v>60</v>
      </c>
      <c r="H1034" s="52" t="s">
        <v>2990</v>
      </c>
      <c r="I1034" s="52" t="s">
        <v>2833</v>
      </c>
      <c r="J1034" s="52" t="s">
        <v>2851</v>
      </c>
      <c r="K1034" s="52" t="s">
        <v>2991</v>
      </c>
      <c r="L1034" s="52" t="s">
        <v>2991</v>
      </c>
      <c r="M1034" s="52" t="s">
        <v>29</v>
      </c>
      <c r="N1034" s="84">
        <v>-13.38</v>
      </c>
      <c r="O1034" s="84">
        <v>-13.38</v>
      </c>
      <c r="P1034" s="52" t="s">
        <v>2992</v>
      </c>
      <c r="Q1034" s="52" t="s">
        <v>3012</v>
      </c>
      <c r="R1034" s="52" t="s">
        <v>64</v>
      </c>
      <c r="S1034" s="52" t="s">
        <v>2851</v>
      </c>
    </row>
    <row r="1035" spans="1:19" hidden="1" outlineLevel="2" x14ac:dyDescent="0.45">
      <c r="A1035" s="52" t="s">
        <v>16</v>
      </c>
      <c r="B1035" s="52" t="s">
        <v>57</v>
      </c>
      <c r="C1035" s="52" t="s">
        <v>349</v>
      </c>
      <c r="D1035" s="52" t="s">
        <v>350</v>
      </c>
      <c r="E1035" s="52" t="s">
        <v>387</v>
      </c>
      <c r="F1035" s="52" t="s">
        <v>3011</v>
      </c>
      <c r="G1035" s="52" t="s">
        <v>60</v>
      </c>
      <c r="H1035" s="52" t="s">
        <v>2990</v>
      </c>
      <c r="I1035" s="52" t="s">
        <v>2833</v>
      </c>
      <c r="J1035" s="52" t="s">
        <v>2851</v>
      </c>
      <c r="K1035" s="52" t="s">
        <v>2991</v>
      </c>
      <c r="L1035" s="52" t="s">
        <v>2991</v>
      </c>
      <c r="M1035" s="52" t="s">
        <v>29</v>
      </c>
      <c r="N1035" s="84">
        <v>-15.08</v>
      </c>
      <c r="O1035" s="84">
        <v>-15.08</v>
      </c>
      <c r="P1035" s="52" t="s">
        <v>2992</v>
      </c>
      <c r="Q1035" s="52" t="s">
        <v>3012</v>
      </c>
      <c r="R1035" s="52" t="s">
        <v>64</v>
      </c>
      <c r="S1035" s="52" t="s">
        <v>2851</v>
      </c>
    </row>
    <row r="1036" spans="1:19" hidden="1" outlineLevel="2" x14ac:dyDescent="0.45">
      <c r="A1036" s="52" t="s">
        <v>16</v>
      </c>
      <c r="B1036" s="52" t="s">
        <v>57</v>
      </c>
      <c r="C1036" s="52" t="s">
        <v>349</v>
      </c>
      <c r="D1036" s="52" t="s">
        <v>350</v>
      </c>
      <c r="E1036" s="52" t="s">
        <v>387</v>
      </c>
      <c r="F1036" s="52" t="s">
        <v>3011</v>
      </c>
      <c r="G1036" s="52" t="s">
        <v>60</v>
      </c>
      <c r="H1036" s="52" t="s">
        <v>2990</v>
      </c>
      <c r="I1036" s="52" t="s">
        <v>2833</v>
      </c>
      <c r="J1036" s="52" t="s">
        <v>2851</v>
      </c>
      <c r="K1036" s="52" t="s">
        <v>2991</v>
      </c>
      <c r="L1036" s="52" t="s">
        <v>2991</v>
      </c>
      <c r="M1036" s="52" t="s">
        <v>29</v>
      </c>
      <c r="N1036" s="84">
        <v>-19.87</v>
      </c>
      <c r="O1036" s="84">
        <v>-19.87</v>
      </c>
      <c r="P1036" s="52" t="s">
        <v>2992</v>
      </c>
      <c r="Q1036" s="52" t="s">
        <v>3012</v>
      </c>
      <c r="R1036" s="52" t="s">
        <v>64</v>
      </c>
      <c r="S1036" s="52" t="s">
        <v>2851</v>
      </c>
    </row>
    <row r="1037" spans="1:19" hidden="1" outlineLevel="2" x14ac:dyDescent="0.45">
      <c r="A1037" s="52" t="s">
        <v>16</v>
      </c>
      <c r="B1037" s="52" t="s">
        <v>57</v>
      </c>
      <c r="C1037" s="52" t="s">
        <v>349</v>
      </c>
      <c r="D1037" s="52" t="s">
        <v>350</v>
      </c>
      <c r="E1037" s="52" t="s">
        <v>387</v>
      </c>
      <c r="F1037" s="52" t="s">
        <v>3011</v>
      </c>
      <c r="G1037" s="52" t="s">
        <v>60</v>
      </c>
      <c r="H1037" s="52" t="s">
        <v>2990</v>
      </c>
      <c r="I1037" s="52" t="s">
        <v>2833</v>
      </c>
      <c r="J1037" s="52" t="s">
        <v>2851</v>
      </c>
      <c r="K1037" s="52" t="s">
        <v>2991</v>
      </c>
      <c r="L1037" s="52" t="s">
        <v>2991</v>
      </c>
      <c r="M1037" s="52" t="s">
        <v>29</v>
      </c>
      <c r="N1037" s="84">
        <v>-21.84</v>
      </c>
      <c r="O1037" s="84">
        <v>-21.84</v>
      </c>
      <c r="P1037" s="52" t="s">
        <v>2992</v>
      </c>
      <c r="Q1037" s="52" t="s">
        <v>3012</v>
      </c>
      <c r="R1037" s="52" t="s">
        <v>64</v>
      </c>
      <c r="S1037" s="52" t="s">
        <v>2851</v>
      </c>
    </row>
    <row r="1038" spans="1:19" hidden="1" outlineLevel="2" x14ac:dyDescent="0.45">
      <c r="A1038" s="52" t="s">
        <v>16</v>
      </c>
      <c r="B1038" s="52" t="s">
        <v>57</v>
      </c>
      <c r="C1038" s="52" t="s">
        <v>349</v>
      </c>
      <c r="D1038" s="52" t="s">
        <v>350</v>
      </c>
      <c r="E1038" s="52" t="s">
        <v>387</v>
      </c>
      <c r="F1038" s="52" t="s">
        <v>3011</v>
      </c>
      <c r="G1038" s="52" t="s">
        <v>60</v>
      </c>
      <c r="H1038" s="52" t="s">
        <v>2990</v>
      </c>
      <c r="I1038" s="52" t="s">
        <v>2833</v>
      </c>
      <c r="J1038" s="52" t="s">
        <v>2851</v>
      </c>
      <c r="K1038" s="52" t="s">
        <v>2991</v>
      </c>
      <c r="L1038" s="52" t="s">
        <v>2991</v>
      </c>
      <c r="M1038" s="52" t="s">
        <v>29</v>
      </c>
      <c r="N1038" s="84">
        <v>-24.82</v>
      </c>
      <c r="O1038" s="84">
        <v>-24.82</v>
      </c>
      <c r="P1038" s="52" t="s">
        <v>2992</v>
      </c>
      <c r="Q1038" s="52" t="s">
        <v>3012</v>
      </c>
      <c r="R1038" s="52" t="s">
        <v>64</v>
      </c>
      <c r="S1038" s="52" t="s">
        <v>2851</v>
      </c>
    </row>
    <row r="1039" spans="1:19" hidden="1" outlineLevel="2" x14ac:dyDescent="0.45">
      <c r="A1039" s="52" t="s">
        <v>16</v>
      </c>
      <c r="B1039" s="52" t="s">
        <v>57</v>
      </c>
      <c r="C1039" s="52" t="s">
        <v>349</v>
      </c>
      <c r="D1039" s="52" t="s">
        <v>350</v>
      </c>
      <c r="E1039" s="52" t="s">
        <v>387</v>
      </c>
      <c r="F1039" s="52" t="s">
        <v>3011</v>
      </c>
      <c r="G1039" s="52" t="s">
        <v>60</v>
      </c>
      <c r="H1039" s="52" t="s">
        <v>2990</v>
      </c>
      <c r="I1039" s="52" t="s">
        <v>2833</v>
      </c>
      <c r="J1039" s="52" t="s">
        <v>2851</v>
      </c>
      <c r="K1039" s="52" t="s">
        <v>2991</v>
      </c>
      <c r="L1039" s="52" t="s">
        <v>2991</v>
      </c>
      <c r="M1039" s="52" t="s">
        <v>29</v>
      </c>
      <c r="N1039" s="84">
        <v>-27.06</v>
      </c>
      <c r="O1039" s="84">
        <v>-27.06</v>
      </c>
      <c r="P1039" s="52" t="s">
        <v>2992</v>
      </c>
      <c r="Q1039" s="52" t="s">
        <v>3012</v>
      </c>
      <c r="R1039" s="52" t="s">
        <v>64</v>
      </c>
      <c r="S1039" s="52" t="s">
        <v>2851</v>
      </c>
    </row>
    <row r="1040" spans="1:19" hidden="1" outlineLevel="2" x14ac:dyDescent="0.45">
      <c r="A1040" s="52" t="s">
        <v>16</v>
      </c>
      <c r="B1040" s="52" t="s">
        <v>57</v>
      </c>
      <c r="C1040" s="52" t="s">
        <v>349</v>
      </c>
      <c r="D1040" s="52" t="s">
        <v>350</v>
      </c>
      <c r="E1040" s="52" t="s">
        <v>387</v>
      </c>
      <c r="F1040" s="52" t="s">
        <v>3011</v>
      </c>
      <c r="G1040" s="52" t="s">
        <v>60</v>
      </c>
      <c r="H1040" s="52" t="s">
        <v>2990</v>
      </c>
      <c r="I1040" s="52" t="s">
        <v>2833</v>
      </c>
      <c r="J1040" s="52" t="s">
        <v>2851</v>
      </c>
      <c r="K1040" s="52" t="s">
        <v>2991</v>
      </c>
      <c r="L1040" s="52" t="s">
        <v>2991</v>
      </c>
      <c r="M1040" s="52" t="s">
        <v>29</v>
      </c>
      <c r="N1040" s="84">
        <v>-27.63</v>
      </c>
      <c r="O1040" s="84">
        <v>-27.63</v>
      </c>
      <c r="P1040" s="52" t="s">
        <v>2992</v>
      </c>
      <c r="Q1040" s="52" t="s">
        <v>3012</v>
      </c>
      <c r="R1040" s="52" t="s">
        <v>64</v>
      </c>
      <c r="S1040" s="52" t="s">
        <v>2851</v>
      </c>
    </row>
    <row r="1041" spans="1:19" hidden="1" outlineLevel="2" x14ac:dyDescent="0.45">
      <c r="A1041" s="52" t="s">
        <v>16</v>
      </c>
      <c r="B1041" s="52" t="s">
        <v>57</v>
      </c>
      <c r="C1041" s="52" t="s">
        <v>349</v>
      </c>
      <c r="D1041" s="52" t="s">
        <v>350</v>
      </c>
      <c r="E1041" s="52" t="s">
        <v>387</v>
      </c>
      <c r="F1041" s="52" t="s">
        <v>3011</v>
      </c>
      <c r="G1041" s="52" t="s">
        <v>60</v>
      </c>
      <c r="H1041" s="52" t="s">
        <v>2990</v>
      </c>
      <c r="I1041" s="52" t="s">
        <v>2833</v>
      </c>
      <c r="J1041" s="52" t="s">
        <v>2851</v>
      </c>
      <c r="K1041" s="52" t="s">
        <v>2991</v>
      </c>
      <c r="L1041" s="52" t="s">
        <v>2991</v>
      </c>
      <c r="M1041" s="52" t="s">
        <v>29</v>
      </c>
      <c r="N1041" s="84">
        <v>-28.65</v>
      </c>
      <c r="O1041" s="84">
        <v>-28.65</v>
      </c>
      <c r="P1041" s="52" t="s">
        <v>2992</v>
      </c>
      <c r="Q1041" s="52" t="s">
        <v>3012</v>
      </c>
      <c r="R1041" s="52" t="s">
        <v>64</v>
      </c>
      <c r="S1041" s="52" t="s">
        <v>2851</v>
      </c>
    </row>
    <row r="1042" spans="1:19" hidden="1" outlineLevel="2" x14ac:dyDescent="0.45">
      <c r="A1042" s="52" t="s">
        <v>16</v>
      </c>
      <c r="B1042" s="52" t="s">
        <v>57</v>
      </c>
      <c r="C1042" s="52" t="s">
        <v>349</v>
      </c>
      <c r="D1042" s="52" t="s">
        <v>350</v>
      </c>
      <c r="E1042" s="52" t="s">
        <v>387</v>
      </c>
      <c r="F1042" s="52" t="s">
        <v>3011</v>
      </c>
      <c r="G1042" s="52" t="s">
        <v>60</v>
      </c>
      <c r="H1042" s="52" t="s">
        <v>2990</v>
      </c>
      <c r="I1042" s="52" t="s">
        <v>2833</v>
      </c>
      <c r="J1042" s="52" t="s">
        <v>2851</v>
      </c>
      <c r="K1042" s="52" t="s">
        <v>2991</v>
      </c>
      <c r="L1042" s="52" t="s">
        <v>2991</v>
      </c>
      <c r="M1042" s="52" t="s">
        <v>29</v>
      </c>
      <c r="N1042" s="84">
        <v>-30.52</v>
      </c>
      <c r="O1042" s="84">
        <v>-30.52</v>
      </c>
      <c r="P1042" s="52" t="s">
        <v>2992</v>
      </c>
      <c r="Q1042" s="52" t="s">
        <v>3012</v>
      </c>
      <c r="R1042" s="52" t="s">
        <v>64</v>
      </c>
      <c r="S1042" s="52" t="s">
        <v>2851</v>
      </c>
    </row>
    <row r="1043" spans="1:19" hidden="1" outlineLevel="2" x14ac:dyDescent="0.45">
      <c r="A1043" s="52" t="s">
        <v>16</v>
      </c>
      <c r="B1043" s="52" t="s">
        <v>57</v>
      </c>
      <c r="C1043" s="52" t="s">
        <v>349</v>
      </c>
      <c r="D1043" s="52" t="s">
        <v>350</v>
      </c>
      <c r="E1043" s="52" t="s">
        <v>387</v>
      </c>
      <c r="F1043" s="52" t="s">
        <v>3011</v>
      </c>
      <c r="G1043" s="52" t="s">
        <v>60</v>
      </c>
      <c r="H1043" s="52" t="s">
        <v>2990</v>
      </c>
      <c r="I1043" s="52" t="s">
        <v>2833</v>
      </c>
      <c r="J1043" s="52" t="s">
        <v>2851</v>
      </c>
      <c r="K1043" s="52" t="s">
        <v>2991</v>
      </c>
      <c r="L1043" s="52" t="s">
        <v>2991</v>
      </c>
      <c r="M1043" s="52" t="s">
        <v>29</v>
      </c>
      <c r="N1043" s="84">
        <v>-33.799999999999997</v>
      </c>
      <c r="O1043" s="84">
        <v>-33.799999999999997</v>
      </c>
      <c r="P1043" s="52" t="s">
        <v>2992</v>
      </c>
      <c r="Q1043" s="52" t="s">
        <v>3012</v>
      </c>
      <c r="R1043" s="52" t="s">
        <v>64</v>
      </c>
      <c r="S1043" s="52" t="s">
        <v>2851</v>
      </c>
    </row>
    <row r="1044" spans="1:19" hidden="1" outlineLevel="2" x14ac:dyDescent="0.45">
      <c r="A1044" s="52" t="s">
        <v>16</v>
      </c>
      <c r="B1044" s="52" t="s">
        <v>57</v>
      </c>
      <c r="C1044" s="52" t="s">
        <v>349</v>
      </c>
      <c r="D1044" s="52" t="s">
        <v>350</v>
      </c>
      <c r="E1044" s="52" t="s">
        <v>387</v>
      </c>
      <c r="F1044" s="52" t="s">
        <v>3011</v>
      </c>
      <c r="G1044" s="52" t="s">
        <v>60</v>
      </c>
      <c r="H1044" s="52" t="s">
        <v>2990</v>
      </c>
      <c r="I1044" s="52" t="s">
        <v>2833</v>
      </c>
      <c r="J1044" s="52" t="s">
        <v>2851</v>
      </c>
      <c r="K1044" s="52" t="s">
        <v>2991</v>
      </c>
      <c r="L1044" s="52" t="s">
        <v>2991</v>
      </c>
      <c r="M1044" s="52" t="s">
        <v>29</v>
      </c>
      <c r="N1044" s="84">
        <v>-38.49</v>
      </c>
      <c r="O1044" s="84">
        <v>-38.49</v>
      </c>
      <c r="P1044" s="52" t="s">
        <v>2992</v>
      </c>
      <c r="Q1044" s="52" t="s">
        <v>3012</v>
      </c>
      <c r="R1044" s="52" t="s">
        <v>64</v>
      </c>
      <c r="S1044" s="52" t="s">
        <v>2851</v>
      </c>
    </row>
    <row r="1045" spans="1:19" hidden="1" outlineLevel="2" x14ac:dyDescent="0.45">
      <c r="A1045" s="52" t="s">
        <v>16</v>
      </c>
      <c r="B1045" s="52" t="s">
        <v>57</v>
      </c>
      <c r="C1045" s="52" t="s">
        <v>349</v>
      </c>
      <c r="D1045" s="52" t="s">
        <v>350</v>
      </c>
      <c r="E1045" s="52" t="s">
        <v>387</v>
      </c>
      <c r="F1045" s="52" t="s">
        <v>3011</v>
      </c>
      <c r="G1045" s="52" t="s">
        <v>60</v>
      </c>
      <c r="H1045" s="52" t="s">
        <v>2990</v>
      </c>
      <c r="I1045" s="52" t="s">
        <v>2833</v>
      </c>
      <c r="J1045" s="52" t="s">
        <v>2851</v>
      </c>
      <c r="K1045" s="52" t="s">
        <v>2991</v>
      </c>
      <c r="L1045" s="52" t="s">
        <v>2991</v>
      </c>
      <c r="M1045" s="52" t="s">
        <v>29</v>
      </c>
      <c r="N1045" s="84">
        <v>-46.5</v>
      </c>
      <c r="O1045" s="84">
        <v>-46.5</v>
      </c>
      <c r="P1045" s="52" t="s">
        <v>2992</v>
      </c>
      <c r="Q1045" s="52" t="s">
        <v>3012</v>
      </c>
      <c r="R1045" s="52" t="s">
        <v>64</v>
      </c>
      <c r="S1045" s="52" t="s">
        <v>2851</v>
      </c>
    </row>
    <row r="1046" spans="1:19" hidden="1" outlineLevel="2" x14ac:dyDescent="0.45">
      <c r="A1046" s="52" t="s">
        <v>16</v>
      </c>
      <c r="B1046" s="52" t="s">
        <v>57</v>
      </c>
      <c r="C1046" s="52" t="s">
        <v>349</v>
      </c>
      <c r="D1046" s="52" t="s">
        <v>350</v>
      </c>
      <c r="E1046" s="52" t="s">
        <v>387</v>
      </c>
      <c r="F1046" s="52" t="s">
        <v>3011</v>
      </c>
      <c r="G1046" s="52" t="s">
        <v>60</v>
      </c>
      <c r="H1046" s="52" t="s">
        <v>2990</v>
      </c>
      <c r="I1046" s="52" t="s">
        <v>2833</v>
      </c>
      <c r="J1046" s="52" t="s">
        <v>2851</v>
      </c>
      <c r="K1046" s="52" t="s">
        <v>2991</v>
      </c>
      <c r="L1046" s="52" t="s">
        <v>2991</v>
      </c>
      <c r="M1046" s="52" t="s">
        <v>29</v>
      </c>
      <c r="N1046" s="84">
        <v>-47.56</v>
      </c>
      <c r="O1046" s="84">
        <v>-47.56</v>
      </c>
      <c r="P1046" s="52" t="s">
        <v>2992</v>
      </c>
      <c r="Q1046" s="52" t="s">
        <v>3012</v>
      </c>
      <c r="R1046" s="52" t="s">
        <v>64</v>
      </c>
      <c r="S1046" s="52" t="s">
        <v>2851</v>
      </c>
    </row>
    <row r="1047" spans="1:19" hidden="1" outlineLevel="2" x14ac:dyDescent="0.45">
      <c r="A1047" s="52" t="s">
        <v>16</v>
      </c>
      <c r="B1047" s="52" t="s">
        <v>57</v>
      </c>
      <c r="C1047" s="52" t="s">
        <v>349</v>
      </c>
      <c r="D1047" s="52" t="s">
        <v>350</v>
      </c>
      <c r="E1047" s="52" t="s">
        <v>387</v>
      </c>
      <c r="F1047" s="52" t="s">
        <v>3011</v>
      </c>
      <c r="G1047" s="52" t="s">
        <v>60</v>
      </c>
      <c r="H1047" s="52" t="s">
        <v>2990</v>
      </c>
      <c r="I1047" s="52" t="s">
        <v>2833</v>
      </c>
      <c r="J1047" s="52" t="s">
        <v>2851</v>
      </c>
      <c r="K1047" s="52" t="s">
        <v>2991</v>
      </c>
      <c r="L1047" s="52" t="s">
        <v>2991</v>
      </c>
      <c r="M1047" s="52" t="s">
        <v>29</v>
      </c>
      <c r="N1047" s="84">
        <v>-51.73</v>
      </c>
      <c r="O1047" s="84">
        <v>-51.73</v>
      </c>
      <c r="P1047" s="52" t="s">
        <v>2992</v>
      </c>
      <c r="Q1047" s="52" t="s">
        <v>3012</v>
      </c>
      <c r="R1047" s="52" t="s">
        <v>64</v>
      </c>
      <c r="S1047" s="52" t="s">
        <v>2851</v>
      </c>
    </row>
    <row r="1048" spans="1:19" hidden="1" outlineLevel="2" x14ac:dyDescent="0.45">
      <c r="A1048" s="52" t="s">
        <v>16</v>
      </c>
      <c r="B1048" s="52" t="s">
        <v>57</v>
      </c>
      <c r="C1048" s="52" t="s">
        <v>349</v>
      </c>
      <c r="D1048" s="52" t="s">
        <v>350</v>
      </c>
      <c r="E1048" s="52" t="s">
        <v>387</v>
      </c>
      <c r="F1048" s="52" t="s">
        <v>3011</v>
      </c>
      <c r="G1048" s="52" t="s">
        <v>60</v>
      </c>
      <c r="H1048" s="52" t="s">
        <v>2990</v>
      </c>
      <c r="I1048" s="52" t="s">
        <v>2833</v>
      </c>
      <c r="J1048" s="52" t="s">
        <v>2851</v>
      </c>
      <c r="K1048" s="52" t="s">
        <v>2991</v>
      </c>
      <c r="L1048" s="52" t="s">
        <v>2991</v>
      </c>
      <c r="M1048" s="52" t="s">
        <v>29</v>
      </c>
      <c r="N1048" s="84">
        <v>-51.74</v>
      </c>
      <c r="O1048" s="84">
        <v>-51.74</v>
      </c>
      <c r="P1048" s="52" t="s">
        <v>2992</v>
      </c>
      <c r="Q1048" s="52" t="s">
        <v>3012</v>
      </c>
      <c r="R1048" s="52" t="s">
        <v>64</v>
      </c>
      <c r="S1048" s="52" t="s">
        <v>2851</v>
      </c>
    </row>
    <row r="1049" spans="1:19" hidden="1" outlineLevel="2" x14ac:dyDescent="0.45">
      <c r="A1049" s="52" t="s">
        <v>16</v>
      </c>
      <c r="B1049" s="52" t="s">
        <v>57</v>
      </c>
      <c r="C1049" s="52" t="s">
        <v>349</v>
      </c>
      <c r="D1049" s="52" t="s">
        <v>350</v>
      </c>
      <c r="E1049" s="52" t="s">
        <v>387</v>
      </c>
      <c r="F1049" s="52" t="s">
        <v>3011</v>
      </c>
      <c r="G1049" s="52" t="s">
        <v>60</v>
      </c>
      <c r="H1049" s="52" t="s">
        <v>2990</v>
      </c>
      <c r="I1049" s="52" t="s">
        <v>2833</v>
      </c>
      <c r="J1049" s="52" t="s">
        <v>2851</v>
      </c>
      <c r="K1049" s="52" t="s">
        <v>2991</v>
      </c>
      <c r="L1049" s="52" t="s">
        <v>2991</v>
      </c>
      <c r="M1049" s="52" t="s">
        <v>29</v>
      </c>
      <c r="N1049" s="84">
        <v>-74.599999999999994</v>
      </c>
      <c r="O1049" s="84">
        <v>-74.599999999999994</v>
      </c>
      <c r="P1049" s="52" t="s">
        <v>2992</v>
      </c>
      <c r="Q1049" s="52" t="s">
        <v>3012</v>
      </c>
      <c r="R1049" s="52" t="s">
        <v>64</v>
      </c>
      <c r="S1049" s="52" t="s">
        <v>2851</v>
      </c>
    </row>
    <row r="1050" spans="1:19" hidden="1" outlineLevel="2" x14ac:dyDescent="0.45">
      <c r="A1050" s="52" t="s">
        <v>16</v>
      </c>
      <c r="B1050" s="52" t="s">
        <v>57</v>
      </c>
      <c r="C1050" s="52" t="s">
        <v>349</v>
      </c>
      <c r="D1050" s="52" t="s">
        <v>350</v>
      </c>
      <c r="E1050" s="52" t="s">
        <v>387</v>
      </c>
      <c r="F1050" s="52" t="s">
        <v>3011</v>
      </c>
      <c r="G1050" s="52" t="s">
        <v>60</v>
      </c>
      <c r="H1050" s="52" t="s">
        <v>2990</v>
      </c>
      <c r="I1050" s="52" t="s">
        <v>2833</v>
      </c>
      <c r="J1050" s="52" t="s">
        <v>2851</v>
      </c>
      <c r="K1050" s="52" t="s">
        <v>2991</v>
      </c>
      <c r="L1050" s="52" t="s">
        <v>2991</v>
      </c>
      <c r="M1050" s="52" t="s">
        <v>29</v>
      </c>
      <c r="N1050" s="84">
        <v>-76.7</v>
      </c>
      <c r="O1050" s="84">
        <v>-76.7</v>
      </c>
      <c r="P1050" s="52" t="s">
        <v>2992</v>
      </c>
      <c r="Q1050" s="52" t="s">
        <v>3012</v>
      </c>
      <c r="R1050" s="52" t="s">
        <v>64</v>
      </c>
      <c r="S1050" s="52" t="s">
        <v>2851</v>
      </c>
    </row>
    <row r="1051" spans="1:19" hidden="1" outlineLevel="2" x14ac:dyDescent="0.45">
      <c r="A1051" s="52" t="s">
        <v>16</v>
      </c>
      <c r="B1051" s="52" t="s">
        <v>57</v>
      </c>
      <c r="C1051" s="52" t="s">
        <v>360</v>
      </c>
      <c r="D1051" s="52" t="s">
        <v>361</v>
      </c>
      <c r="E1051" s="52" t="s">
        <v>387</v>
      </c>
      <c r="F1051" s="52" t="s">
        <v>3011</v>
      </c>
      <c r="G1051" s="52" t="s">
        <v>60</v>
      </c>
      <c r="H1051" s="52" t="s">
        <v>3013</v>
      </c>
      <c r="I1051" s="52" t="s">
        <v>2833</v>
      </c>
      <c r="J1051" s="52" t="s">
        <v>2851</v>
      </c>
      <c r="K1051" s="52" t="s">
        <v>3014</v>
      </c>
      <c r="L1051" s="52" t="s">
        <v>3014</v>
      </c>
      <c r="M1051" s="52" t="s">
        <v>29</v>
      </c>
      <c r="N1051" s="84">
        <v>-2274.7800000000002</v>
      </c>
      <c r="O1051" s="84">
        <v>-2274.7800000000002</v>
      </c>
      <c r="P1051" s="52" t="s">
        <v>2998</v>
      </c>
      <c r="Q1051" s="52" t="s">
        <v>3012</v>
      </c>
      <c r="R1051" s="52" t="s">
        <v>64</v>
      </c>
      <c r="S1051" s="52" t="s">
        <v>2932</v>
      </c>
    </row>
    <row r="1052" spans="1:19" hidden="1" outlineLevel="2" x14ac:dyDescent="0.45">
      <c r="A1052" s="52" t="s">
        <v>16</v>
      </c>
      <c r="B1052" s="52" t="s">
        <v>57</v>
      </c>
      <c r="C1052" s="52" t="s">
        <v>774</v>
      </c>
      <c r="D1052" s="52" t="s">
        <v>775</v>
      </c>
      <c r="E1052" s="52" t="s">
        <v>387</v>
      </c>
      <c r="F1052" s="52" t="s">
        <v>3011</v>
      </c>
      <c r="G1052" s="52" t="s">
        <v>60</v>
      </c>
      <c r="H1052" s="52" t="s">
        <v>3015</v>
      </c>
      <c r="I1052" s="52" t="s">
        <v>2833</v>
      </c>
      <c r="J1052" s="52" t="s">
        <v>2851</v>
      </c>
      <c r="K1052" s="52" t="s">
        <v>3016</v>
      </c>
      <c r="L1052" s="52" t="s">
        <v>3016</v>
      </c>
      <c r="M1052" s="52" t="s">
        <v>29</v>
      </c>
      <c r="N1052" s="84">
        <v>-7215.55</v>
      </c>
      <c r="O1052" s="84">
        <v>-7215.55</v>
      </c>
      <c r="P1052" s="52" t="s">
        <v>2998</v>
      </c>
      <c r="Q1052" s="52" t="s">
        <v>3012</v>
      </c>
      <c r="R1052" s="52" t="s">
        <v>64</v>
      </c>
      <c r="S1052" s="52" t="s">
        <v>2932</v>
      </c>
    </row>
    <row r="1053" spans="1:19" s="70" customFormat="1" hidden="1" outlineLevel="2" x14ac:dyDescent="0.45">
      <c r="A1053" s="52" t="s">
        <v>16</v>
      </c>
      <c r="B1053" s="52" t="s">
        <v>57</v>
      </c>
      <c r="C1053" s="52" t="s">
        <v>3017</v>
      </c>
      <c r="D1053" s="52" t="s">
        <v>3018</v>
      </c>
      <c r="E1053" s="52" t="s">
        <v>387</v>
      </c>
      <c r="F1053" s="52" t="s">
        <v>3011</v>
      </c>
      <c r="G1053" s="52" t="s">
        <v>60</v>
      </c>
      <c r="H1053" s="52" t="s">
        <v>3019</v>
      </c>
      <c r="I1053" s="52" t="s">
        <v>2833</v>
      </c>
      <c r="J1053" s="52" t="s">
        <v>2851</v>
      </c>
      <c r="K1053" s="52" t="s">
        <v>3020</v>
      </c>
      <c r="L1053" s="52" t="s">
        <v>3020</v>
      </c>
      <c r="M1053" s="52" t="s">
        <v>29</v>
      </c>
      <c r="N1053" s="84">
        <v>-17636.8</v>
      </c>
      <c r="O1053" s="84">
        <v>-17636.8</v>
      </c>
      <c r="P1053" s="52" t="s">
        <v>2998</v>
      </c>
      <c r="Q1053" s="52" t="s">
        <v>3012</v>
      </c>
      <c r="R1053" s="52" t="s">
        <v>64</v>
      </c>
      <c r="S1053" s="52" t="s">
        <v>2932</v>
      </c>
    </row>
    <row r="1054" spans="1:19" hidden="1" outlineLevel="2" x14ac:dyDescent="0.45">
      <c r="A1054" s="52" t="s">
        <v>16</v>
      </c>
      <c r="B1054" s="52" t="s">
        <v>57</v>
      </c>
      <c r="C1054" s="52" t="s">
        <v>1322</v>
      </c>
      <c r="D1054" s="52" t="s">
        <v>1323</v>
      </c>
      <c r="E1054" s="52" t="s">
        <v>387</v>
      </c>
      <c r="F1054" s="52" t="s">
        <v>3011</v>
      </c>
      <c r="G1054" s="52" t="s">
        <v>60</v>
      </c>
      <c r="H1054" s="52" t="s">
        <v>3021</v>
      </c>
      <c r="I1054" s="52" t="s">
        <v>2833</v>
      </c>
      <c r="J1054" s="52" t="s">
        <v>2851</v>
      </c>
      <c r="K1054" s="52" t="s">
        <v>3022</v>
      </c>
      <c r="L1054" s="52" t="s">
        <v>3022</v>
      </c>
      <c r="M1054" s="52" t="s">
        <v>29</v>
      </c>
      <c r="N1054" s="84">
        <v>-6870.52</v>
      </c>
      <c r="O1054" s="84">
        <v>-6870.52</v>
      </c>
      <c r="P1054" s="52" t="s">
        <v>2998</v>
      </c>
      <c r="Q1054" s="52" t="s">
        <v>3012</v>
      </c>
      <c r="R1054" s="52" t="s">
        <v>64</v>
      </c>
      <c r="S1054" s="52" t="s">
        <v>2932</v>
      </c>
    </row>
    <row r="1055" spans="1:19" hidden="1" outlineLevel="2" x14ac:dyDescent="0.45">
      <c r="A1055" s="52" t="s">
        <v>16</v>
      </c>
      <c r="B1055" s="52" t="s">
        <v>57</v>
      </c>
      <c r="C1055" s="52" t="s">
        <v>3023</v>
      </c>
      <c r="D1055" s="52" t="s">
        <v>3024</v>
      </c>
      <c r="E1055" s="52" t="s">
        <v>387</v>
      </c>
      <c r="F1055" s="52" t="s">
        <v>3011</v>
      </c>
      <c r="G1055" s="52" t="s">
        <v>60</v>
      </c>
      <c r="H1055" s="52" t="s">
        <v>3025</v>
      </c>
      <c r="I1055" s="52" t="s">
        <v>2833</v>
      </c>
      <c r="J1055" s="52" t="s">
        <v>2851</v>
      </c>
      <c r="K1055" s="52" t="s">
        <v>3026</v>
      </c>
      <c r="L1055" s="52" t="s">
        <v>3026</v>
      </c>
      <c r="M1055" s="52" t="s">
        <v>29</v>
      </c>
      <c r="N1055" s="84">
        <v>-3162.13</v>
      </c>
      <c r="O1055" s="84">
        <v>-3162.13</v>
      </c>
      <c r="P1055" s="52" t="s">
        <v>2998</v>
      </c>
      <c r="Q1055" s="52" t="s">
        <v>3012</v>
      </c>
      <c r="R1055" s="52" t="s">
        <v>64</v>
      </c>
      <c r="S1055" s="52" t="s">
        <v>2932</v>
      </c>
    </row>
    <row r="1056" spans="1:19" hidden="1" outlineLevel="2" x14ac:dyDescent="0.45">
      <c r="A1056" s="52" t="s">
        <v>16</v>
      </c>
      <c r="B1056" s="52" t="s">
        <v>57</v>
      </c>
      <c r="C1056" s="52"/>
      <c r="D1056" s="52" t="s">
        <v>1575</v>
      </c>
      <c r="E1056" s="52" t="s">
        <v>387</v>
      </c>
      <c r="F1056" s="52" t="s">
        <v>3011</v>
      </c>
      <c r="G1056" s="52" t="s">
        <v>60</v>
      </c>
      <c r="H1056" s="52" t="s">
        <v>3027</v>
      </c>
      <c r="I1056" s="52" t="s">
        <v>2833</v>
      </c>
      <c r="J1056" s="52" t="s">
        <v>2851</v>
      </c>
      <c r="K1056" s="52" t="s">
        <v>3028</v>
      </c>
      <c r="L1056" s="52" t="s">
        <v>3028</v>
      </c>
      <c r="M1056" s="52" t="s">
        <v>29</v>
      </c>
      <c r="N1056" s="84">
        <v>-9099.7099999999991</v>
      </c>
      <c r="O1056" s="84">
        <v>-9099.7099999999991</v>
      </c>
      <c r="P1056" s="52" t="s">
        <v>2998</v>
      </c>
      <c r="Q1056" s="52" t="s">
        <v>3012</v>
      </c>
      <c r="R1056" s="52" t="s">
        <v>64</v>
      </c>
      <c r="S1056" s="52" t="s">
        <v>2932</v>
      </c>
    </row>
    <row r="1057" spans="1:19" hidden="1" outlineLevel="2" x14ac:dyDescent="0.45">
      <c r="A1057" s="52" t="s">
        <v>16</v>
      </c>
      <c r="B1057" s="52" t="s">
        <v>57</v>
      </c>
      <c r="C1057" s="52" t="s">
        <v>1595</v>
      </c>
      <c r="D1057" s="52" t="s">
        <v>1596</v>
      </c>
      <c r="E1057" s="52" t="s">
        <v>387</v>
      </c>
      <c r="F1057" s="52" t="s">
        <v>3011</v>
      </c>
      <c r="G1057" s="52" t="s">
        <v>60</v>
      </c>
      <c r="H1057" s="52" t="s">
        <v>3029</v>
      </c>
      <c r="I1057" s="52" t="s">
        <v>2833</v>
      </c>
      <c r="J1057" s="52" t="s">
        <v>2851</v>
      </c>
      <c r="K1057" s="52" t="s">
        <v>3030</v>
      </c>
      <c r="L1057" s="52" t="s">
        <v>3030</v>
      </c>
      <c r="M1057" s="52" t="s">
        <v>29</v>
      </c>
      <c r="N1057" s="84">
        <v>-18132.7</v>
      </c>
      <c r="O1057" s="84">
        <v>-18132.7</v>
      </c>
      <c r="P1057" s="52" t="s">
        <v>2998</v>
      </c>
      <c r="Q1057" s="52" t="s">
        <v>3012</v>
      </c>
      <c r="R1057" s="52" t="s">
        <v>64</v>
      </c>
      <c r="S1057" s="52" t="s">
        <v>2932</v>
      </c>
    </row>
    <row r="1058" spans="1:19" hidden="1" outlineLevel="2" x14ac:dyDescent="0.45">
      <c r="A1058" s="52" t="s">
        <v>16</v>
      </c>
      <c r="B1058" s="52" t="s">
        <v>57</v>
      </c>
      <c r="C1058" s="52"/>
      <c r="D1058" s="52" t="s">
        <v>1503</v>
      </c>
      <c r="E1058" s="52" t="s">
        <v>387</v>
      </c>
      <c r="F1058" s="52" t="s">
        <v>3011</v>
      </c>
      <c r="G1058" s="52" t="s">
        <v>60</v>
      </c>
      <c r="H1058" s="52" t="s">
        <v>3031</v>
      </c>
      <c r="I1058" s="52" t="s">
        <v>2833</v>
      </c>
      <c r="J1058" s="52" t="s">
        <v>2851</v>
      </c>
      <c r="K1058" s="52" t="s">
        <v>3032</v>
      </c>
      <c r="L1058" s="52" t="s">
        <v>3032</v>
      </c>
      <c r="M1058" s="52" t="s">
        <v>29</v>
      </c>
      <c r="N1058" s="84">
        <v>-6396.84</v>
      </c>
      <c r="O1058" s="84">
        <v>-6396.84</v>
      </c>
      <c r="P1058" s="52" t="s">
        <v>2998</v>
      </c>
      <c r="Q1058" s="52" t="s">
        <v>3012</v>
      </c>
      <c r="R1058" s="52" t="s">
        <v>64</v>
      </c>
      <c r="S1058" s="52" t="s">
        <v>2932</v>
      </c>
    </row>
    <row r="1059" spans="1:19" hidden="1" outlineLevel="2" x14ac:dyDescent="0.45">
      <c r="A1059" s="52" t="s">
        <v>16</v>
      </c>
      <c r="B1059" s="52" t="s">
        <v>57</v>
      </c>
      <c r="C1059" s="52"/>
      <c r="D1059" s="52" t="s">
        <v>3033</v>
      </c>
      <c r="E1059" s="52" t="s">
        <v>387</v>
      </c>
      <c r="F1059" s="52" t="s">
        <v>3011</v>
      </c>
      <c r="G1059" s="52" t="s">
        <v>60</v>
      </c>
      <c r="H1059" s="52" t="s">
        <v>3034</v>
      </c>
      <c r="I1059" s="52" t="s">
        <v>2833</v>
      </c>
      <c r="J1059" s="52" t="s">
        <v>2851</v>
      </c>
      <c r="K1059" s="52" t="s">
        <v>3035</v>
      </c>
      <c r="L1059" s="52" t="s">
        <v>3035</v>
      </c>
      <c r="M1059" s="52" t="s">
        <v>29</v>
      </c>
      <c r="N1059" s="84">
        <v>-1439.52</v>
      </c>
      <c r="O1059" s="84">
        <v>-1439.52</v>
      </c>
      <c r="P1059" s="52" t="s">
        <v>2998</v>
      </c>
      <c r="Q1059" s="52" t="s">
        <v>3012</v>
      </c>
      <c r="R1059" s="52" t="s">
        <v>64</v>
      </c>
      <c r="S1059" s="52" t="s">
        <v>2932</v>
      </c>
    </row>
    <row r="1060" spans="1:19" hidden="1" outlineLevel="2" x14ac:dyDescent="0.45">
      <c r="A1060" s="52" t="s">
        <v>16</v>
      </c>
      <c r="B1060" s="52" t="s">
        <v>57</v>
      </c>
      <c r="C1060" s="52"/>
      <c r="D1060" s="52" t="s">
        <v>3036</v>
      </c>
      <c r="E1060" s="52" t="s">
        <v>387</v>
      </c>
      <c r="F1060" s="52" t="s">
        <v>3011</v>
      </c>
      <c r="G1060" s="52" t="s">
        <v>60</v>
      </c>
      <c r="H1060" s="52" t="s">
        <v>3037</v>
      </c>
      <c r="I1060" s="52" t="s">
        <v>2833</v>
      </c>
      <c r="J1060" s="52" t="s">
        <v>2851</v>
      </c>
      <c r="K1060" s="52" t="s">
        <v>3038</v>
      </c>
      <c r="L1060" s="52" t="s">
        <v>3038</v>
      </c>
      <c r="M1060" s="52" t="s">
        <v>29</v>
      </c>
      <c r="N1060" s="84">
        <v>-11242.97</v>
      </c>
      <c r="O1060" s="84">
        <v>-11242.97</v>
      </c>
      <c r="P1060" s="52" t="s">
        <v>2998</v>
      </c>
      <c r="Q1060" s="52" t="s">
        <v>3012</v>
      </c>
      <c r="R1060" s="52" t="s">
        <v>64</v>
      </c>
      <c r="S1060" s="52" t="s">
        <v>2932</v>
      </c>
    </row>
    <row r="1061" spans="1:19" hidden="1" outlineLevel="2" x14ac:dyDescent="0.45">
      <c r="A1061" s="52" t="s">
        <v>16</v>
      </c>
      <c r="B1061" s="52" t="s">
        <v>57</v>
      </c>
      <c r="C1061" s="52" t="s">
        <v>3039</v>
      </c>
      <c r="D1061" s="52" t="s">
        <v>3040</v>
      </c>
      <c r="E1061" s="52" t="s">
        <v>387</v>
      </c>
      <c r="F1061" s="52" t="s">
        <v>3011</v>
      </c>
      <c r="G1061" s="52" t="s">
        <v>60</v>
      </c>
      <c r="H1061" s="52" t="s">
        <v>3041</v>
      </c>
      <c r="I1061" s="52" t="s">
        <v>2833</v>
      </c>
      <c r="J1061" s="52" t="s">
        <v>2851</v>
      </c>
      <c r="K1061" s="52" t="s">
        <v>3042</v>
      </c>
      <c r="L1061" s="52" t="s">
        <v>3042</v>
      </c>
      <c r="M1061" s="52" t="s">
        <v>29</v>
      </c>
      <c r="N1061" s="84">
        <v>-2539.86</v>
      </c>
      <c r="O1061" s="84">
        <v>-2539.86</v>
      </c>
      <c r="P1061" s="52" t="s">
        <v>2998</v>
      </c>
      <c r="Q1061" s="52" t="s">
        <v>3012</v>
      </c>
      <c r="R1061" s="52" t="s">
        <v>64</v>
      </c>
      <c r="S1061" s="52" t="s">
        <v>2932</v>
      </c>
    </row>
    <row r="1062" spans="1:19" hidden="1" outlineLevel="2" x14ac:dyDescent="0.45">
      <c r="A1062" s="52" t="s">
        <v>16</v>
      </c>
      <c r="B1062" s="52" t="s">
        <v>57</v>
      </c>
      <c r="C1062" s="52"/>
      <c r="D1062" s="52" t="s">
        <v>3043</v>
      </c>
      <c r="E1062" s="52" t="s">
        <v>387</v>
      </c>
      <c r="F1062" s="52" t="s">
        <v>3011</v>
      </c>
      <c r="G1062" s="52" t="s">
        <v>60</v>
      </c>
      <c r="H1062" s="52" t="s">
        <v>3044</v>
      </c>
      <c r="I1062" s="52" t="s">
        <v>2833</v>
      </c>
      <c r="J1062" s="52" t="s">
        <v>2851</v>
      </c>
      <c r="K1062" s="52" t="s">
        <v>3045</v>
      </c>
      <c r="L1062" s="52" t="s">
        <v>3045</v>
      </c>
      <c r="M1062" s="52" t="s">
        <v>29</v>
      </c>
      <c r="N1062" s="84">
        <v>-5866.93</v>
      </c>
      <c r="O1062" s="84">
        <v>-5866.93</v>
      </c>
      <c r="P1062" s="52" t="s">
        <v>2998</v>
      </c>
      <c r="Q1062" s="52" t="s">
        <v>3012</v>
      </c>
      <c r="R1062" s="52" t="s">
        <v>64</v>
      </c>
      <c r="S1062" s="52" t="s">
        <v>2932</v>
      </c>
    </row>
    <row r="1063" spans="1:19" hidden="1" outlineLevel="2" x14ac:dyDescent="0.45">
      <c r="A1063" s="52" t="s">
        <v>16</v>
      </c>
      <c r="B1063" s="52" t="s">
        <v>57</v>
      </c>
      <c r="C1063" s="52"/>
      <c r="D1063" s="52" t="s">
        <v>947</v>
      </c>
      <c r="E1063" s="52" t="s">
        <v>387</v>
      </c>
      <c r="F1063" s="52" t="s">
        <v>3011</v>
      </c>
      <c r="G1063" s="52" t="s">
        <v>60</v>
      </c>
      <c r="H1063" s="52" t="s">
        <v>3046</v>
      </c>
      <c r="I1063" s="52" t="s">
        <v>2833</v>
      </c>
      <c r="J1063" s="52" t="s">
        <v>2851</v>
      </c>
      <c r="K1063" s="52" t="s">
        <v>3047</v>
      </c>
      <c r="L1063" s="52" t="s">
        <v>3047</v>
      </c>
      <c r="M1063" s="52" t="s">
        <v>29</v>
      </c>
      <c r="N1063" s="84">
        <v>-7991.13</v>
      </c>
      <c r="O1063" s="84">
        <v>-7991.13</v>
      </c>
      <c r="P1063" s="52" t="s">
        <v>2998</v>
      </c>
      <c r="Q1063" s="52" t="s">
        <v>3012</v>
      </c>
      <c r="R1063" s="52" t="s">
        <v>64</v>
      </c>
      <c r="S1063" s="52" t="s">
        <v>2932</v>
      </c>
    </row>
    <row r="1064" spans="1:19" hidden="1" outlineLevel="2" x14ac:dyDescent="0.45">
      <c r="A1064" s="52" t="s">
        <v>16</v>
      </c>
      <c r="B1064" s="52" t="s">
        <v>57</v>
      </c>
      <c r="C1064" s="52"/>
      <c r="D1064" s="52" t="s">
        <v>3048</v>
      </c>
      <c r="E1064" s="52" t="s">
        <v>387</v>
      </c>
      <c r="F1064" s="52" t="s">
        <v>3011</v>
      </c>
      <c r="G1064" s="52" t="s">
        <v>60</v>
      </c>
      <c r="H1064" s="52" t="s">
        <v>3049</v>
      </c>
      <c r="I1064" s="52" t="s">
        <v>2833</v>
      </c>
      <c r="J1064" s="52" t="s">
        <v>2851</v>
      </c>
      <c r="K1064" s="52" t="s">
        <v>3050</v>
      </c>
      <c r="L1064" s="52" t="s">
        <v>3050</v>
      </c>
      <c r="M1064" s="52" t="s">
        <v>29</v>
      </c>
      <c r="N1064" s="84">
        <v>-12229.62</v>
      </c>
      <c r="O1064" s="84">
        <v>-12229.62</v>
      </c>
      <c r="P1064" s="52" t="s">
        <v>2998</v>
      </c>
      <c r="Q1064" s="52" t="s">
        <v>3012</v>
      </c>
      <c r="R1064" s="52" t="s">
        <v>64</v>
      </c>
      <c r="S1064" s="52" t="s">
        <v>2932</v>
      </c>
    </row>
    <row r="1065" spans="1:19" hidden="1" outlineLevel="2" x14ac:dyDescent="0.45">
      <c r="A1065" s="52" t="s">
        <v>16</v>
      </c>
      <c r="B1065" s="52" t="s">
        <v>57</v>
      </c>
      <c r="C1065" s="52"/>
      <c r="D1065" s="52" t="s">
        <v>3051</v>
      </c>
      <c r="E1065" s="52" t="s">
        <v>387</v>
      </c>
      <c r="F1065" s="52" t="s">
        <v>3011</v>
      </c>
      <c r="G1065" s="52" t="s">
        <v>60</v>
      </c>
      <c r="H1065" s="52" t="s">
        <v>3052</v>
      </c>
      <c r="I1065" s="52" t="s">
        <v>2833</v>
      </c>
      <c r="J1065" s="52" t="s">
        <v>2851</v>
      </c>
      <c r="K1065" s="52" t="s">
        <v>3053</v>
      </c>
      <c r="L1065" s="52" t="s">
        <v>3053</v>
      </c>
      <c r="M1065" s="52" t="s">
        <v>29</v>
      </c>
      <c r="N1065" s="84">
        <v>-12231.91</v>
      </c>
      <c r="O1065" s="84">
        <v>-12231.91</v>
      </c>
      <c r="P1065" s="52" t="s">
        <v>2998</v>
      </c>
      <c r="Q1065" s="52" t="s">
        <v>3012</v>
      </c>
      <c r="R1065" s="52" t="s">
        <v>64</v>
      </c>
      <c r="S1065" s="52" t="s">
        <v>2932</v>
      </c>
    </row>
    <row r="1066" spans="1:19" hidden="1" outlineLevel="2" x14ac:dyDescent="0.45">
      <c r="A1066" s="52" t="s">
        <v>16</v>
      </c>
      <c r="B1066" s="52" t="s">
        <v>57</v>
      </c>
      <c r="C1066" s="52"/>
      <c r="D1066" s="52" t="s">
        <v>3054</v>
      </c>
      <c r="E1066" s="52" t="s">
        <v>387</v>
      </c>
      <c r="F1066" s="52" t="s">
        <v>3011</v>
      </c>
      <c r="G1066" s="52" t="s">
        <v>60</v>
      </c>
      <c r="H1066" s="52" t="s">
        <v>3055</v>
      </c>
      <c r="I1066" s="52" t="s">
        <v>2833</v>
      </c>
      <c r="J1066" s="52" t="s">
        <v>2851</v>
      </c>
      <c r="K1066" s="52" t="s">
        <v>3056</v>
      </c>
      <c r="L1066" s="52" t="s">
        <v>3056</v>
      </c>
      <c r="M1066" s="52" t="s">
        <v>29</v>
      </c>
      <c r="N1066" s="84">
        <v>-6531.75</v>
      </c>
      <c r="O1066" s="84">
        <v>-6531.75</v>
      </c>
      <c r="P1066" s="52" t="s">
        <v>2998</v>
      </c>
      <c r="Q1066" s="52" t="s">
        <v>3012</v>
      </c>
      <c r="R1066" s="52" t="s">
        <v>64</v>
      </c>
      <c r="S1066" s="52" t="s">
        <v>2932</v>
      </c>
    </row>
    <row r="1067" spans="1:19" hidden="1" outlineLevel="2" x14ac:dyDescent="0.45">
      <c r="A1067" s="52" t="s">
        <v>16</v>
      </c>
      <c r="B1067" s="52" t="s">
        <v>57</v>
      </c>
      <c r="C1067" s="52"/>
      <c r="D1067" s="52" t="s">
        <v>3057</v>
      </c>
      <c r="E1067" s="52" t="s">
        <v>387</v>
      </c>
      <c r="F1067" s="52" t="s">
        <v>3011</v>
      </c>
      <c r="G1067" s="52" t="s">
        <v>60</v>
      </c>
      <c r="H1067" s="52" t="s">
        <v>3058</v>
      </c>
      <c r="I1067" s="52" t="s">
        <v>2833</v>
      </c>
      <c r="J1067" s="52" t="s">
        <v>2851</v>
      </c>
      <c r="K1067" s="52" t="s">
        <v>3059</v>
      </c>
      <c r="L1067" s="52" t="s">
        <v>3059</v>
      </c>
      <c r="M1067" s="52" t="s">
        <v>29</v>
      </c>
      <c r="N1067" s="84">
        <v>-1459.24</v>
      </c>
      <c r="O1067" s="84">
        <v>-1459.24</v>
      </c>
      <c r="P1067" s="52" t="s">
        <v>2998</v>
      </c>
      <c r="Q1067" s="52" t="s">
        <v>3012</v>
      </c>
      <c r="R1067" s="52" t="s">
        <v>64</v>
      </c>
      <c r="S1067" s="52" t="s">
        <v>2932</v>
      </c>
    </row>
    <row r="1068" spans="1:19" hidden="1" outlineLevel="2" x14ac:dyDescent="0.45">
      <c r="A1068" s="52" t="s">
        <v>16</v>
      </c>
      <c r="B1068" s="52" t="s">
        <v>57</v>
      </c>
      <c r="C1068" s="52"/>
      <c r="D1068" s="52" t="s">
        <v>3060</v>
      </c>
      <c r="E1068" s="52" t="s">
        <v>387</v>
      </c>
      <c r="F1068" s="52" t="s">
        <v>3011</v>
      </c>
      <c r="G1068" s="52" t="s">
        <v>60</v>
      </c>
      <c r="H1068" s="52" t="s">
        <v>3061</v>
      </c>
      <c r="I1068" s="52" t="s">
        <v>2833</v>
      </c>
      <c r="J1068" s="52" t="s">
        <v>2851</v>
      </c>
      <c r="K1068" s="52" t="s">
        <v>3062</v>
      </c>
      <c r="L1068" s="52" t="s">
        <v>3062</v>
      </c>
      <c r="M1068" s="52" t="s">
        <v>29</v>
      </c>
      <c r="N1068" s="84">
        <v>-10992.27</v>
      </c>
      <c r="O1068" s="84">
        <v>-10992.27</v>
      </c>
      <c r="P1068" s="52" t="s">
        <v>2998</v>
      </c>
      <c r="Q1068" s="52" t="s">
        <v>3012</v>
      </c>
      <c r="R1068" s="52" t="s">
        <v>64</v>
      </c>
      <c r="S1068" s="52" t="s">
        <v>2932</v>
      </c>
    </row>
    <row r="1069" spans="1:19" hidden="1" outlineLevel="2" x14ac:dyDescent="0.45">
      <c r="A1069" s="52" t="s">
        <v>16</v>
      </c>
      <c r="B1069" s="52" t="s">
        <v>57</v>
      </c>
      <c r="C1069" s="52"/>
      <c r="D1069" s="52" t="s">
        <v>3063</v>
      </c>
      <c r="E1069" s="52" t="s">
        <v>387</v>
      </c>
      <c r="F1069" s="52" t="s">
        <v>3011</v>
      </c>
      <c r="G1069" s="52" t="s">
        <v>60</v>
      </c>
      <c r="H1069" s="52" t="s">
        <v>3064</v>
      </c>
      <c r="I1069" s="52" t="s">
        <v>2833</v>
      </c>
      <c r="J1069" s="52" t="s">
        <v>2851</v>
      </c>
      <c r="K1069" s="52" t="s">
        <v>3065</v>
      </c>
      <c r="L1069" s="52" t="s">
        <v>3065</v>
      </c>
      <c r="M1069" s="52" t="s">
        <v>29</v>
      </c>
      <c r="N1069" s="84">
        <v>-2771.7</v>
      </c>
      <c r="O1069" s="84">
        <v>-2771.7</v>
      </c>
      <c r="P1069" s="52" t="s">
        <v>2998</v>
      </c>
      <c r="Q1069" s="52" t="s">
        <v>3012</v>
      </c>
      <c r="R1069" s="52" t="s">
        <v>64</v>
      </c>
      <c r="S1069" s="52" t="s">
        <v>2932</v>
      </c>
    </row>
    <row r="1070" spans="1:19" hidden="1" outlineLevel="2" x14ac:dyDescent="0.45">
      <c r="A1070" s="52" t="s">
        <v>16</v>
      </c>
      <c r="B1070" s="52" t="s">
        <v>57</v>
      </c>
      <c r="C1070" s="52"/>
      <c r="D1070" s="52" t="s">
        <v>3066</v>
      </c>
      <c r="E1070" s="52" t="s">
        <v>387</v>
      </c>
      <c r="F1070" s="52" t="s">
        <v>3011</v>
      </c>
      <c r="G1070" s="52" t="s">
        <v>60</v>
      </c>
      <c r="H1070" s="52" t="s">
        <v>3067</v>
      </c>
      <c r="I1070" s="52" t="s">
        <v>2833</v>
      </c>
      <c r="J1070" s="52" t="s">
        <v>2851</v>
      </c>
      <c r="K1070" s="52" t="s">
        <v>3068</v>
      </c>
      <c r="L1070" s="52" t="s">
        <v>3068</v>
      </c>
      <c r="M1070" s="52" t="s">
        <v>29</v>
      </c>
      <c r="N1070" s="84">
        <v>-4698.12</v>
      </c>
      <c r="O1070" s="84">
        <v>-4698.12</v>
      </c>
      <c r="P1070" s="52" t="s">
        <v>2998</v>
      </c>
      <c r="Q1070" s="52" t="s">
        <v>3012</v>
      </c>
      <c r="R1070" s="52" t="s">
        <v>64</v>
      </c>
      <c r="S1070" s="52" t="s">
        <v>2932</v>
      </c>
    </row>
    <row r="1071" spans="1:19" hidden="1" outlineLevel="2" x14ac:dyDescent="0.45">
      <c r="A1071" s="52" t="s">
        <v>16</v>
      </c>
      <c r="B1071" s="52" t="s">
        <v>57</v>
      </c>
      <c r="C1071" s="52"/>
      <c r="D1071" s="52" t="s">
        <v>3069</v>
      </c>
      <c r="E1071" s="52" t="s">
        <v>387</v>
      </c>
      <c r="F1071" s="52" t="s">
        <v>3011</v>
      </c>
      <c r="G1071" s="52" t="s">
        <v>60</v>
      </c>
      <c r="H1071" s="52" t="s">
        <v>3070</v>
      </c>
      <c r="I1071" s="52" t="s">
        <v>2833</v>
      </c>
      <c r="J1071" s="52" t="s">
        <v>2851</v>
      </c>
      <c r="K1071" s="52" t="s">
        <v>3071</v>
      </c>
      <c r="L1071" s="52" t="s">
        <v>3071</v>
      </c>
      <c r="M1071" s="52" t="s">
        <v>29</v>
      </c>
      <c r="N1071" s="84">
        <v>-5163.34</v>
      </c>
      <c r="O1071" s="84">
        <v>-5163.34</v>
      </c>
      <c r="P1071" s="52" t="s">
        <v>2998</v>
      </c>
      <c r="Q1071" s="52" t="s">
        <v>3012</v>
      </c>
      <c r="R1071" s="52" t="s">
        <v>64</v>
      </c>
      <c r="S1071" s="52" t="s">
        <v>2932</v>
      </c>
    </row>
    <row r="1072" spans="1:19" hidden="1" outlineLevel="2" x14ac:dyDescent="0.45">
      <c r="A1072" s="52" t="s">
        <v>16</v>
      </c>
      <c r="B1072" s="52" t="s">
        <v>57</v>
      </c>
      <c r="C1072" s="52"/>
      <c r="D1072" s="52" t="s">
        <v>3072</v>
      </c>
      <c r="E1072" s="52" t="s">
        <v>387</v>
      </c>
      <c r="F1072" s="52" t="s">
        <v>3011</v>
      </c>
      <c r="G1072" s="52" t="s">
        <v>60</v>
      </c>
      <c r="H1072" s="52" t="s">
        <v>3073</v>
      </c>
      <c r="I1072" s="52" t="s">
        <v>2833</v>
      </c>
      <c r="J1072" s="52" t="s">
        <v>2851</v>
      </c>
      <c r="K1072" s="52" t="s">
        <v>3074</v>
      </c>
      <c r="L1072" s="52" t="s">
        <v>3074</v>
      </c>
      <c r="M1072" s="52" t="s">
        <v>29</v>
      </c>
      <c r="N1072" s="84">
        <v>-3565.28</v>
      </c>
      <c r="O1072" s="84">
        <v>-3565.28</v>
      </c>
      <c r="P1072" s="52" t="s">
        <v>2998</v>
      </c>
      <c r="Q1072" s="52" t="s">
        <v>3012</v>
      </c>
      <c r="R1072" s="52" t="s">
        <v>64</v>
      </c>
      <c r="S1072" s="52" t="s">
        <v>2932</v>
      </c>
    </row>
    <row r="1073" spans="1:19" hidden="1" outlineLevel="2" x14ac:dyDescent="0.45">
      <c r="A1073" s="52" t="s">
        <v>16</v>
      </c>
      <c r="B1073" s="52" t="s">
        <v>57</v>
      </c>
      <c r="C1073" s="52" t="s">
        <v>3075</v>
      </c>
      <c r="D1073" s="52" t="s">
        <v>3076</v>
      </c>
      <c r="E1073" s="52" t="s">
        <v>387</v>
      </c>
      <c r="F1073" s="52" t="s">
        <v>3011</v>
      </c>
      <c r="G1073" s="52" t="s">
        <v>60</v>
      </c>
      <c r="H1073" s="52" t="s">
        <v>3077</v>
      </c>
      <c r="I1073" s="52" t="s">
        <v>2833</v>
      </c>
      <c r="J1073" s="52" t="s">
        <v>2851</v>
      </c>
      <c r="K1073" s="52" t="s">
        <v>3078</v>
      </c>
      <c r="L1073" s="52" t="s">
        <v>3078</v>
      </c>
      <c r="M1073" s="52" t="s">
        <v>29</v>
      </c>
      <c r="N1073" s="84">
        <v>-2244.5</v>
      </c>
      <c r="O1073" s="84">
        <v>-2244.5</v>
      </c>
      <c r="P1073" s="52" t="s">
        <v>2998</v>
      </c>
      <c r="Q1073" s="52" t="s">
        <v>3012</v>
      </c>
      <c r="R1073" s="52" t="s">
        <v>64</v>
      </c>
      <c r="S1073" s="52" t="s">
        <v>2932</v>
      </c>
    </row>
    <row r="1074" spans="1:19" hidden="1" outlineLevel="2" x14ac:dyDescent="0.45">
      <c r="A1074" s="52" t="s">
        <v>16</v>
      </c>
      <c r="B1074" s="52" t="s">
        <v>57</v>
      </c>
      <c r="C1074" s="52"/>
      <c r="D1074" s="52" t="s">
        <v>1276</v>
      </c>
      <c r="E1074" s="52" t="s">
        <v>387</v>
      </c>
      <c r="F1074" s="52" t="s">
        <v>3011</v>
      </c>
      <c r="G1074" s="52" t="s">
        <v>60</v>
      </c>
      <c r="H1074" s="52" t="s">
        <v>3079</v>
      </c>
      <c r="I1074" s="52" t="s">
        <v>2833</v>
      </c>
      <c r="J1074" s="52" t="s">
        <v>2851</v>
      </c>
      <c r="K1074" s="52" t="s">
        <v>3080</v>
      </c>
      <c r="L1074" s="52" t="s">
        <v>3080</v>
      </c>
      <c r="M1074" s="52" t="s">
        <v>29</v>
      </c>
      <c r="N1074" s="84">
        <v>-1258.17</v>
      </c>
      <c r="O1074" s="84">
        <v>-1258.17</v>
      </c>
      <c r="P1074" s="52" t="s">
        <v>2998</v>
      </c>
      <c r="Q1074" s="52" t="s">
        <v>3012</v>
      </c>
      <c r="R1074" s="52" t="s">
        <v>64</v>
      </c>
      <c r="S1074" s="52" t="s">
        <v>2932</v>
      </c>
    </row>
    <row r="1075" spans="1:19" outlineLevel="1" collapsed="1" x14ac:dyDescent="0.45">
      <c r="A1075" s="1" t="s">
        <v>552</v>
      </c>
      <c r="B1075" s="52"/>
      <c r="C1075" s="52"/>
      <c r="D1075" s="52"/>
      <c r="E1075" s="52"/>
      <c r="F1075" s="52"/>
      <c r="G1075" s="52"/>
      <c r="H1075" s="54"/>
      <c r="I1075" s="52"/>
      <c r="J1075" s="52"/>
      <c r="K1075" s="52"/>
      <c r="L1075" s="52"/>
      <c r="M1075" s="52"/>
      <c r="N1075" s="53"/>
      <c r="O1075" s="53">
        <f>SUBTOTAL(9,O996:O1074)</f>
        <v>-479140.47000000009</v>
      </c>
      <c r="P1075" s="52"/>
      <c r="Q1075" s="52"/>
      <c r="R1075" s="52"/>
      <c r="S1075" s="52"/>
    </row>
    <row r="1076" spans="1:19" hidden="1" outlineLevel="2" x14ac:dyDescent="0.45">
      <c r="A1076" s="52" t="s">
        <v>17</v>
      </c>
      <c r="B1076" s="52" t="s">
        <v>57</v>
      </c>
      <c r="C1076" s="52" t="s">
        <v>376</v>
      </c>
      <c r="D1076" s="52" t="s">
        <v>377</v>
      </c>
      <c r="E1076" s="52" t="s">
        <v>387</v>
      </c>
      <c r="F1076" s="52" t="s">
        <v>3081</v>
      </c>
      <c r="G1076" s="52" t="s">
        <v>60</v>
      </c>
      <c r="H1076" s="52" t="s">
        <v>3082</v>
      </c>
      <c r="I1076" s="52" t="s">
        <v>2833</v>
      </c>
      <c r="J1076" s="52" t="s">
        <v>2918</v>
      </c>
      <c r="K1076" s="52" t="s">
        <v>3083</v>
      </c>
      <c r="L1076" s="52" t="s">
        <v>3083</v>
      </c>
      <c r="M1076" s="52" t="s">
        <v>29</v>
      </c>
      <c r="N1076" s="84">
        <v>-1700</v>
      </c>
      <c r="O1076" s="84">
        <v>-1700</v>
      </c>
      <c r="P1076" s="52" t="s">
        <v>3084</v>
      </c>
      <c r="Q1076" s="52" t="s">
        <v>3085</v>
      </c>
      <c r="R1076" s="52" t="s">
        <v>64</v>
      </c>
      <c r="S1076" s="52" t="s">
        <v>2918</v>
      </c>
    </row>
    <row r="1077" spans="1:19" hidden="1" outlineLevel="2" x14ac:dyDescent="0.45">
      <c r="A1077" s="52" t="s">
        <v>17</v>
      </c>
      <c r="B1077" s="52" t="s">
        <v>57</v>
      </c>
      <c r="C1077" s="52" t="s">
        <v>376</v>
      </c>
      <c r="D1077" s="52" t="s">
        <v>377</v>
      </c>
      <c r="E1077" s="52" t="s">
        <v>387</v>
      </c>
      <c r="F1077" s="52" t="s">
        <v>3081</v>
      </c>
      <c r="G1077" s="52" t="s">
        <v>60</v>
      </c>
      <c r="H1077" s="52" t="s">
        <v>3082</v>
      </c>
      <c r="I1077" s="52" t="s">
        <v>2833</v>
      </c>
      <c r="J1077" s="52" t="s">
        <v>2918</v>
      </c>
      <c r="K1077" s="52" t="s">
        <v>3083</v>
      </c>
      <c r="L1077" s="52" t="s">
        <v>3083</v>
      </c>
      <c r="M1077" s="52" t="s">
        <v>29</v>
      </c>
      <c r="N1077" s="84">
        <v>-2000</v>
      </c>
      <c r="O1077" s="84">
        <v>-2000</v>
      </c>
      <c r="P1077" s="52" t="s">
        <v>3084</v>
      </c>
      <c r="Q1077" s="52" t="s">
        <v>3085</v>
      </c>
      <c r="R1077" s="52" t="s">
        <v>64</v>
      </c>
      <c r="S1077" s="52" t="s">
        <v>2918</v>
      </c>
    </row>
    <row r="1078" spans="1:19" hidden="1" outlineLevel="2" x14ac:dyDescent="0.45">
      <c r="A1078" s="52" t="s">
        <v>17</v>
      </c>
      <c r="B1078" s="52" t="s">
        <v>57</v>
      </c>
      <c r="C1078" s="52" t="s">
        <v>376</v>
      </c>
      <c r="D1078" s="52" t="s">
        <v>377</v>
      </c>
      <c r="E1078" s="52" t="s">
        <v>387</v>
      </c>
      <c r="F1078" s="52" t="s">
        <v>3081</v>
      </c>
      <c r="G1078" s="52" t="s">
        <v>60</v>
      </c>
      <c r="H1078" s="52" t="s">
        <v>3082</v>
      </c>
      <c r="I1078" s="52" t="s">
        <v>2833</v>
      </c>
      <c r="J1078" s="52" t="s">
        <v>2918</v>
      </c>
      <c r="K1078" s="52" t="s">
        <v>3083</v>
      </c>
      <c r="L1078" s="52" t="s">
        <v>3083</v>
      </c>
      <c r="M1078" s="52" t="s">
        <v>29</v>
      </c>
      <c r="N1078" s="84">
        <v>-2288</v>
      </c>
      <c r="O1078" s="84">
        <v>-2288</v>
      </c>
      <c r="P1078" s="52" t="s">
        <v>3084</v>
      </c>
      <c r="Q1078" s="52" t="s">
        <v>3085</v>
      </c>
      <c r="R1078" s="52" t="s">
        <v>64</v>
      </c>
      <c r="S1078" s="52" t="s">
        <v>2918</v>
      </c>
    </row>
    <row r="1079" spans="1:19" hidden="1" outlineLevel="2" x14ac:dyDescent="0.45">
      <c r="A1079" s="52" t="s">
        <v>17</v>
      </c>
      <c r="B1079" s="52" t="s">
        <v>57</v>
      </c>
      <c r="C1079" s="52" t="s">
        <v>376</v>
      </c>
      <c r="D1079" s="52" t="s">
        <v>377</v>
      </c>
      <c r="E1079" s="52" t="s">
        <v>387</v>
      </c>
      <c r="F1079" s="52" t="s">
        <v>3081</v>
      </c>
      <c r="G1079" s="52" t="s">
        <v>60</v>
      </c>
      <c r="H1079" s="52" t="s">
        <v>3082</v>
      </c>
      <c r="I1079" s="52" t="s">
        <v>2833</v>
      </c>
      <c r="J1079" s="52" t="s">
        <v>2918</v>
      </c>
      <c r="K1079" s="52" t="s">
        <v>3083</v>
      </c>
      <c r="L1079" s="52" t="s">
        <v>3083</v>
      </c>
      <c r="M1079" s="52" t="s">
        <v>29</v>
      </c>
      <c r="N1079" s="84">
        <v>-48612.23</v>
      </c>
      <c r="O1079" s="84">
        <v>-48612.23</v>
      </c>
      <c r="P1079" s="52" t="s">
        <v>3084</v>
      </c>
      <c r="Q1079" s="52" t="s">
        <v>3085</v>
      </c>
      <c r="R1079" s="52" t="s">
        <v>64</v>
      </c>
      <c r="S1079" s="52" t="s">
        <v>2918</v>
      </c>
    </row>
    <row r="1080" spans="1:19" hidden="1" outlineLevel="2" x14ac:dyDescent="0.45">
      <c r="A1080" s="52" t="s">
        <v>17</v>
      </c>
      <c r="B1080" s="52" t="s">
        <v>57</v>
      </c>
      <c r="C1080" s="52" t="s">
        <v>349</v>
      </c>
      <c r="D1080" s="52" t="s">
        <v>350</v>
      </c>
      <c r="E1080" s="52" t="s">
        <v>387</v>
      </c>
      <c r="F1080" s="52" t="s">
        <v>3086</v>
      </c>
      <c r="G1080" s="52" t="s">
        <v>60</v>
      </c>
      <c r="H1080" s="52" t="s">
        <v>3087</v>
      </c>
      <c r="I1080" s="52" t="s">
        <v>2833</v>
      </c>
      <c r="J1080" s="52" t="s">
        <v>2918</v>
      </c>
      <c r="K1080" s="52" t="s">
        <v>3088</v>
      </c>
      <c r="L1080" s="52" t="s">
        <v>3088</v>
      </c>
      <c r="M1080" s="52" t="s">
        <v>29</v>
      </c>
      <c r="N1080" s="84">
        <v>-4.3</v>
      </c>
      <c r="O1080" s="84">
        <v>-4.3</v>
      </c>
      <c r="P1080" s="52" t="s">
        <v>3089</v>
      </c>
      <c r="Q1080" s="52" t="s">
        <v>3090</v>
      </c>
      <c r="R1080" s="52" t="s">
        <v>64</v>
      </c>
      <c r="S1080" s="52" t="s">
        <v>2918</v>
      </c>
    </row>
    <row r="1081" spans="1:19" hidden="1" outlineLevel="2" x14ac:dyDescent="0.45">
      <c r="A1081" s="52" t="s">
        <v>17</v>
      </c>
      <c r="B1081" s="52" t="s">
        <v>57</v>
      </c>
      <c r="C1081" s="52" t="s">
        <v>349</v>
      </c>
      <c r="D1081" s="52" t="s">
        <v>350</v>
      </c>
      <c r="E1081" s="52" t="s">
        <v>387</v>
      </c>
      <c r="F1081" s="52" t="s">
        <v>3091</v>
      </c>
      <c r="G1081" s="52" t="s">
        <v>60</v>
      </c>
      <c r="H1081" s="52" t="s">
        <v>2904</v>
      </c>
      <c r="I1081" s="52" t="s">
        <v>2833</v>
      </c>
      <c r="J1081" s="52" t="s">
        <v>2918</v>
      </c>
      <c r="K1081" s="52" t="s">
        <v>3092</v>
      </c>
      <c r="L1081" s="52" t="s">
        <v>3092</v>
      </c>
      <c r="M1081" s="52" t="s">
        <v>29</v>
      </c>
      <c r="N1081" s="84">
        <v>-40</v>
      </c>
      <c r="O1081" s="84">
        <v>-40</v>
      </c>
      <c r="P1081" s="52" t="s">
        <v>3093</v>
      </c>
      <c r="Q1081" s="52" t="s">
        <v>3094</v>
      </c>
      <c r="R1081" s="52" t="s">
        <v>64</v>
      </c>
      <c r="S1081" s="52" t="s">
        <v>2918</v>
      </c>
    </row>
    <row r="1082" spans="1:19" hidden="1" outlineLevel="2" x14ac:dyDescent="0.45">
      <c r="A1082" s="52" t="s">
        <v>17</v>
      </c>
      <c r="B1082" s="52" t="s">
        <v>57</v>
      </c>
      <c r="C1082" s="52" t="s">
        <v>349</v>
      </c>
      <c r="D1082" s="52" t="s">
        <v>350</v>
      </c>
      <c r="E1082" s="52" t="s">
        <v>387</v>
      </c>
      <c r="F1082" s="52" t="s">
        <v>3095</v>
      </c>
      <c r="G1082" s="52" t="s">
        <v>60</v>
      </c>
      <c r="H1082" s="52" t="s">
        <v>3096</v>
      </c>
      <c r="I1082" s="52" t="s">
        <v>2833</v>
      </c>
      <c r="J1082" s="52" t="s">
        <v>2902</v>
      </c>
      <c r="K1082" s="52" t="s">
        <v>3097</v>
      </c>
      <c r="L1082" s="52" t="s">
        <v>3097</v>
      </c>
      <c r="M1082" s="52" t="s">
        <v>29</v>
      </c>
      <c r="N1082" s="84">
        <v>-7</v>
      </c>
      <c r="O1082" s="84">
        <v>-7</v>
      </c>
      <c r="P1082" s="52" t="s">
        <v>3098</v>
      </c>
      <c r="Q1082" s="52" t="s">
        <v>3099</v>
      </c>
      <c r="R1082" s="52" t="s">
        <v>64</v>
      </c>
      <c r="S1082" s="52" t="s">
        <v>2918</v>
      </c>
    </row>
    <row r="1083" spans="1:19" hidden="1" outlineLevel="2" x14ac:dyDescent="0.45">
      <c r="A1083" s="52" t="s">
        <v>17</v>
      </c>
      <c r="B1083" s="52" t="s">
        <v>57</v>
      </c>
      <c r="C1083" s="52" t="s">
        <v>2099</v>
      </c>
      <c r="D1083" s="52" t="s">
        <v>2100</v>
      </c>
      <c r="E1083" s="52" t="s">
        <v>387</v>
      </c>
      <c r="F1083" s="52" t="s">
        <v>3100</v>
      </c>
      <c r="G1083" s="52" t="s">
        <v>60</v>
      </c>
      <c r="H1083" s="52" t="s">
        <v>2554</v>
      </c>
      <c r="I1083" s="52" t="s">
        <v>2833</v>
      </c>
      <c r="J1083" s="52" t="s">
        <v>2918</v>
      </c>
      <c r="K1083" s="52" t="s">
        <v>2562</v>
      </c>
      <c r="L1083" s="52" t="s">
        <v>2562</v>
      </c>
      <c r="M1083" s="52" t="s">
        <v>29</v>
      </c>
      <c r="N1083" s="84">
        <v>-810</v>
      </c>
      <c r="O1083" s="84">
        <v>-810</v>
      </c>
      <c r="P1083" s="52" t="s">
        <v>2563</v>
      </c>
      <c r="Q1083" s="52" t="s">
        <v>3101</v>
      </c>
      <c r="R1083" s="52" t="s">
        <v>64</v>
      </c>
      <c r="S1083" s="52" t="s">
        <v>2561</v>
      </c>
    </row>
    <row r="1084" spans="1:19" hidden="1" outlineLevel="2" x14ac:dyDescent="0.45">
      <c r="A1084" s="52" t="s">
        <v>17</v>
      </c>
      <c r="B1084" s="52" t="s">
        <v>57</v>
      </c>
      <c r="C1084" s="52" t="s">
        <v>2099</v>
      </c>
      <c r="D1084" s="52" t="s">
        <v>2100</v>
      </c>
      <c r="E1084" s="52" t="s">
        <v>387</v>
      </c>
      <c r="F1084" s="52" t="s">
        <v>3102</v>
      </c>
      <c r="G1084" s="52" t="s">
        <v>60</v>
      </c>
      <c r="H1084" s="52" t="s">
        <v>819</v>
      </c>
      <c r="I1084" s="52" t="s">
        <v>2833</v>
      </c>
      <c r="J1084" s="52" t="s">
        <v>2918</v>
      </c>
      <c r="K1084" s="52" t="s">
        <v>2240</v>
      </c>
      <c r="L1084" s="52" t="s">
        <v>2240</v>
      </c>
      <c r="M1084" s="52" t="s">
        <v>29</v>
      </c>
      <c r="N1084" s="84">
        <v>-810</v>
      </c>
      <c r="O1084" s="84">
        <v>-810</v>
      </c>
      <c r="P1084" s="52" t="s">
        <v>2571</v>
      </c>
      <c r="Q1084" s="52" t="s">
        <v>3101</v>
      </c>
      <c r="R1084" s="52" t="s">
        <v>64</v>
      </c>
      <c r="S1084" s="52" t="s">
        <v>2561</v>
      </c>
    </row>
    <row r="1085" spans="1:19" hidden="1" outlineLevel="2" x14ac:dyDescent="0.45">
      <c r="A1085" s="52" t="s">
        <v>17</v>
      </c>
      <c r="B1085" s="52" t="s">
        <v>57</v>
      </c>
      <c r="C1085" s="52" t="s">
        <v>630</v>
      </c>
      <c r="D1085" s="52" t="s">
        <v>631</v>
      </c>
      <c r="E1085" s="52" t="s">
        <v>387</v>
      </c>
      <c r="F1085" s="52" t="s">
        <v>3103</v>
      </c>
      <c r="G1085" s="52" t="s">
        <v>60</v>
      </c>
      <c r="H1085" s="52" t="s">
        <v>3104</v>
      </c>
      <c r="I1085" s="52" t="s">
        <v>2833</v>
      </c>
      <c r="J1085" s="52" t="s">
        <v>2851</v>
      </c>
      <c r="K1085" s="52" t="s">
        <v>3105</v>
      </c>
      <c r="L1085" s="52" t="s">
        <v>3105</v>
      </c>
      <c r="M1085" s="52" t="s">
        <v>29</v>
      </c>
      <c r="N1085" s="84">
        <v>-430</v>
      </c>
      <c r="O1085" s="84">
        <v>-430</v>
      </c>
      <c r="P1085" s="52" t="s">
        <v>3106</v>
      </c>
      <c r="Q1085" s="52" t="s">
        <v>3107</v>
      </c>
      <c r="R1085" s="52" t="s">
        <v>64</v>
      </c>
      <c r="S1085" s="52" t="s">
        <v>2851</v>
      </c>
    </row>
    <row r="1086" spans="1:19" hidden="1" outlineLevel="2" x14ac:dyDescent="0.45">
      <c r="A1086" s="52" t="s">
        <v>17</v>
      </c>
      <c r="B1086" s="52" t="s">
        <v>57</v>
      </c>
      <c r="C1086" s="52" t="s">
        <v>630</v>
      </c>
      <c r="D1086" s="52" t="s">
        <v>631</v>
      </c>
      <c r="E1086" s="52" t="s">
        <v>387</v>
      </c>
      <c r="F1086" s="52" t="s">
        <v>3108</v>
      </c>
      <c r="G1086" s="52" t="s">
        <v>60</v>
      </c>
      <c r="H1086" s="52" t="s">
        <v>3109</v>
      </c>
      <c r="I1086" s="52" t="s">
        <v>2833</v>
      </c>
      <c r="J1086" s="52" t="s">
        <v>2843</v>
      </c>
      <c r="K1086" s="52" t="s">
        <v>3110</v>
      </c>
      <c r="L1086" s="52" t="s">
        <v>3110</v>
      </c>
      <c r="M1086" s="52" t="s">
        <v>29</v>
      </c>
      <c r="N1086" s="84">
        <v>-2500</v>
      </c>
      <c r="O1086" s="84">
        <v>-2500</v>
      </c>
      <c r="P1086" s="52" t="s">
        <v>3111</v>
      </c>
      <c r="Q1086" s="52" t="s">
        <v>3112</v>
      </c>
      <c r="R1086" s="52" t="s">
        <v>64</v>
      </c>
      <c r="S1086" s="52" t="s">
        <v>2843</v>
      </c>
    </row>
    <row r="1087" spans="1:19" hidden="1" outlineLevel="2" x14ac:dyDescent="0.45">
      <c r="A1087" s="52" t="s">
        <v>17</v>
      </c>
      <c r="B1087" s="52" t="s">
        <v>57</v>
      </c>
      <c r="C1087" s="52" t="s">
        <v>630</v>
      </c>
      <c r="D1087" s="52" t="s">
        <v>631</v>
      </c>
      <c r="E1087" s="52" t="s">
        <v>387</v>
      </c>
      <c r="F1087" s="52" t="s">
        <v>3113</v>
      </c>
      <c r="G1087" s="52" t="s">
        <v>60</v>
      </c>
      <c r="H1087" s="52" t="s">
        <v>3114</v>
      </c>
      <c r="I1087" s="52" t="s">
        <v>2833</v>
      </c>
      <c r="J1087" s="52" t="s">
        <v>2918</v>
      </c>
      <c r="K1087" s="52" t="s">
        <v>3115</v>
      </c>
      <c r="L1087" s="52" t="s">
        <v>3115</v>
      </c>
      <c r="M1087" s="52" t="s">
        <v>29</v>
      </c>
      <c r="N1087" s="84">
        <v>-2500</v>
      </c>
      <c r="O1087" s="84">
        <v>-2500</v>
      </c>
      <c r="P1087" s="52" t="s">
        <v>3116</v>
      </c>
      <c r="Q1087" s="52" t="s">
        <v>3117</v>
      </c>
      <c r="R1087" s="52" t="s">
        <v>64</v>
      </c>
      <c r="S1087" s="52" t="s">
        <v>2918</v>
      </c>
    </row>
    <row r="1088" spans="1:19" hidden="1" outlineLevel="2" x14ac:dyDescent="0.45">
      <c r="A1088" s="52" t="s">
        <v>17</v>
      </c>
      <c r="B1088" s="52" t="s">
        <v>57</v>
      </c>
      <c r="C1088" s="52" t="s">
        <v>376</v>
      </c>
      <c r="D1088" s="52" t="s">
        <v>377</v>
      </c>
      <c r="E1088" s="52" t="s">
        <v>387</v>
      </c>
      <c r="F1088" s="52" t="s">
        <v>3118</v>
      </c>
      <c r="G1088" s="52" t="s">
        <v>60</v>
      </c>
      <c r="H1088" s="52" t="s">
        <v>3119</v>
      </c>
      <c r="I1088" s="52" t="s">
        <v>2833</v>
      </c>
      <c r="J1088" s="52" t="s">
        <v>2918</v>
      </c>
      <c r="K1088" s="52" t="s">
        <v>3120</v>
      </c>
      <c r="L1088" s="52" t="s">
        <v>3120</v>
      </c>
      <c r="M1088" s="52" t="s">
        <v>29</v>
      </c>
      <c r="N1088" s="84">
        <v>-885</v>
      </c>
      <c r="O1088" s="84">
        <v>-885</v>
      </c>
      <c r="P1088" s="52" t="s">
        <v>3121</v>
      </c>
      <c r="Q1088" s="52" t="s">
        <v>3122</v>
      </c>
      <c r="R1088" s="52" t="s">
        <v>64</v>
      </c>
      <c r="S1088" s="52" t="s">
        <v>2918</v>
      </c>
    </row>
    <row r="1089" spans="1:19" hidden="1" outlineLevel="2" x14ac:dyDescent="0.45">
      <c r="A1089" s="52" t="s">
        <v>17</v>
      </c>
      <c r="B1089" s="52" t="s">
        <v>57</v>
      </c>
      <c r="C1089" s="52" t="s">
        <v>1245</v>
      </c>
      <c r="D1089" s="52" t="s">
        <v>1246</v>
      </c>
      <c r="E1089" s="52" t="s">
        <v>387</v>
      </c>
      <c r="F1089" s="52" t="s">
        <v>3123</v>
      </c>
      <c r="G1089" s="52" t="s">
        <v>60</v>
      </c>
      <c r="H1089" s="52" t="s">
        <v>3124</v>
      </c>
      <c r="I1089" s="52" t="s">
        <v>2833</v>
      </c>
      <c r="J1089" s="52" t="s">
        <v>2841</v>
      </c>
      <c r="K1089" s="52" t="s">
        <v>3125</v>
      </c>
      <c r="L1089" s="52" t="s">
        <v>3125</v>
      </c>
      <c r="M1089" s="52" t="s">
        <v>29</v>
      </c>
      <c r="N1089" s="84">
        <v>-800</v>
      </c>
      <c r="O1089" s="84">
        <v>-800</v>
      </c>
      <c r="P1089" s="52" t="s">
        <v>3126</v>
      </c>
      <c r="Q1089" s="52" t="s">
        <v>3127</v>
      </c>
      <c r="R1089" s="52" t="s">
        <v>64</v>
      </c>
      <c r="S1089" s="52" t="s">
        <v>2858</v>
      </c>
    </row>
    <row r="1090" spans="1:19" hidden="1" outlineLevel="2" x14ac:dyDescent="0.45">
      <c r="A1090" s="52" t="s">
        <v>17</v>
      </c>
      <c r="B1090" s="52" t="s">
        <v>57</v>
      </c>
      <c r="C1090" s="52" t="s">
        <v>774</v>
      </c>
      <c r="D1090" s="52" t="s">
        <v>775</v>
      </c>
      <c r="E1090" s="52" t="s">
        <v>387</v>
      </c>
      <c r="F1090" s="52" t="s">
        <v>3128</v>
      </c>
      <c r="G1090" s="52" t="s">
        <v>60</v>
      </c>
      <c r="H1090" s="52" t="s">
        <v>2832</v>
      </c>
      <c r="I1090" s="52" t="s">
        <v>2833</v>
      </c>
      <c r="J1090" s="52" t="s">
        <v>2843</v>
      </c>
      <c r="K1090" s="52" t="s">
        <v>777</v>
      </c>
      <c r="L1090" s="52" t="s">
        <v>777</v>
      </c>
      <c r="M1090" s="52" t="s">
        <v>29</v>
      </c>
      <c r="N1090" s="84">
        <v>-3000</v>
      </c>
      <c r="O1090" s="84">
        <v>-3000</v>
      </c>
      <c r="P1090" s="52" t="s">
        <v>778</v>
      </c>
      <c r="Q1090" s="52" t="s">
        <v>2844</v>
      </c>
      <c r="R1090" s="52" t="s">
        <v>64</v>
      </c>
      <c r="S1090" s="52" t="s">
        <v>2839</v>
      </c>
    </row>
    <row r="1091" spans="1:19" hidden="1" outlineLevel="2" x14ac:dyDescent="0.45">
      <c r="A1091" s="52" t="s">
        <v>17</v>
      </c>
      <c r="B1091" s="52" t="s">
        <v>57</v>
      </c>
      <c r="C1091" s="52" t="s">
        <v>774</v>
      </c>
      <c r="D1091" s="52" t="s">
        <v>775</v>
      </c>
      <c r="E1091" s="52" t="s">
        <v>387</v>
      </c>
      <c r="F1091" s="52" t="s">
        <v>3129</v>
      </c>
      <c r="G1091" s="52" t="s">
        <v>60</v>
      </c>
      <c r="H1091" s="52" t="s">
        <v>2832</v>
      </c>
      <c r="I1091" s="52" t="s">
        <v>2833</v>
      </c>
      <c r="J1091" s="52" t="s">
        <v>2841</v>
      </c>
      <c r="K1091" s="52" t="s">
        <v>777</v>
      </c>
      <c r="L1091" s="52" t="s">
        <v>777</v>
      </c>
      <c r="M1091" s="52" t="s">
        <v>29</v>
      </c>
      <c r="N1091" s="84">
        <v>-679.01</v>
      </c>
      <c r="O1091" s="84">
        <v>-679.01</v>
      </c>
      <c r="P1091" s="52" t="s">
        <v>778</v>
      </c>
      <c r="Q1091" s="52" t="s">
        <v>2849</v>
      </c>
      <c r="R1091" s="52" t="s">
        <v>64</v>
      </c>
      <c r="S1091" s="52" t="s">
        <v>2839</v>
      </c>
    </row>
    <row r="1092" spans="1:19" hidden="1" outlineLevel="2" x14ac:dyDescent="0.45">
      <c r="A1092" s="52" t="s">
        <v>17</v>
      </c>
      <c r="B1092" s="52" t="s">
        <v>57</v>
      </c>
      <c r="C1092" s="52" t="s">
        <v>774</v>
      </c>
      <c r="D1092" s="52" t="s">
        <v>775</v>
      </c>
      <c r="E1092" s="52" t="s">
        <v>387</v>
      </c>
      <c r="F1092" s="52" t="s">
        <v>3129</v>
      </c>
      <c r="G1092" s="52" t="s">
        <v>60</v>
      </c>
      <c r="H1092" s="52" t="s">
        <v>2832</v>
      </c>
      <c r="I1092" s="52" t="s">
        <v>2833</v>
      </c>
      <c r="J1092" s="52" t="s">
        <v>2841</v>
      </c>
      <c r="K1092" s="52" t="s">
        <v>777</v>
      </c>
      <c r="L1092" s="52" t="s">
        <v>777</v>
      </c>
      <c r="M1092" s="52" t="s">
        <v>29</v>
      </c>
      <c r="N1092" s="84">
        <v>-1320.99</v>
      </c>
      <c r="O1092" s="84">
        <v>-1320.99</v>
      </c>
      <c r="P1092" s="52" t="s">
        <v>778</v>
      </c>
      <c r="Q1092" s="52" t="s">
        <v>2849</v>
      </c>
      <c r="R1092" s="52" t="s">
        <v>64</v>
      </c>
      <c r="S1092" s="52" t="s">
        <v>2839</v>
      </c>
    </row>
    <row r="1093" spans="1:19" hidden="1" outlineLevel="2" x14ac:dyDescent="0.45">
      <c r="A1093" s="52" t="s">
        <v>17</v>
      </c>
      <c r="B1093" s="52" t="s">
        <v>57</v>
      </c>
      <c r="C1093" s="52" t="s">
        <v>349</v>
      </c>
      <c r="D1093" s="52" t="s">
        <v>350</v>
      </c>
      <c r="E1093" s="52" t="s">
        <v>387</v>
      </c>
      <c r="F1093" s="52" t="s">
        <v>3130</v>
      </c>
      <c r="G1093" s="52" t="s">
        <v>60</v>
      </c>
      <c r="H1093" s="52" t="s">
        <v>769</v>
      </c>
      <c r="I1093" s="52" t="s">
        <v>2833</v>
      </c>
      <c r="J1093" s="52" t="s">
        <v>2851</v>
      </c>
      <c r="K1093" s="52" t="s">
        <v>3131</v>
      </c>
      <c r="L1093" s="52" t="s">
        <v>3131</v>
      </c>
      <c r="M1093" s="52" t="s">
        <v>29</v>
      </c>
      <c r="N1093" s="84">
        <v>-10.5</v>
      </c>
      <c r="O1093" s="84">
        <v>-10.5</v>
      </c>
      <c r="P1093" s="52" t="s">
        <v>3132</v>
      </c>
      <c r="Q1093" s="52" t="s">
        <v>3133</v>
      </c>
      <c r="R1093" s="52" t="s">
        <v>64</v>
      </c>
      <c r="S1093" s="52" t="s">
        <v>2851</v>
      </c>
    </row>
    <row r="1094" spans="1:19" hidden="1" outlineLevel="2" x14ac:dyDescent="0.45">
      <c r="A1094" s="52" t="s">
        <v>17</v>
      </c>
      <c r="B1094" s="52" t="s">
        <v>57</v>
      </c>
      <c r="C1094" s="52" t="s">
        <v>349</v>
      </c>
      <c r="D1094" s="52" t="s">
        <v>350</v>
      </c>
      <c r="E1094" s="52" t="s">
        <v>387</v>
      </c>
      <c r="F1094" s="52" t="s">
        <v>3134</v>
      </c>
      <c r="G1094" s="52" t="s">
        <v>60</v>
      </c>
      <c r="H1094" s="52" t="s">
        <v>862</v>
      </c>
      <c r="I1094" s="52" t="s">
        <v>2833</v>
      </c>
      <c r="J1094" s="52" t="s">
        <v>2841</v>
      </c>
      <c r="K1094" s="52" t="s">
        <v>3135</v>
      </c>
      <c r="L1094" s="52" t="s">
        <v>3135</v>
      </c>
      <c r="M1094" s="52" t="s">
        <v>29</v>
      </c>
      <c r="N1094" s="84">
        <v>-1</v>
      </c>
      <c r="O1094" s="84">
        <v>-1</v>
      </c>
      <c r="P1094" s="52" t="s">
        <v>3136</v>
      </c>
      <c r="Q1094" s="52" t="s">
        <v>3137</v>
      </c>
      <c r="R1094" s="52" t="s">
        <v>64</v>
      </c>
      <c r="S1094" s="52" t="s">
        <v>2841</v>
      </c>
    </row>
    <row r="1095" spans="1:19" hidden="1" outlineLevel="2" x14ac:dyDescent="0.45">
      <c r="A1095" s="52" t="s">
        <v>17</v>
      </c>
      <c r="B1095" s="52" t="s">
        <v>57</v>
      </c>
      <c r="C1095" s="52" t="s">
        <v>349</v>
      </c>
      <c r="D1095" s="52" t="s">
        <v>350</v>
      </c>
      <c r="E1095" s="52" t="s">
        <v>387</v>
      </c>
      <c r="F1095" s="52" t="s">
        <v>3134</v>
      </c>
      <c r="G1095" s="52" t="s">
        <v>60</v>
      </c>
      <c r="H1095" s="52" t="s">
        <v>862</v>
      </c>
      <c r="I1095" s="52" t="s">
        <v>2833</v>
      </c>
      <c r="J1095" s="52" t="s">
        <v>2841</v>
      </c>
      <c r="K1095" s="52" t="s">
        <v>3135</v>
      </c>
      <c r="L1095" s="52" t="s">
        <v>3135</v>
      </c>
      <c r="M1095" s="52" t="s">
        <v>29</v>
      </c>
      <c r="N1095" s="84">
        <v>-4.3</v>
      </c>
      <c r="O1095" s="84">
        <v>-4.3</v>
      </c>
      <c r="P1095" s="52" t="s">
        <v>3136</v>
      </c>
      <c r="Q1095" s="52" t="s">
        <v>3137</v>
      </c>
      <c r="R1095" s="52" t="s">
        <v>64</v>
      </c>
      <c r="S1095" s="52" t="s">
        <v>2841</v>
      </c>
    </row>
    <row r="1096" spans="1:19" hidden="1" outlineLevel="2" x14ac:dyDescent="0.45">
      <c r="A1096" s="52" t="s">
        <v>17</v>
      </c>
      <c r="B1096" s="52" t="s">
        <v>57</v>
      </c>
      <c r="C1096" s="52" t="s">
        <v>870</v>
      </c>
      <c r="D1096" s="52" t="s">
        <v>871</v>
      </c>
      <c r="E1096" s="52" t="s">
        <v>387</v>
      </c>
      <c r="F1096" s="52" t="s">
        <v>3138</v>
      </c>
      <c r="G1096" s="52" t="s">
        <v>60</v>
      </c>
      <c r="H1096" s="52"/>
      <c r="I1096" s="52" t="s">
        <v>2833</v>
      </c>
      <c r="J1096" s="52" t="s">
        <v>2885</v>
      </c>
      <c r="K1096" s="52"/>
      <c r="L1096" s="52"/>
      <c r="M1096" s="52" t="s">
        <v>29</v>
      </c>
      <c r="N1096" s="84">
        <v>-10497.7</v>
      </c>
      <c r="O1096" s="84">
        <v>-10497.7</v>
      </c>
      <c r="P1096" s="52"/>
      <c r="Q1096" s="52" t="s">
        <v>3139</v>
      </c>
      <c r="R1096" s="52" t="s">
        <v>64</v>
      </c>
      <c r="S1096" s="52"/>
    </row>
    <row r="1097" spans="1:19" hidden="1" outlineLevel="2" x14ac:dyDescent="0.45">
      <c r="A1097" s="52" t="s">
        <v>17</v>
      </c>
      <c r="B1097" s="52" t="s">
        <v>57</v>
      </c>
      <c r="C1097" s="52" t="s">
        <v>349</v>
      </c>
      <c r="D1097" s="52" t="s">
        <v>350</v>
      </c>
      <c r="E1097" s="52" t="s">
        <v>387</v>
      </c>
      <c r="F1097" s="52" t="s">
        <v>3140</v>
      </c>
      <c r="G1097" s="52" t="s">
        <v>60</v>
      </c>
      <c r="H1097" s="52" t="s">
        <v>3141</v>
      </c>
      <c r="I1097" s="52" t="s">
        <v>2833</v>
      </c>
      <c r="J1097" s="52" t="s">
        <v>2885</v>
      </c>
      <c r="K1097" s="52" t="s">
        <v>3142</v>
      </c>
      <c r="L1097" s="52" t="s">
        <v>3142</v>
      </c>
      <c r="M1097" s="52" t="s">
        <v>29</v>
      </c>
      <c r="N1097" s="84">
        <v>-4.3</v>
      </c>
      <c r="O1097" s="84">
        <v>-4.3</v>
      </c>
      <c r="P1097" s="52" t="s">
        <v>3143</v>
      </c>
      <c r="Q1097" s="52" t="s">
        <v>3144</v>
      </c>
      <c r="R1097" s="52" t="s">
        <v>64</v>
      </c>
      <c r="S1097" s="52" t="s">
        <v>2885</v>
      </c>
    </row>
    <row r="1098" spans="1:19" hidden="1" outlineLevel="2" x14ac:dyDescent="0.45">
      <c r="A1098" s="52" t="s">
        <v>17</v>
      </c>
      <c r="B1098" s="52" t="s">
        <v>57</v>
      </c>
      <c r="C1098" s="52" t="s">
        <v>349</v>
      </c>
      <c r="D1098" s="52" t="s">
        <v>350</v>
      </c>
      <c r="E1098" s="52" t="s">
        <v>387</v>
      </c>
      <c r="F1098" s="52" t="s">
        <v>3140</v>
      </c>
      <c r="G1098" s="52" t="s">
        <v>60</v>
      </c>
      <c r="H1098" s="52" t="s">
        <v>3141</v>
      </c>
      <c r="I1098" s="52" t="s">
        <v>2833</v>
      </c>
      <c r="J1098" s="52" t="s">
        <v>2885</v>
      </c>
      <c r="K1098" s="52" t="s">
        <v>3142</v>
      </c>
      <c r="L1098" s="52" t="s">
        <v>3142</v>
      </c>
      <c r="M1098" s="52" t="s">
        <v>29</v>
      </c>
      <c r="N1098" s="84">
        <v>-4.3</v>
      </c>
      <c r="O1098" s="84">
        <v>-4.3</v>
      </c>
      <c r="P1098" s="52" t="s">
        <v>3143</v>
      </c>
      <c r="Q1098" s="52" t="s">
        <v>3144</v>
      </c>
      <c r="R1098" s="52" t="s">
        <v>64</v>
      </c>
      <c r="S1098" s="52" t="s">
        <v>2885</v>
      </c>
    </row>
    <row r="1099" spans="1:19" hidden="1" outlineLevel="2" x14ac:dyDescent="0.45">
      <c r="A1099" s="52" t="s">
        <v>17</v>
      </c>
      <c r="B1099" s="52" t="s">
        <v>57</v>
      </c>
      <c r="C1099" s="52" t="s">
        <v>1304</v>
      </c>
      <c r="D1099" s="52" t="s">
        <v>1305</v>
      </c>
      <c r="E1099" s="52" t="s">
        <v>387</v>
      </c>
      <c r="F1099" s="52" t="s">
        <v>3145</v>
      </c>
      <c r="G1099" s="52" t="s">
        <v>60</v>
      </c>
      <c r="H1099" s="52" t="s">
        <v>2688</v>
      </c>
      <c r="I1099" s="52" t="s">
        <v>2833</v>
      </c>
      <c r="J1099" s="52" t="s">
        <v>2932</v>
      </c>
      <c r="K1099" s="52" t="s">
        <v>3146</v>
      </c>
      <c r="L1099" s="52" t="s">
        <v>3146</v>
      </c>
      <c r="M1099" s="52" t="s">
        <v>29</v>
      </c>
      <c r="N1099" s="84">
        <v>-499</v>
      </c>
      <c r="O1099" s="84">
        <v>-499</v>
      </c>
      <c r="P1099" s="52" t="s">
        <v>3147</v>
      </c>
      <c r="Q1099" s="52" t="s">
        <v>3148</v>
      </c>
      <c r="R1099" s="52" t="s">
        <v>64</v>
      </c>
      <c r="S1099" s="52" t="s">
        <v>2851</v>
      </c>
    </row>
    <row r="1100" spans="1:19" hidden="1" outlineLevel="2" x14ac:dyDescent="0.45">
      <c r="A1100" s="52" t="s">
        <v>17</v>
      </c>
      <c r="B1100" s="52" t="s">
        <v>57</v>
      </c>
      <c r="C1100" s="52" t="s">
        <v>758</v>
      </c>
      <c r="D1100" s="52" t="s">
        <v>759</v>
      </c>
      <c r="E1100" s="52" t="s">
        <v>387</v>
      </c>
      <c r="F1100" s="52" t="s">
        <v>3149</v>
      </c>
      <c r="G1100" s="52" t="s">
        <v>60</v>
      </c>
      <c r="H1100" s="52" t="s">
        <v>907</v>
      </c>
      <c r="I1100" s="52" t="s">
        <v>2833</v>
      </c>
      <c r="J1100" s="52" t="s">
        <v>2932</v>
      </c>
      <c r="K1100" s="52" t="s">
        <v>3150</v>
      </c>
      <c r="L1100" s="52" t="s">
        <v>3150</v>
      </c>
      <c r="M1100" s="52" t="s">
        <v>29</v>
      </c>
      <c r="N1100" s="84">
        <v>-3738.4</v>
      </c>
      <c r="O1100" s="84">
        <v>-3738.4</v>
      </c>
      <c r="P1100" s="52" t="s">
        <v>3151</v>
      </c>
      <c r="Q1100" s="52" t="s">
        <v>3152</v>
      </c>
      <c r="R1100" s="52" t="s">
        <v>64</v>
      </c>
      <c r="S1100" s="52" t="s">
        <v>2723</v>
      </c>
    </row>
    <row r="1101" spans="1:19" hidden="1" outlineLevel="2" x14ac:dyDescent="0.45">
      <c r="A1101" s="52" t="s">
        <v>17</v>
      </c>
      <c r="B1101" s="52" t="s">
        <v>57</v>
      </c>
      <c r="C1101" s="52" t="s">
        <v>758</v>
      </c>
      <c r="D1101" s="52" t="s">
        <v>759</v>
      </c>
      <c r="E1101" s="52" t="s">
        <v>387</v>
      </c>
      <c r="F1101" s="52" t="s">
        <v>3153</v>
      </c>
      <c r="G1101" s="52" t="s">
        <v>60</v>
      </c>
      <c r="H1101" s="52" t="s">
        <v>3095</v>
      </c>
      <c r="I1101" s="52" t="s">
        <v>2833</v>
      </c>
      <c r="J1101" s="52" t="s">
        <v>2932</v>
      </c>
      <c r="K1101" s="52" t="s">
        <v>3154</v>
      </c>
      <c r="L1101" s="52" t="s">
        <v>3154</v>
      </c>
      <c r="M1101" s="52" t="s">
        <v>29</v>
      </c>
      <c r="N1101" s="84">
        <v>-2291.1</v>
      </c>
      <c r="O1101" s="84">
        <v>-2291.1</v>
      </c>
      <c r="P1101" s="52" t="s">
        <v>3155</v>
      </c>
      <c r="Q1101" s="52" t="s">
        <v>3156</v>
      </c>
      <c r="R1101" s="52" t="s">
        <v>64</v>
      </c>
      <c r="S1101" s="52" t="s">
        <v>2723</v>
      </c>
    </row>
    <row r="1102" spans="1:19" hidden="1" outlineLevel="2" x14ac:dyDescent="0.45">
      <c r="A1102" s="52" t="s">
        <v>17</v>
      </c>
      <c r="B1102" s="52" t="s">
        <v>57</v>
      </c>
      <c r="C1102" s="52" t="s">
        <v>376</v>
      </c>
      <c r="D1102" s="52" t="s">
        <v>377</v>
      </c>
      <c r="E1102" s="52" t="s">
        <v>387</v>
      </c>
      <c r="F1102" s="52" t="s">
        <v>3157</v>
      </c>
      <c r="G1102" s="52" t="s">
        <v>60</v>
      </c>
      <c r="H1102" s="52" t="s">
        <v>3158</v>
      </c>
      <c r="I1102" s="52" t="s">
        <v>2833</v>
      </c>
      <c r="J1102" s="52" t="s">
        <v>2932</v>
      </c>
      <c r="K1102" s="52" t="s">
        <v>3159</v>
      </c>
      <c r="L1102" s="52" t="s">
        <v>3159</v>
      </c>
      <c r="M1102" s="52" t="s">
        <v>29</v>
      </c>
      <c r="N1102" s="84">
        <v>-20000</v>
      </c>
      <c r="O1102" s="84">
        <v>-20000</v>
      </c>
      <c r="P1102" s="52" t="s">
        <v>3160</v>
      </c>
      <c r="Q1102" s="52" t="s">
        <v>3161</v>
      </c>
      <c r="R1102" s="52" t="s">
        <v>64</v>
      </c>
      <c r="S1102" s="52" t="s">
        <v>2932</v>
      </c>
    </row>
    <row r="1103" spans="1:19" hidden="1" outlineLevel="2" x14ac:dyDescent="0.45">
      <c r="A1103" s="52" t="s">
        <v>17</v>
      </c>
      <c r="B1103" s="52" t="s">
        <v>57</v>
      </c>
      <c r="C1103" s="52" t="s">
        <v>376</v>
      </c>
      <c r="D1103" s="52" t="s">
        <v>377</v>
      </c>
      <c r="E1103" s="52" t="s">
        <v>387</v>
      </c>
      <c r="F1103" s="52" t="s">
        <v>3162</v>
      </c>
      <c r="G1103" s="52" t="s">
        <v>60</v>
      </c>
      <c r="H1103" s="52" t="s">
        <v>3163</v>
      </c>
      <c r="I1103" s="52" t="s">
        <v>2833</v>
      </c>
      <c r="J1103" s="52" t="s">
        <v>2932</v>
      </c>
      <c r="K1103" s="52" t="s">
        <v>3164</v>
      </c>
      <c r="L1103" s="52" t="s">
        <v>3164</v>
      </c>
      <c r="M1103" s="52" t="s">
        <v>29</v>
      </c>
      <c r="N1103" s="84">
        <v>-3288</v>
      </c>
      <c r="O1103" s="84">
        <v>-3288</v>
      </c>
      <c r="P1103" s="52" t="s">
        <v>3165</v>
      </c>
      <c r="Q1103" s="52" t="s">
        <v>3166</v>
      </c>
      <c r="R1103" s="52" t="s">
        <v>64</v>
      </c>
      <c r="S1103" s="52" t="s">
        <v>2932</v>
      </c>
    </row>
    <row r="1104" spans="1:19" hidden="1" outlineLevel="2" x14ac:dyDescent="0.45">
      <c r="A1104" s="52" t="s">
        <v>17</v>
      </c>
      <c r="B1104" s="52" t="s">
        <v>57</v>
      </c>
      <c r="C1104" s="52" t="s">
        <v>376</v>
      </c>
      <c r="D1104" s="52" t="s">
        <v>377</v>
      </c>
      <c r="E1104" s="52" t="s">
        <v>387</v>
      </c>
      <c r="F1104" s="52" t="s">
        <v>3167</v>
      </c>
      <c r="G1104" s="52" t="s">
        <v>60</v>
      </c>
      <c r="H1104" s="52" t="s">
        <v>3168</v>
      </c>
      <c r="I1104" s="52" t="s">
        <v>2833</v>
      </c>
      <c r="J1104" s="52" t="s">
        <v>2932</v>
      </c>
      <c r="K1104" s="52" t="s">
        <v>3169</v>
      </c>
      <c r="L1104" s="52" t="s">
        <v>3169</v>
      </c>
      <c r="M1104" s="52" t="s">
        <v>29</v>
      </c>
      <c r="N1104" s="84">
        <v>-34752.04</v>
      </c>
      <c r="O1104" s="84">
        <v>-34752.04</v>
      </c>
      <c r="P1104" s="52" t="s">
        <v>3170</v>
      </c>
      <c r="Q1104" s="52" t="s">
        <v>3171</v>
      </c>
      <c r="R1104" s="52" t="s">
        <v>64</v>
      </c>
      <c r="S1104" s="52" t="s">
        <v>2932</v>
      </c>
    </row>
    <row r="1105" spans="1:19" hidden="1" outlineLevel="2" x14ac:dyDescent="0.45">
      <c r="A1105" s="52" t="s">
        <v>17</v>
      </c>
      <c r="B1105" s="52" t="s">
        <v>57</v>
      </c>
      <c r="C1105" s="52" t="s">
        <v>376</v>
      </c>
      <c r="D1105" s="52" t="s">
        <v>377</v>
      </c>
      <c r="E1105" s="52" t="s">
        <v>387</v>
      </c>
      <c r="F1105" s="52" t="s">
        <v>3172</v>
      </c>
      <c r="G1105" s="52" t="s">
        <v>60</v>
      </c>
      <c r="H1105" s="52" t="s">
        <v>3173</v>
      </c>
      <c r="I1105" s="52" t="s">
        <v>2833</v>
      </c>
      <c r="J1105" s="52" t="s">
        <v>2854</v>
      </c>
      <c r="K1105" s="52" t="s">
        <v>3174</v>
      </c>
      <c r="L1105" s="52" t="s">
        <v>3174</v>
      </c>
      <c r="M1105" s="52" t="s">
        <v>29</v>
      </c>
      <c r="N1105" s="84">
        <v>-4935.22</v>
      </c>
      <c r="O1105" s="84">
        <v>-4935.22</v>
      </c>
      <c r="P1105" s="52" t="s">
        <v>3175</v>
      </c>
      <c r="Q1105" s="52" t="s">
        <v>3176</v>
      </c>
      <c r="R1105" s="52" t="s">
        <v>64</v>
      </c>
      <c r="S1105" s="52" t="s">
        <v>2854</v>
      </c>
    </row>
    <row r="1106" spans="1:19" hidden="1" outlineLevel="2" x14ac:dyDescent="0.45">
      <c r="A1106" s="52" t="s">
        <v>17</v>
      </c>
      <c r="B1106" s="52" t="s">
        <v>57</v>
      </c>
      <c r="C1106" s="52" t="s">
        <v>3178</v>
      </c>
      <c r="D1106" s="52" t="s">
        <v>3179</v>
      </c>
      <c r="E1106" s="52" t="s">
        <v>387</v>
      </c>
      <c r="F1106" s="52" t="s">
        <v>3180</v>
      </c>
      <c r="G1106" s="52" t="s">
        <v>60</v>
      </c>
      <c r="H1106" s="52" t="s">
        <v>3181</v>
      </c>
      <c r="I1106" s="52" t="s">
        <v>2833</v>
      </c>
      <c r="J1106" s="52" t="s">
        <v>2854</v>
      </c>
      <c r="K1106" s="52" t="s">
        <v>3182</v>
      </c>
      <c r="L1106" s="52" t="s">
        <v>3182</v>
      </c>
      <c r="M1106" s="52" t="s">
        <v>29</v>
      </c>
      <c r="N1106" s="84">
        <v>-28000</v>
      </c>
      <c r="O1106" s="84">
        <v>-28000</v>
      </c>
      <c r="P1106" s="52" t="s">
        <v>3183</v>
      </c>
      <c r="Q1106" s="52" t="s">
        <v>3184</v>
      </c>
      <c r="R1106" s="52" t="s">
        <v>64</v>
      </c>
      <c r="S1106" s="52" t="s">
        <v>2854</v>
      </c>
    </row>
    <row r="1107" spans="1:19" hidden="1" outlineLevel="2" x14ac:dyDescent="0.45">
      <c r="A1107" s="52" t="s">
        <v>17</v>
      </c>
      <c r="B1107" s="52" t="s">
        <v>57</v>
      </c>
      <c r="C1107" s="52" t="s">
        <v>747</v>
      </c>
      <c r="D1107" s="52" t="s">
        <v>748</v>
      </c>
      <c r="E1107" s="52" t="s">
        <v>387</v>
      </c>
      <c r="F1107" s="52" t="s">
        <v>3185</v>
      </c>
      <c r="G1107" s="52" t="s">
        <v>60</v>
      </c>
      <c r="H1107" s="52" t="s">
        <v>3186</v>
      </c>
      <c r="I1107" s="52" t="s">
        <v>2833</v>
      </c>
      <c r="J1107" s="52" t="s">
        <v>2932</v>
      </c>
      <c r="K1107" s="52" t="s">
        <v>3187</v>
      </c>
      <c r="L1107" s="52" t="s">
        <v>3187</v>
      </c>
      <c r="M1107" s="52" t="s">
        <v>29</v>
      </c>
      <c r="N1107" s="84">
        <v>-2671.83</v>
      </c>
      <c r="O1107" s="84">
        <v>-2671.83</v>
      </c>
      <c r="P1107" s="52" t="s">
        <v>3188</v>
      </c>
      <c r="Q1107" s="52" t="s">
        <v>3189</v>
      </c>
      <c r="R1107" s="52" t="s">
        <v>64</v>
      </c>
      <c r="S1107" s="52" t="s">
        <v>1880</v>
      </c>
    </row>
    <row r="1108" spans="1:19" hidden="1" outlineLevel="2" x14ac:dyDescent="0.45">
      <c r="A1108" s="52" t="s">
        <v>17</v>
      </c>
      <c r="B1108" s="52" t="s">
        <v>57</v>
      </c>
      <c r="C1108" s="52" t="s">
        <v>747</v>
      </c>
      <c r="D1108" s="52" t="s">
        <v>748</v>
      </c>
      <c r="E1108" s="52" t="s">
        <v>387</v>
      </c>
      <c r="F1108" s="52" t="s">
        <v>3185</v>
      </c>
      <c r="G1108" s="52" t="s">
        <v>60</v>
      </c>
      <c r="H1108" s="52" t="s">
        <v>3190</v>
      </c>
      <c r="I1108" s="52" t="s">
        <v>2833</v>
      </c>
      <c r="J1108" s="52" t="s">
        <v>2932</v>
      </c>
      <c r="K1108" s="52" t="s">
        <v>3191</v>
      </c>
      <c r="L1108" s="52" t="s">
        <v>3191</v>
      </c>
      <c r="M1108" s="52" t="s">
        <v>29</v>
      </c>
      <c r="N1108" s="84">
        <v>-2483.1</v>
      </c>
      <c r="O1108" s="84">
        <v>-2483.1</v>
      </c>
      <c r="P1108" s="52" t="s">
        <v>3192</v>
      </c>
      <c r="Q1108" s="52" t="s">
        <v>3189</v>
      </c>
      <c r="R1108" s="52" t="s">
        <v>64</v>
      </c>
      <c r="S1108" s="52" t="s">
        <v>1880</v>
      </c>
    </row>
    <row r="1109" spans="1:19" hidden="1" outlineLevel="2" x14ac:dyDescent="0.45">
      <c r="A1109" s="52" t="s">
        <v>17</v>
      </c>
      <c r="B1109" s="52" t="s">
        <v>57</v>
      </c>
      <c r="C1109" s="52" t="s">
        <v>349</v>
      </c>
      <c r="D1109" s="52" t="s">
        <v>350</v>
      </c>
      <c r="E1109" s="52" t="s">
        <v>387</v>
      </c>
      <c r="F1109" s="52" t="s">
        <v>3193</v>
      </c>
      <c r="G1109" s="52" t="s">
        <v>60</v>
      </c>
      <c r="H1109" s="52" t="s">
        <v>3194</v>
      </c>
      <c r="I1109" s="52" t="s">
        <v>2833</v>
      </c>
      <c r="J1109" s="52" t="s">
        <v>2932</v>
      </c>
      <c r="K1109" s="52" t="s">
        <v>3195</v>
      </c>
      <c r="L1109" s="52" t="s">
        <v>3195</v>
      </c>
      <c r="M1109" s="52" t="s">
        <v>29</v>
      </c>
      <c r="N1109" s="84">
        <v>-3.5</v>
      </c>
      <c r="O1109" s="84">
        <v>-3.5</v>
      </c>
      <c r="P1109" s="52" t="s">
        <v>3196</v>
      </c>
      <c r="Q1109" s="52" t="s">
        <v>3197</v>
      </c>
      <c r="R1109" s="52" t="s">
        <v>64</v>
      </c>
      <c r="S1109" s="52" t="s">
        <v>2932</v>
      </c>
    </row>
    <row r="1110" spans="1:19" hidden="1" outlineLevel="2" x14ac:dyDescent="0.45">
      <c r="A1110" s="52" t="s">
        <v>17</v>
      </c>
      <c r="B1110" s="52" t="s">
        <v>57</v>
      </c>
      <c r="C1110" s="52" t="s">
        <v>349</v>
      </c>
      <c r="D1110" s="52" t="s">
        <v>350</v>
      </c>
      <c r="E1110" s="52" t="s">
        <v>387</v>
      </c>
      <c r="F1110" s="52" t="s">
        <v>3193</v>
      </c>
      <c r="G1110" s="52" t="s">
        <v>60</v>
      </c>
      <c r="H1110" s="52" t="s">
        <v>3194</v>
      </c>
      <c r="I1110" s="52" t="s">
        <v>2833</v>
      </c>
      <c r="J1110" s="52" t="s">
        <v>2932</v>
      </c>
      <c r="K1110" s="52" t="s">
        <v>3195</v>
      </c>
      <c r="L1110" s="52" t="s">
        <v>3195</v>
      </c>
      <c r="M1110" s="52" t="s">
        <v>29</v>
      </c>
      <c r="N1110" s="84">
        <v>-40</v>
      </c>
      <c r="O1110" s="84">
        <v>-40</v>
      </c>
      <c r="P1110" s="52" t="s">
        <v>3196</v>
      </c>
      <c r="Q1110" s="52" t="s">
        <v>3197</v>
      </c>
      <c r="R1110" s="52" t="s">
        <v>64</v>
      </c>
      <c r="S1110" s="52" t="s">
        <v>2932</v>
      </c>
    </row>
    <row r="1111" spans="1:19" hidden="1" outlineLevel="2" x14ac:dyDescent="0.45">
      <c r="A1111" s="52" t="s">
        <v>17</v>
      </c>
      <c r="B1111" s="52" t="s">
        <v>57</v>
      </c>
      <c r="C1111" s="52" t="s">
        <v>349</v>
      </c>
      <c r="D1111" s="52" t="s">
        <v>350</v>
      </c>
      <c r="E1111" s="52" t="s">
        <v>387</v>
      </c>
      <c r="F1111" s="52" t="s">
        <v>3198</v>
      </c>
      <c r="G1111" s="52" t="s">
        <v>60</v>
      </c>
      <c r="H1111" s="52" t="s">
        <v>3199</v>
      </c>
      <c r="I1111" s="52" t="s">
        <v>2833</v>
      </c>
      <c r="J1111" s="52" t="s">
        <v>2932</v>
      </c>
      <c r="K1111" s="52" t="s">
        <v>3200</v>
      </c>
      <c r="L1111" s="52" t="s">
        <v>3200</v>
      </c>
      <c r="M1111" s="52" t="s">
        <v>29</v>
      </c>
      <c r="N1111" s="84">
        <v>-1</v>
      </c>
      <c r="O1111" s="84">
        <v>-1</v>
      </c>
      <c r="P1111" s="52" t="s">
        <v>3201</v>
      </c>
      <c r="Q1111" s="52" t="s">
        <v>3202</v>
      </c>
      <c r="R1111" s="52" t="s">
        <v>64</v>
      </c>
      <c r="S1111" s="52" t="s">
        <v>2932</v>
      </c>
    </row>
    <row r="1112" spans="1:19" hidden="1" outlineLevel="2" x14ac:dyDescent="0.45">
      <c r="A1112" s="52" t="s">
        <v>17</v>
      </c>
      <c r="B1112" s="52" t="s">
        <v>57</v>
      </c>
      <c r="C1112" s="52" t="s">
        <v>349</v>
      </c>
      <c r="D1112" s="52" t="s">
        <v>350</v>
      </c>
      <c r="E1112" s="52" t="s">
        <v>387</v>
      </c>
      <c r="F1112" s="52" t="s">
        <v>3198</v>
      </c>
      <c r="G1112" s="52" t="s">
        <v>60</v>
      </c>
      <c r="H1112" s="52" t="s">
        <v>3199</v>
      </c>
      <c r="I1112" s="52" t="s">
        <v>2833</v>
      </c>
      <c r="J1112" s="52" t="s">
        <v>2932</v>
      </c>
      <c r="K1112" s="52" t="s">
        <v>3200</v>
      </c>
      <c r="L1112" s="52" t="s">
        <v>3200</v>
      </c>
      <c r="M1112" s="52" t="s">
        <v>29</v>
      </c>
      <c r="N1112" s="84">
        <v>-1</v>
      </c>
      <c r="O1112" s="84">
        <v>-1</v>
      </c>
      <c r="P1112" s="52" t="s">
        <v>3201</v>
      </c>
      <c r="Q1112" s="52" t="s">
        <v>3202</v>
      </c>
      <c r="R1112" s="52" t="s">
        <v>64</v>
      </c>
      <c r="S1112" s="52" t="s">
        <v>2932</v>
      </c>
    </row>
    <row r="1113" spans="1:19" hidden="1" outlineLevel="2" x14ac:dyDescent="0.45">
      <c r="A1113" s="52" t="s">
        <v>17</v>
      </c>
      <c r="B1113" s="52" t="s">
        <v>57</v>
      </c>
      <c r="C1113" s="52" t="s">
        <v>349</v>
      </c>
      <c r="D1113" s="52" t="s">
        <v>350</v>
      </c>
      <c r="E1113" s="52" t="s">
        <v>387</v>
      </c>
      <c r="F1113" s="52" t="s">
        <v>3198</v>
      </c>
      <c r="G1113" s="52" t="s">
        <v>60</v>
      </c>
      <c r="H1113" s="52" t="s">
        <v>3199</v>
      </c>
      <c r="I1113" s="52" t="s">
        <v>2833</v>
      </c>
      <c r="J1113" s="52" t="s">
        <v>2932</v>
      </c>
      <c r="K1113" s="52" t="s">
        <v>3200</v>
      </c>
      <c r="L1113" s="52" t="s">
        <v>3200</v>
      </c>
      <c r="M1113" s="52" t="s">
        <v>29</v>
      </c>
      <c r="N1113" s="84">
        <v>-1</v>
      </c>
      <c r="O1113" s="84">
        <v>-1</v>
      </c>
      <c r="P1113" s="52" t="s">
        <v>3201</v>
      </c>
      <c r="Q1113" s="52" t="s">
        <v>3202</v>
      </c>
      <c r="R1113" s="52" t="s">
        <v>64</v>
      </c>
      <c r="S1113" s="52" t="s">
        <v>2932</v>
      </c>
    </row>
    <row r="1114" spans="1:19" hidden="1" outlineLevel="2" x14ac:dyDescent="0.45">
      <c r="A1114" s="52" t="s">
        <v>17</v>
      </c>
      <c r="B1114" s="52" t="s">
        <v>57</v>
      </c>
      <c r="C1114" s="52" t="s">
        <v>349</v>
      </c>
      <c r="D1114" s="52" t="s">
        <v>350</v>
      </c>
      <c r="E1114" s="52" t="s">
        <v>387</v>
      </c>
      <c r="F1114" s="52" t="s">
        <v>3198</v>
      </c>
      <c r="G1114" s="52" t="s">
        <v>60</v>
      </c>
      <c r="H1114" s="52" t="s">
        <v>3199</v>
      </c>
      <c r="I1114" s="52" t="s">
        <v>2833</v>
      </c>
      <c r="J1114" s="52" t="s">
        <v>2932</v>
      </c>
      <c r="K1114" s="52" t="s">
        <v>3200</v>
      </c>
      <c r="L1114" s="52" t="s">
        <v>3200</v>
      </c>
      <c r="M1114" s="52" t="s">
        <v>29</v>
      </c>
      <c r="N1114" s="84">
        <v>-4.3</v>
      </c>
      <c r="O1114" s="84">
        <v>-4.3</v>
      </c>
      <c r="P1114" s="52" t="s">
        <v>3201</v>
      </c>
      <c r="Q1114" s="52" t="s">
        <v>3202</v>
      </c>
      <c r="R1114" s="52" t="s">
        <v>64</v>
      </c>
      <c r="S1114" s="52" t="s">
        <v>2932</v>
      </c>
    </row>
    <row r="1115" spans="1:19" hidden="1" outlineLevel="2" x14ac:dyDescent="0.45">
      <c r="A1115" s="52" t="s">
        <v>17</v>
      </c>
      <c r="B1115" s="52" t="s">
        <v>57</v>
      </c>
      <c r="C1115" s="52" t="s">
        <v>349</v>
      </c>
      <c r="D1115" s="52" t="s">
        <v>350</v>
      </c>
      <c r="E1115" s="52" t="s">
        <v>387</v>
      </c>
      <c r="F1115" s="52" t="s">
        <v>3198</v>
      </c>
      <c r="G1115" s="52" t="s">
        <v>60</v>
      </c>
      <c r="H1115" s="52" t="s">
        <v>3199</v>
      </c>
      <c r="I1115" s="52" t="s">
        <v>2833</v>
      </c>
      <c r="J1115" s="52" t="s">
        <v>2932</v>
      </c>
      <c r="K1115" s="52" t="s">
        <v>3200</v>
      </c>
      <c r="L1115" s="52" t="s">
        <v>3200</v>
      </c>
      <c r="M1115" s="52" t="s">
        <v>29</v>
      </c>
      <c r="N1115" s="84">
        <v>-4.3</v>
      </c>
      <c r="O1115" s="84">
        <v>-4.3</v>
      </c>
      <c r="P1115" s="52" t="s">
        <v>3201</v>
      </c>
      <c r="Q1115" s="52" t="s">
        <v>3202</v>
      </c>
      <c r="R1115" s="52" t="s">
        <v>64</v>
      </c>
      <c r="S1115" s="52" t="s">
        <v>2932</v>
      </c>
    </row>
    <row r="1116" spans="1:19" hidden="1" outlineLevel="2" x14ac:dyDescent="0.45">
      <c r="A1116" s="52" t="s">
        <v>17</v>
      </c>
      <c r="B1116" s="52" t="s">
        <v>57</v>
      </c>
      <c r="C1116" s="52" t="s">
        <v>349</v>
      </c>
      <c r="D1116" s="52" t="s">
        <v>350</v>
      </c>
      <c r="E1116" s="52" t="s">
        <v>387</v>
      </c>
      <c r="F1116" s="52" t="s">
        <v>3198</v>
      </c>
      <c r="G1116" s="52" t="s">
        <v>60</v>
      </c>
      <c r="H1116" s="52" t="s">
        <v>3199</v>
      </c>
      <c r="I1116" s="52" t="s">
        <v>2833</v>
      </c>
      <c r="J1116" s="52" t="s">
        <v>2932</v>
      </c>
      <c r="K1116" s="52" t="s">
        <v>3200</v>
      </c>
      <c r="L1116" s="52" t="s">
        <v>3200</v>
      </c>
      <c r="M1116" s="52" t="s">
        <v>29</v>
      </c>
      <c r="N1116" s="84">
        <v>-4.3</v>
      </c>
      <c r="O1116" s="84">
        <v>-4.3</v>
      </c>
      <c r="P1116" s="52" t="s">
        <v>3201</v>
      </c>
      <c r="Q1116" s="52" t="s">
        <v>3202</v>
      </c>
      <c r="R1116" s="52" t="s">
        <v>64</v>
      </c>
      <c r="S1116" s="52" t="s">
        <v>2932</v>
      </c>
    </row>
    <row r="1117" spans="1:19" hidden="1" outlineLevel="2" x14ac:dyDescent="0.45">
      <c r="A1117" s="52" t="s">
        <v>17</v>
      </c>
      <c r="B1117" s="52" t="s">
        <v>57</v>
      </c>
      <c r="C1117" s="52" t="s">
        <v>349</v>
      </c>
      <c r="D1117" s="52" t="s">
        <v>350</v>
      </c>
      <c r="E1117" s="52" t="s">
        <v>387</v>
      </c>
      <c r="F1117" s="52" t="s">
        <v>3198</v>
      </c>
      <c r="G1117" s="52" t="s">
        <v>60</v>
      </c>
      <c r="H1117" s="52" t="s">
        <v>3199</v>
      </c>
      <c r="I1117" s="52" t="s">
        <v>2833</v>
      </c>
      <c r="J1117" s="52" t="s">
        <v>2932</v>
      </c>
      <c r="K1117" s="52" t="s">
        <v>3200</v>
      </c>
      <c r="L1117" s="52" t="s">
        <v>3200</v>
      </c>
      <c r="M1117" s="52" t="s">
        <v>29</v>
      </c>
      <c r="N1117" s="84">
        <v>-7</v>
      </c>
      <c r="O1117" s="84">
        <v>-7</v>
      </c>
      <c r="P1117" s="52" t="s">
        <v>3201</v>
      </c>
      <c r="Q1117" s="52" t="s">
        <v>3202</v>
      </c>
      <c r="R1117" s="52" t="s">
        <v>64</v>
      </c>
      <c r="S1117" s="52" t="s">
        <v>2932</v>
      </c>
    </row>
    <row r="1118" spans="1:19" hidden="1" outlineLevel="2" x14ac:dyDescent="0.45">
      <c r="A1118" s="52" t="s">
        <v>17</v>
      </c>
      <c r="B1118" s="52" t="s">
        <v>57</v>
      </c>
      <c r="C1118" s="52" t="s">
        <v>774</v>
      </c>
      <c r="D1118" s="52" t="s">
        <v>775</v>
      </c>
      <c r="E1118" s="52" t="s">
        <v>387</v>
      </c>
      <c r="F1118" s="52" t="s">
        <v>3203</v>
      </c>
      <c r="G1118" s="52" t="s">
        <v>60</v>
      </c>
      <c r="H1118" s="52"/>
      <c r="I1118" s="52" t="s">
        <v>2833</v>
      </c>
      <c r="J1118" s="52" t="s">
        <v>2885</v>
      </c>
      <c r="K1118" s="52"/>
      <c r="L1118" s="52"/>
      <c r="M1118" s="52" t="s">
        <v>29</v>
      </c>
      <c r="N1118" s="84">
        <v>-3000</v>
      </c>
      <c r="O1118" s="84">
        <v>-3000</v>
      </c>
      <c r="P1118" s="52"/>
      <c r="Q1118" s="52" t="s">
        <v>3204</v>
      </c>
      <c r="R1118" s="52" t="s">
        <v>64</v>
      </c>
      <c r="S1118" s="52"/>
    </row>
    <row r="1119" spans="1:19" hidden="1" outlineLevel="2" x14ac:dyDescent="0.45">
      <c r="A1119" s="52" t="s">
        <v>17</v>
      </c>
      <c r="B1119" s="52" t="s">
        <v>57</v>
      </c>
      <c r="C1119" s="52" t="s">
        <v>376</v>
      </c>
      <c r="D1119" s="52" t="s">
        <v>377</v>
      </c>
      <c r="E1119" s="52" t="s">
        <v>387</v>
      </c>
      <c r="F1119" s="52" t="s">
        <v>3205</v>
      </c>
      <c r="G1119" s="52" t="s">
        <v>60</v>
      </c>
      <c r="H1119" s="52" t="s">
        <v>3206</v>
      </c>
      <c r="I1119" s="52" t="s">
        <v>2833</v>
      </c>
      <c r="J1119" s="52" t="s">
        <v>2910</v>
      </c>
      <c r="K1119" s="52" t="s">
        <v>3207</v>
      </c>
      <c r="L1119" s="52" t="s">
        <v>3207</v>
      </c>
      <c r="M1119" s="52" t="s">
        <v>29</v>
      </c>
      <c r="N1119" s="84">
        <v>-314244.7</v>
      </c>
      <c r="O1119" s="84">
        <v>-314244.7</v>
      </c>
      <c r="P1119" s="52" t="s">
        <v>3208</v>
      </c>
      <c r="Q1119" s="52" t="s">
        <v>3209</v>
      </c>
      <c r="R1119" s="52" t="s">
        <v>64</v>
      </c>
      <c r="S1119" s="52" t="s">
        <v>2910</v>
      </c>
    </row>
    <row r="1120" spans="1:19" hidden="1" outlineLevel="2" x14ac:dyDescent="0.45">
      <c r="A1120" s="52" t="s">
        <v>17</v>
      </c>
      <c r="B1120" s="52" t="s">
        <v>57</v>
      </c>
      <c r="C1120" s="52" t="s">
        <v>774</v>
      </c>
      <c r="D1120" s="52" t="s">
        <v>775</v>
      </c>
      <c r="E1120" s="52" t="s">
        <v>387</v>
      </c>
      <c r="F1120" s="52" t="s">
        <v>3210</v>
      </c>
      <c r="G1120" s="52" t="s">
        <v>60</v>
      </c>
      <c r="H1120" s="52"/>
      <c r="I1120" s="52" t="s">
        <v>2833</v>
      </c>
      <c r="J1120" s="52" t="s">
        <v>2918</v>
      </c>
      <c r="K1120" s="52"/>
      <c r="L1120" s="52"/>
      <c r="M1120" s="52" t="s">
        <v>29</v>
      </c>
      <c r="N1120" s="84">
        <v>-912.39</v>
      </c>
      <c r="O1120" s="84">
        <v>-912.39</v>
      </c>
      <c r="P1120" s="52"/>
      <c r="Q1120" s="52" t="s">
        <v>3211</v>
      </c>
      <c r="R1120" s="52" t="s">
        <v>64</v>
      </c>
      <c r="S1120" s="52"/>
    </row>
    <row r="1121" spans="1:19" hidden="1" outlineLevel="2" x14ac:dyDescent="0.45">
      <c r="A1121" s="52" t="s">
        <v>17</v>
      </c>
      <c r="B1121" s="52" t="s">
        <v>57</v>
      </c>
      <c r="C1121" s="52" t="s">
        <v>349</v>
      </c>
      <c r="D1121" s="52" t="s">
        <v>350</v>
      </c>
      <c r="E1121" s="52" t="s">
        <v>387</v>
      </c>
      <c r="F1121" s="52" t="s">
        <v>3212</v>
      </c>
      <c r="G1121" s="52" t="s">
        <v>60</v>
      </c>
      <c r="H1121" s="52" t="s">
        <v>3213</v>
      </c>
      <c r="I1121" s="52" t="s">
        <v>2833</v>
      </c>
      <c r="J1121" s="52" t="s">
        <v>2932</v>
      </c>
      <c r="K1121" s="52" t="s">
        <v>3214</v>
      </c>
      <c r="L1121" s="52" t="s">
        <v>3214</v>
      </c>
      <c r="M1121" s="52" t="s">
        <v>29</v>
      </c>
      <c r="N1121" s="84">
        <v>-132.55000000000001</v>
      </c>
      <c r="O1121" s="84">
        <v>-132.55000000000001</v>
      </c>
      <c r="P1121" s="52" t="s">
        <v>3215</v>
      </c>
      <c r="Q1121" s="52" t="s">
        <v>3216</v>
      </c>
      <c r="R1121" s="52" t="s">
        <v>64</v>
      </c>
      <c r="S1121" s="52" t="s">
        <v>2932</v>
      </c>
    </row>
    <row r="1122" spans="1:19" hidden="1" outlineLevel="2" x14ac:dyDescent="0.45">
      <c r="A1122" s="52" t="s">
        <v>17</v>
      </c>
      <c r="B1122" s="52" t="s">
        <v>57</v>
      </c>
      <c r="C1122" s="52" t="s">
        <v>1245</v>
      </c>
      <c r="D1122" s="52" t="s">
        <v>1246</v>
      </c>
      <c r="E1122" s="52" t="s">
        <v>387</v>
      </c>
      <c r="F1122" s="52" t="s">
        <v>3217</v>
      </c>
      <c r="G1122" s="52" t="s">
        <v>60</v>
      </c>
      <c r="H1122" s="52" t="s">
        <v>3218</v>
      </c>
      <c r="I1122" s="52" t="s">
        <v>2833</v>
      </c>
      <c r="J1122" s="52" t="s">
        <v>2932</v>
      </c>
      <c r="K1122" s="52" t="s">
        <v>3219</v>
      </c>
      <c r="L1122" s="52" t="s">
        <v>3219</v>
      </c>
      <c r="M1122" s="52" t="s">
        <v>29</v>
      </c>
      <c r="N1122" s="84">
        <v>-1540</v>
      </c>
      <c r="O1122" s="84">
        <v>-1540</v>
      </c>
      <c r="P1122" s="52" t="s">
        <v>3220</v>
      </c>
      <c r="Q1122" s="52" t="s">
        <v>3221</v>
      </c>
      <c r="R1122" s="52" t="s">
        <v>64</v>
      </c>
      <c r="S1122" s="52" t="s">
        <v>3177</v>
      </c>
    </row>
    <row r="1123" spans="1:19" hidden="1" outlineLevel="2" x14ac:dyDescent="0.45">
      <c r="A1123" s="52" t="s">
        <v>17</v>
      </c>
      <c r="B1123" s="52" t="s">
        <v>57</v>
      </c>
      <c r="C1123" s="52" t="s">
        <v>1245</v>
      </c>
      <c r="D1123" s="52" t="s">
        <v>1246</v>
      </c>
      <c r="E1123" s="52" t="s">
        <v>387</v>
      </c>
      <c r="F1123" s="52" t="s">
        <v>3217</v>
      </c>
      <c r="G1123" s="52" t="s">
        <v>60</v>
      </c>
      <c r="H1123" s="52" t="s">
        <v>3222</v>
      </c>
      <c r="I1123" s="52" t="s">
        <v>2833</v>
      </c>
      <c r="J1123" s="52" t="s">
        <v>2932</v>
      </c>
      <c r="K1123" s="52" t="s">
        <v>3223</v>
      </c>
      <c r="L1123" s="52" t="s">
        <v>3223</v>
      </c>
      <c r="M1123" s="52" t="s">
        <v>29</v>
      </c>
      <c r="N1123" s="84">
        <v>-100</v>
      </c>
      <c r="O1123" s="84">
        <v>-100</v>
      </c>
      <c r="P1123" s="52" t="s">
        <v>3224</v>
      </c>
      <c r="Q1123" s="52" t="s">
        <v>3221</v>
      </c>
      <c r="R1123" s="52" t="s">
        <v>64</v>
      </c>
      <c r="S1123" s="52" t="s">
        <v>3177</v>
      </c>
    </row>
    <row r="1124" spans="1:19" hidden="1" outlineLevel="2" x14ac:dyDescent="0.45">
      <c r="A1124" s="52" t="s">
        <v>17</v>
      </c>
      <c r="B1124" s="52" t="s">
        <v>57</v>
      </c>
      <c r="C1124" s="52" t="s">
        <v>774</v>
      </c>
      <c r="D1124" s="52" t="s">
        <v>775</v>
      </c>
      <c r="E1124" s="52" t="s">
        <v>387</v>
      </c>
      <c r="F1124" s="52" t="s">
        <v>3225</v>
      </c>
      <c r="G1124" s="52" t="s">
        <v>60</v>
      </c>
      <c r="H1124" s="52"/>
      <c r="I1124" s="52" t="s">
        <v>2833</v>
      </c>
      <c r="J1124" s="52" t="s">
        <v>2851</v>
      </c>
      <c r="K1124" s="52"/>
      <c r="L1124" s="52"/>
      <c r="M1124" s="52" t="s">
        <v>29</v>
      </c>
      <c r="N1124" s="84">
        <v>-640.09</v>
      </c>
      <c r="O1124" s="84">
        <v>-640.09</v>
      </c>
      <c r="P1124" s="52"/>
      <c r="Q1124" s="52" t="s">
        <v>2852</v>
      </c>
      <c r="R1124" s="52" t="s">
        <v>64</v>
      </c>
      <c r="S1124" s="52"/>
    </row>
    <row r="1125" spans="1:19" hidden="1" outlineLevel="2" x14ac:dyDescent="0.45">
      <c r="A1125" s="52" t="s">
        <v>17</v>
      </c>
      <c r="B1125" s="52" t="s">
        <v>57</v>
      </c>
      <c r="C1125" s="52" t="s">
        <v>774</v>
      </c>
      <c r="D1125" s="52" t="s">
        <v>775</v>
      </c>
      <c r="E1125" s="52" t="s">
        <v>387</v>
      </c>
      <c r="F1125" s="52" t="s">
        <v>3225</v>
      </c>
      <c r="G1125" s="52" t="s">
        <v>60</v>
      </c>
      <c r="H1125" s="52" t="s">
        <v>2832</v>
      </c>
      <c r="I1125" s="52" t="s">
        <v>2833</v>
      </c>
      <c r="J1125" s="52" t="s">
        <v>2851</v>
      </c>
      <c r="K1125" s="52" t="s">
        <v>777</v>
      </c>
      <c r="L1125" s="52" t="s">
        <v>777</v>
      </c>
      <c r="M1125" s="52" t="s">
        <v>29</v>
      </c>
      <c r="N1125" s="84">
        <v>-859.91</v>
      </c>
      <c r="O1125" s="84">
        <v>-859.91</v>
      </c>
      <c r="P1125" s="52" t="s">
        <v>778</v>
      </c>
      <c r="Q1125" s="52" t="s">
        <v>2852</v>
      </c>
      <c r="R1125" s="52" t="s">
        <v>64</v>
      </c>
      <c r="S1125" s="52" t="s">
        <v>2839</v>
      </c>
    </row>
    <row r="1126" spans="1:19" hidden="1" outlineLevel="2" x14ac:dyDescent="0.45">
      <c r="A1126" s="52" t="s">
        <v>17</v>
      </c>
      <c r="B1126" s="52" t="s">
        <v>57</v>
      </c>
      <c r="C1126" s="52" t="s">
        <v>774</v>
      </c>
      <c r="D1126" s="52" t="s">
        <v>775</v>
      </c>
      <c r="E1126" s="52" t="s">
        <v>387</v>
      </c>
      <c r="F1126" s="52" t="s">
        <v>3226</v>
      </c>
      <c r="G1126" s="52" t="s">
        <v>60</v>
      </c>
      <c r="H1126" s="52" t="s">
        <v>2832</v>
      </c>
      <c r="I1126" s="52" t="s">
        <v>2833</v>
      </c>
      <c r="J1126" s="52" t="s">
        <v>2854</v>
      </c>
      <c r="K1126" s="52" t="s">
        <v>777</v>
      </c>
      <c r="L1126" s="52" t="s">
        <v>777</v>
      </c>
      <c r="M1126" s="52" t="s">
        <v>29</v>
      </c>
      <c r="N1126" s="84">
        <v>-18</v>
      </c>
      <c r="O1126" s="84">
        <v>-18</v>
      </c>
      <c r="P1126" s="52" t="s">
        <v>778</v>
      </c>
      <c r="Q1126" s="52" t="s">
        <v>2855</v>
      </c>
      <c r="R1126" s="52" t="s">
        <v>64</v>
      </c>
      <c r="S1126" s="52" t="s">
        <v>2839</v>
      </c>
    </row>
    <row r="1127" spans="1:19" hidden="1" outlineLevel="2" x14ac:dyDescent="0.45">
      <c r="A1127" s="52" t="s">
        <v>17</v>
      </c>
      <c r="B1127" s="52" t="s">
        <v>57</v>
      </c>
      <c r="C1127" s="52" t="s">
        <v>774</v>
      </c>
      <c r="D1127" s="52" t="s">
        <v>775</v>
      </c>
      <c r="E1127" s="52" t="s">
        <v>387</v>
      </c>
      <c r="F1127" s="52" t="s">
        <v>3226</v>
      </c>
      <c r="G1127" s="52" t="s">
        <v>60</v>
      </c>
      <c r="H1127" s="52"/>
      <c r="I1127" s="52" t="s">
        <v>2833</v>
      </c>
      <c r="J1127" s="52" t="s">
        <v>2854</v>
      </c>
      <c r="K1127" s="52"/>
      <c r="L1127" s="52"/>
      <c r="M1127" s="52" t="s">
        <v>29</v>
      </c>
      <c r="N1127" s="84">
        <v>-22.99</v>
      </c>
      <c r="O1127" s="84">
        <v>-22.99</v>
      </c>
      <c r="P1127" s="52"/>
      <c r="Q1127" s="52" t="s">
        <v>2855</v>
      </c>
      <c r="R1127" s="52" t="s">
        <v>64</v>
      </c>
      <c r="S1127" s="52"/>
    </row>
    <row r="1128" spans="1:19" hidden="1" outlineLevel="2" x14ac:dyDescent="0.45">
      <c r="A1128" s="52" t="s">
        <v>17</v>
      </c>
      <c r="B1128" s="52" t="s">
        <v>57</v>
      </c>
      <c r="C1128" s="52" t="s">
        <v>774</v>
      </c>
      <c r="D1128" s="52" t="s">
        <v>775</v>
      </c>
      <c r="E1128" s="52" t="s">
        <v>387</v>
      </c>
      <c r="F1128" s="52" t="s">
        <v>3226</v>
      </c>
      <c r="G1128" s="52" t="s">
        <v>60</v>
      </c>
      <c r="H1128" s="52"/>
      <c r="I1128" s="52" t="s">
        <v>2833</v>
      </c>
      <c r="J1128" s="52" t="s">
        <v>2854</v>
      </c>
      <c r="K1128" s="52"/>
      <c r="L1128" s="52"/>
      <c r="M1128" s="52" t="s">
        <v>29</v>
      </c>
      <c r="N1128" s="84">
        <v>-2572.23</v>
      </c>
      <c r="O1128" s="84">
        <v>-2572.23</v>
      </c>
      <c r="P1128" s="52"/>
      <c r="Q1128" s="52" t="s">
        <v>2855</v>
      </c>
      <c r="R1128" s="52" t="s">
        <v>64</v>
      </c>
      <c r="S1128" s="52"/>
    </row>
    <row r="1129" spans="1:19" hidden="1" outlineLevel="2" x14ac:dyDescent="0.45">
      <c r="A1129" s="52" t="s">
        <v>17</v>
      </c>
      <c r="B1129" s="52" t="s">
        <v>66</v>
      </c>
      <c r="C1129" s="52"/>
      <c r="D1129" s="52"/>
      <c r="E1129" s="52" t="s">
        <v>367</v>
      </c>
      <c r="F1129" s="52" t="s">
        <v>3141</v>
      </c>
      <c r="G1129" s="52" t="s">
        <v>369</v>
      </c>
      <c r="H1129" s="52" t="s">
        <v>2937</v>
      </c>
      <c r="I1129" s="52" t="s">
        <v>2833</v>
      </c>
      <c r="J1129" s="52" t="s">
        <v>2932</v>
      </c>
      <c r="K1129" s="52"/>
      <c r="L1129" s="52"/>
      <c r="M1129" s="52" t="s">
        <v>67</v>
      </c>
      <c r="N1129" s="84">
        <v>0</v>
      </c>
      <c r="O1129" s="84">
        <v>-707.04</v>
      </c>
      <c r="P1129" s="52"/>
      <c r="Q1129" s="52" t="s">
        <v>370</v>
      </c>
      <c r="R1129" s="52" t="s">
        <v>64</v>
      </c>
      <c r="S1129" s="52"/>
    </row>
    <row r="1130" spans="1:19" hidden="1" outlineLevel="2" x14ac:dyDescent="0.45">
      <c r="A1130" s="52" t="s">
        <v>17</v>
      </c>
      <c r="B1130" s="52" t="s">
        <v>57</v>
      </c>
      <c r="C1130" s="52" t="s">
        <v>774</v>
      </c>
      <c r="D1130" s="52" t="s">
        <v>775</v>
      </c>
      <c r="E1130" s="52" t="s">
        <v>387</v>
      </c>
      <c r="F1130" s="52" t="s">
        <v>3226</v>
      </c>
      <c r="G1130" s="52" t="s">
        <v>60</v>
      </c>
      <c r="H1130" s="52" t="s">
        <v>3227</v>
      </c>
      <c r="I1130" s="52" t="s">
        <v>2833</v>
      </c>
      <c r="J1130" s="52" t="s">
        <v>2854</v>
      </c>
      <c r="K1130" s="52" t="s">
        <v>3228</v>
      </c>
      <c r="L1130" s="52" t="s">
        <v>3228</v>
      </c>
      <c r="M1130" s="52" t="s">
        <v>29</v>
      </c>
      <c r="N1130" s="84">
        <v>-386.78</v>
      </c>
      <c r="O1130" s="84">
        <v>-386.78</v>
      </c>
      <c r="P1130" s="52" t="s">
        <v>3229</v>
      </c>
      <c r="Q1130" s="52" t="s">
        <v>2855</v>
      </c>
      <c r="R1130" s="52" t="s">
        <v>64</v>
      </c>
      <c r="S1130" s="52" t="s">
        <v>2932</v>
      </c>
    </row>
    <row r="1131" spans="1:19" hidden="1" outlineLevel="2" x14ac:dyDescent="0.45">
      <c r="A1131" s="52" t="s">
        <v>17</v>
      </c>
      <c r="B1131" s="52" t="s">
        <v>57</v>
      </c>
      <c r="C1131" s="52" t="s">
        <v>774</v>
      </c>
      <c r="D1131" s="52" t="s">
        <v>775</v>
      </c>
      <c r="E1131" s="52" t="s">
        <v>387</v>
      </c>
      <c r="F1131" s="52" t="s">
        <v>3230</v>
      </c>
      <c r="G1131" s="52" t="s">
        <v>60</v>
      </c>
      <c r="H1131" s="52"/>
      <c r="I1131" s="52" t="s">
        <v>2833</v>
      </c>
      <c r="J1131" s="52" t="s">
        <v>2932</v>
      </c>
      <c r="K1131" s="52"/>
      <c r="L1131" s="52"/>
      <c r="M1131" s="52" t="s">
        <v>29</v>
      </c>
      <c r="N1131" s="84">
        <v>-4056</v>
      </c>
      <c r="O1131" s="84">
        <v>-4056</v>
      </c>
      <c r="P1131" s="52"/>
      <c r="Q1131" s="52" t="s">
        <v>3231</v>
      </c>
      <c r="R1131" s="52" t="s">
        <v>64</v>
      </c>
      <c r="S1131" s="52"/>
    </row>
    <row r="1132" spans="1:19" hidden="1" outlineLevel="2" x14ac:dyDescent="0.45">
      <c r="A1132" s="52" t="s">
        <v>17</v>
      </c>
      <c r="B1132" s="52" t="s">
        <v>57</v>
      </c>
      <c r="C1132" s="52" t="s">
        <v>774</v>
      </c>
      <c r="D1132" s="52" t="s">
        <v>775</v>
      </c>
      <c r="E1132" s="52" t="s">
        <v>387</v>
      </c>
      <c r="F1132" s="52" t="s">
        <v>3230</v>
      </c>
      <c r="G1132" s="52" t="s">
        <v>60</v>
      </c>
      <c r="H1132" s="52" t="s">
        <v>3227</v>
      </c>
      <c r="I1132" s="52" t="s">
        <v>2833</v>
      </c>
      <c r="J1132" s="52" t="s">
        <v>2932</v>
      </c>
      <c r="K1132" s="52" t="s">
        <v>3228</v>
      </c>
      <c r="L1132" s="52" t="s">
        <v>3228</v>
      </c>
      <c r="M1132" s="52" t="s">
        <v>29</v>
      </c>
      <c r="N1132" s="84">
        <v>-3000</v>
      </c>
      <c r="O1132" s="84">
        <v>-3000</v>
      </c>
      <c r="P1132" s="52" t="s">
        <v>3229</v>
      </c>
      <c r="Q1132" s="52" t="s">
        <v>3231</v>
      </c>
      <c r="R1132" s="52" t="s">
        <v>64</v>
      </c>
      <c r="S1132" s="52" t="s">
        <v>2932</v>
      </c>
    </row>
    <row r="1133" spans="1:19" hidden="1" outlineLevel="2" x14ac:dyDescent="0.45">
      <c r="A1133" s="52" t="s">
        <v>17</v>
      </c>
      <c r="B1133" s="52" t="s">
        <v>66</v>
      </c>
      <c r="C1133" s="52" t="s">
        <v>1627</v>
      </c>
      <c r="D1133" s="52" t="s">
        <v>1628</v>
      </c>
      <c r="E1133" s="52" t="s">
        <v>387</v>
      </c>
      <c r="F1133" s="52" t="s">
        <v>3232</v>
      </c>
      <c r="G1133" s="52" t="s">
        <v>60</v>
      </c>
      <c r="H1133" s="52" t="s">
        <v>2863</v>
      </c>
      <c r="I1133" s="52" t="s">
        <v>2833</v>
      </c>
      <c r="J1133" s="52" t="s">
        <v>2841</v>
      </c>
      <c r="K1133" s="52" t="s">
        <v>3233</v>
      </c>
      <c r="L1133" s="52" t="s">
        <v>3233</v>
      </c>
      <c r="M1133" s="52" t="s">
        <v>67</v>
      </c>
      <c r="N1133" s="84">
        <v>-118</v>
      </c>
      <c r="O1133" s="84">
        <v>-401.44</v>
      </c>
      <c r="P1133" s="52" t="s">
        <v>3234</v>
      </c>
      <c r="Q1133" s="52" t="s">
        <v>3235</v>
      </c>
      <c r="R1133" s="52" t="s">
        <v>64</v>
      </c>
      <c r="S1133" s="52" t="s">
        <v>2561</v>
      </c>
    </row>
    <row r="1134" spans="1:19" hidden="1" outlineLevel="2" x14ac:dyDescent="0.45">
      <c r="A1134" s="52" t="s">
        <v>17</v>
      </c>
      <c r="B1134" s="52" t="s">
        <v>66</v>
      </c>
      <c r="C1134" s="52" t="s">
        <v>630</v>
      </c>
      <c r="D1134" s="52" t="s">
        <v>631</v>
      </c>
      <c r="E1134" s="52" t="s">
        <v>387</v>
      </c>
      <c r="F1134" s="52" t="s">
        <v>3238</v>
      </c>
      <c r="G1134" s="52" t="s">
        <v>60</v>
      </c>
      <c r="H1134" s="52" t="s">
        <v>3239</v>
      </c>
      <c r="I1134" s="52" t="s">
        <v>2833</v>
      </c>
      <c r="J1134" s="52" t="s">
        <v>2885</v>
      </c>
      <c r="K1134" s="52" t="s">
        <v>3240</v>
      </c>
      <c r="L1134" s="52" t="s">
        <v>3240</v>
      </c>
      <c r="M1134" s="52" t="s">
        <v>67</v>
      </c>
      <c r="N1134" s="84">
        <v>-8695.65</v>
      </c>
      <c r="O1134" s="84">
        <v>-29426.080000000002</v>
      </c>
      <c r="P1134" s="52" t="s">
        <v>3241</v>
      </c>
      <c r="Q1134" s="52" t="s">
        <v>3242</v>
      </c>
      <c r="R1134" s="52" t="s">
        <v>64</v>
      </c>
      <c r="S1134" s="52" t="s">
        <v>3243</v>
      </c>
    </row>
    <row r="1135" spans="1:19" hidden="1" outlineLevel="2" x14ac:dyDescent="0.45">
      <c r="A1135" s="52" t="s">
        <v>17</v>
      </c>
      <c r="B1135" s="52" t="s">
        <v>66</v>
      </c>
      <c r="C1135" s="52" t="s">
        <v>349</v>
      </c>
      <c r="D1135" s="52" t="s">
        <v>350</v>
      </c>
      <c r="E1135" s="52" t="s">
        <v>387</v>
      </c>
      <c r="F1135" s="52" t="s">
        <v>3244</v>
      </c>
      <c r="G1135" s="52" t="s">
        <v>60</v>
      </c>
      <c r="H1135" s="52" t="s">
        <v>727</v>
      </c>
      <c r="I1135" s="52" t="s">
        <v>2833</v>
      </c>
      <c r="J1135" s="52" t="s">
        <v>2885</v>
      </c>
      <c r="K1135" s="52" t="s">
        <v>3245</v>
      </c>
      <c r="L1135" s="52" t="s">
        <v>3245</v>
      </c>
      <c r="M1135" s="52" t="s">
        <v>67</v>
      </c>
      <c r="N1135" s="84">
        <v>-1.53</v>
      </c>
      <c r="O1135" s="84">
        <v>-5.18</v>
      </c>
      <c r="P1135" s="52" t="s">
        <v>3246</v>
      </c>
      <c r="Q1135" s="52" t="s">
        <v>3144</v>
      </c>
      <c r="R1135" s="52" t="s">
        <v>64</v>
      </c>
      <c r="S1135" s="52" t="s">
        <v>2885</v>
      </c>
    </row>
    <row r="1136" spans="1:19" hidden="1" outlineLevel="2" x14ac:dyDescent="0.45">
      <c r="A1136" s="52" t="s">
        <v>17</v>
      </c>
      <c r="B1136" s="52" t="s">
        <v>66</v>
      </c>
      <c r="C1136" s="52" t="s">
        <v>349</v>
      </c>
      <c r="D1136" s="52" t="s">
        <v>350</v>
      </c>
      <c r="E1136" s="52" t="s">
        <v>387</v>
      </c>
      <c r="F1136" s="52" t="s">
        <v>3247</v>
      </c>
      <c r="G1136" s="52" t="s">
        <v>60</v>
      </c>
      <c r="H1136" s="52" t="s">
        <v>2643</v>
      </c>
      <c r="I1136" s="52" t="s">
        <v>2833</v>
      </c>
      <c r="J1136" s="52" t="s">
        <v>2841</v>
      </c>
      <c r="K1136" s="52" t="s">
        <v>3248</v>
      </c>
      <c r="L1136" s="52" t="s">
        <v>3248</v>
      </c>
      <c r="M1136" s="52" t="s">
        <v>67</v>
      </c>
      <c r="N1136" s="84">
        <v>-1.53</v>
      </c>
      <c r="O1136" s="84">
        <v>-5.21</v>
      </c>
      <c r="P1136" s="52" t="s">
        <v>3249</v>
      </c>
      <c r="Q1136" s="52" t="s">
        <v>3137</v>
      </c>
      <c r="R1136" s="52" t="s">
        <v>64</v>
      </c>
      <c r="S1136" s="52" t="s">
        <v>2841</v>
      </c>
    </row>
    <row r="1137" spans="1:19" hidden="1" outlineLevel="2" x14ac:dyDescent="0.45">
      <c r="A1137" s="52" t="s">
        <v>17</v>
      </c>
      <c r="B1137" s="52" t="s">
        <v>66</v>
      </c>
      <c r="C1137" s="52"/>
      <c r="D1137" s="52" t="s">
        <v>1276</v>
      </c>
      <c r="E1137" s="52" t="s">
        <v>387</v>
      </c>
      <c r="F1137" s="52" t="s">
        <v>3250</v>
      </c>
      <c r="G1137" s="52" t="s">
        <v>60</v>
      </c>
      <c r="H1137" s="52"/>
      <c r="I1137" s="52" t="s">
        <v>2833</v>
      </c>
      <c r="J1137" s="52" t="s">
        <v>2841</v>
      </c>
      <c r="K1137" s="52"/>
      <c r="L1137" s="52"/>
      <c r="M1137" s="52" t="s">
        <v>67</v>
      </c>
      <c r="N1137" s="84">
        <v>-529.19000000000005</v>
      </c>
      <c r="O1137" s="84">
        <v>-1800.3</v>
      </c>
      <c r="P1137" s="52"/>
      <c r="Q1137" s="52" t="s">
        <v>3251</v>
      </c>
      <c r="R1137" s="52" t="s">
        <v>64</v>
      </c>
      <c r="S1137" s="52"/>
    </row>
    <row r="1138" spans="1:19" hidden="1" outlineLevel="2" x14ac:dyDescent="0.45">
      <c r="A1138" s="52" t="s">
        <v>17</v>
      </c>
      <c r="B1138" s="52" t="s">
        <v>66</v>
      </c>
      <c r="C1138" s="52" t="s">
        <v>376</v>
      </c>
      <c r="D1138" s="52" t="s">
        <v>377</v>
      </c>
      <c r="E1138" s="52" t="s">
        <v>387</v>
      </c>
      <c r="F1138" s="52" t="s">
        <v>3252</v>
      </c>
      <c r="G1138" s="52" t="s">
        <v>60</v>
      </c>
      <c r="H1138" s="52" t="s">
        <v>3253</v>
      </c>
      <c r="I1138" s="52" t="s">
        <v>2833</v>
      </c>
      <c r="J1138" s="52" t="s">
        <v>2841</v>
      </c>
      <c r="K1138" s="52" t="s">
        <v>3254</v>
      </c>
      <c r="L1138" s="52" t="s">
        <v>3254</v>
      </c>
      <c r="M1138" s="52" t="s">
        <v>67</v>
      </c>
      <c r="N1138" s="84">
        <v>-2360</v>
      </c>
      <c r="O1138" s="84">
        <v>-8028.72</v>
      </c>
      <c r="P1138" s="52" t="s">
        <v>3255</v>
      </c>
      <c r="Q1138" s="52" t="s">
        <v>3256</v>
      </c>
      <c r="R1138" s="52" t="s">
        <v>64</v>
      </c>
      <c r="S1138" s="52" t="s">
        <v>2841</v>
      </c>
    </row>
    <row r="1139" spans="1:19" hidden="1" outlineLevel="2" x14ac:dyDescent="0.45">
      <c r="A1139" s="52" t="s">
        <v>17</v>
      </c>
      <c r="B1139" s="52" t="s">
        <v>66</v>
      </c>
      <c r="C1139" s="52" t="s">
        <v>349</v>
      </c>
      <c r="D1139" s="52" t="s">
        <v>350</v>
      </c>
      <c r="E1139" s="52" t="s">
        <v>387</v>
      </c>
      <c r="F1139" s="52" t="s">
        <v>3257</v>
      </c>
      <c r="G1139" s="52" t="s">
        <v>60</v>
      </c>
      <c r="H1139" s="52" t="s">
        <v>2643</v>
      </c>
      <c r="I1139" s="52" t="s">
        <v>2833</v>
      </c>
      <c r="J1139" s="52" t="s">
        <v>2841</v>
      </c>
      <c r="K1139" s="52" t="s">
        <v>3248</v>
      </c>
      <c r="L1139" s="52" t="s">
        <v>3248</v>
      </c>
      <c r="M1139" s="52" t="s">
        <v>67</v>
      </c>
      <c r="N1139" s="84">
        <v>-1.53</v>
      </c>
      <c r="O1139" s="84">
        <v>-5.21</v>
      </c>
      <c r="P1139" s="52" t="s">
        <v>3249</v>
      </c>
      <c r="Q1139" s="52" t="s">
        <v>3137</v>
      </c>
      <c r="R1139" s="52" t="s">
        <v>64</v>
      </c>
      <c r="S1139" s="52" t="s">
        <v>2841</v>
      </c>
    </row>
    <row r="1140" spans="1:19" hidden="1" outlineLevel="2" x14ac:dyDescent="0.45">
      <c r="A1140" s="52" t="s">
        <v>17</v>
      </c>
      <c r="B1140" s="52" t="s">
        <v>66</v>
      </c>
      <c r="C1140" s="52" t="s">
        <v>349</v>
      </c>
      <c r="D1140" s="52" t="s">
        <v>350</v>
      </c>
      <c r="E1140" s="52" t="s">
        <v>387</v>
      </c>
      <c r="F1140" s="52" t="s">
        <v>3258</v>
      </c>
      <c r="G1140" s="52" t="s">
        <v>60</v>
      </c>
      <c r="H1140" s="52" t="s">
        <v>3259</v>
      </c>
      <c r="I1140" s="52" t="s">
        <v>2833</v>
      </c>
      <c r="J1140" s="52" t="s">
        <v>2932</v>
      </c>
      <c r="K1140" s="52" t="s">
        <v>3260</v>
      </c>
      <c r="L1140" s="52" t="s">
        <v>3260</v>
      </c>
      <c r="M1140" s="52" t="s">
        <v>67</v>
      </c>
      <c r="N1140" s="84">
        <v>-1.3</v>
      </c>
      <c r="O1140" s="84">
        <v>-4.4400000000000004</v>
      </c>
      <c r="P1140" s="52" t="s">
        <v>3261</v>
      </c>
      <c r="Q1140" s="52" t="s">
        <v>3262</v>
      </c>
      <c r="R1140" s="52" t="s">
        <v>64</v>
      </c>
      <c r="S1140" s="52" t="s">
        <v>2932</v>
      </c>
    </row>
    <row r="1141" spans="1:19" hidden="1" outlineLevel="2" x14ac:dyDescent="0.45">
      <c r="A1141" s="52" t="s">
        <v>17</v>
      </c>
      <c r="B1141" s="52" t="s">
        <v>66</v>
      </c>
      <c r="C1141" s="52" t="s">
        <v>349</v>
      </c>
      <c r="D1141" s="52" t="s">
        <v>350</v>
      </c>
      <c r="E1141" s="52" t="s">
        <v>387</v>
      </c>
      <c r="F1141" s="52" t="s">
        <v>3258</v>
      </c>
      <c r="G1141" s="52" t="s">
        <v>60</v>
      </c>
      <c r="H1141" s="52" t="s">
        <v>3259</v>
      </c>
      <c r="I1141" s="52" t="s">
        <v>2833</v>
      </c>
      <c r="J1141" s="52" t="s">
        <v>2932</v>
      </c>
      <c r="K1141" s="52" t="s">
        <v>3260</v>
      </c>
      <c r="L1141" s="52" t="s">
        <v>3260</v>
      </c>
      <c r="M1141" s="52" t="s">
        <v>67</v>
      </c>
      <c r="N1141" s="84">
        <v>-14</v>
      </c>
      <c r="O1141" s="84">
        <v>-47.81</v>
      </c>
      <c r="P1141" s="52" t="s">
        <v>3261</v>
      </c>
      <c r="Q1141" s="52" t="s">
        <v>3262</v>
      </c>
      <c r="R1141" s="52" t="s">
        <v>64</v>
      </c>
      <c r="S1141" s="52" t="s">
        <v>2932</v>
      </c>
    </row>
    <row r="1142" spans="1:19" hidden="1" outlineLevel="2" x14ac:dyDescent="0.45">
      <c r="A1142" s="52" t="s">
        <v>17</v>
      </c>
      <c r="B1142" s="52" t="s">
        <v>66</v>
      </c>
      <c r="C1142" s="52" t="s">
        <v>349</v>
      </c>
      <c r="D1142" s="52" t="s">
        <v>350</v>
      </c>
      <c r="E1142" s="52" t="s">
        <v>387</v>
      </c>
      <c r="F1142" s="52" t="s">
        <v>3263</v>
      </c>
      <c r="G1142" s="52" t="s">
        <v>60</v>
      </c>
      <c r="H1142" s="52" t="s">
        <v>3264</v>
      </c>
      <c r="I1142" s="52" t="s">
        <v>2833</v>
      </c>
      <c r="J1142" s="52" t="s">
        <v>2854</v>
      </c>
      <c r="K1142" s="52" t="s">
        <v>3265</v>
      </c>
      <c r="L1142" s="52" t="s">
        <v>3265</v>
      </c>
      <c r="M1142" s="52" t="s">
        <v>67</v>
      </c>
      <c r="N1142" s="84">
        <v>-3.6</v>
      </c>
      <c r="O1142" s="84">
        <v>-12.33</v>
      </c>
      <c r="P1142" s="52" t="s">
        <v>3266</v>
      </c>
      <c r="Q1142" s="52" t="s">
        <v>3267</v>
      </c>
      <c r="R1142" s="52" t="s">
        <v>64</v>
      </c>
      <c r="S1142" s="52" t="s">
        <v>2932</v>
      </c>
    </row>
    <row r="1143" spans="1:19" hidden="1" outlineLevel="2" x14ac:dyDescent="0.45">
      <c r="A1143" s="52" t="s">
        <v>17</v>
      </c>
      <c r="B1143" s="52" t="s">
        <v>66</v>
      </c>
      <c r="C1143" s="52" t="s">
        <v>376</v>
      </c>
      <c r="D1143" s="52" t="s">
        <v>377</v>
      </c>
      <c r="E1143" s="52" t="s">
        <v>387</v>
      </c>
      <c r="F1143" s="52" t="s">
        <v>3268</v>
      </c>
      <c r="G1143" s="52" t="s">
        <v>60</v>
      </c>
      <c r="H1143" s="52" t="s">
        <v>3269</v>
      </c>
      <c r="I1143" s="52" t="s">
        <v>2833</v>
      </c>
      <c r="J1143" s="52" t="s">
        <v>2854</v>
      </c>
      <c r="K1143" s="52" t="s">
        <v>3270</v>
      </c>
      <c r="L1143" s="52" t="s">
        <v>3270</v>
      </c>
      <c r="M1143" s="52" t="s">
        <v>67</v>
      </c>
      <c r="N1143" s="84">
        <v>-2360</v>
      </c>
      <c r="O1143" s="84">
        <v>-8083</v>
      </c>
      <c r="P1143" s="52" t="s">
        <v>3271</v>
      </c>
      <c r="Q1143" s="52" t="s">
        <v>3272</v>
      </c>
      <c r="R1143" s="52" t="s">
        <v>64</v>
      </c>
      <c r="S1143" s="52" t="s">
        <v>2854</v>
      </c>
    </row>
    <row r="1144" spans="1:19" hidden="1" outlineLevel="2" x14ac:dyDescent="0.45">
      <c r="A1144" s="52" t="s">
        <v>17</v>
      </c>
      <c r="B1144" s="52" t="s">
        <v>66</v>
      </c>
      <c r="C1144" s="52"/>
      <c r="D1144" s="52" t="s">
        <v>610</v>
      </c>
      <c r="E1144" s="52" t="s">
        <v>387</v>
      </c>
      <c r="F1144" s="52" t="s">
        <v>3273</v>
      </c>
      <c r="G1144" s="52" t="s">
        <v>60</v>
      </c>
      <c r="H1144" s="52" t="s">
        <v>3274</v>
      </c>
      <c r="I1144" s="52" t="s">
        <v>2833</v>
      </c>
      <c r="J1144" s="52" t="s">
        <v>2854</v>
      </c>
      <c r="K1144" s="52" t="s">
        <v>3275</v>
      </c>
      <c r="L1144" s="52" t="s">
        <v>3275</v>
      </c>
      <c r="M1144" s="52" t="s">
        <v>67</v>
      </c>
      <c r="N1144" s="84">
        <v>-60000</v>
      </c>
      <c r="O1144" s="84">
        <v>-205500</v>
      </c>
      <c r="P1144" s="52" t="s">
        <v>3276</v>
      </c>
      <c r="Q1144" s="52" t="s">
        <v>3277</v>
      </c>
      <c r="R1144" s="52" t="s">
        <v>64</v>
      </c>
      <c r="S1144" s="52" t="s">
        <v>2854</v>
      </c>
    </row>
    <row r="1145" spans="1:19" hidden="1" outlineLevel="2" x14ac:dyDescent="0.45">
      <c r="A1145" s="52" t="s">
        <v>17</v>
      </c>
      <c r="B1145" s="52" t="s">
        <v>66</v>
      </c>
      <c r="C1145" s="52" t="s">
        <v>349</v>
      </c>
      <c r="D1145" s="52" t="s">
        <v>350</v>
      </c>
      <c r="E1145" s="52" t="s">
        <v>387</v>
      </c>
      <c r="F1145" s="52" t="s">
        <v>3278</v>
      </c>
      <c r="G1145" s="52" t="s">
        <v>60</v>
      </c>
      <c r="H1145" s="52" t="s">
        <v>2798</v>
      </c>
      <c r="I1145" s="52" t="s">
        <v>2833</v>
      </c>
      <c r="J1145" s="52" t="s">
        <v>2854</v>
      </c>
      <c r="K1145" s="52" t="s">
        <v>3279</v>
      </c>
      <c r="L1145" s="52" t="s">
        <v>3279</v>
      </c>
      <c r="M1145" s="52" t="s">
        <v>67</v>
      </c>
      <c r="N1145" s="84">
        <v>-1.53</v>
      </c>
      <c r="O1145" s="84">
        <v>-5.24</v>
      </c>
      <c r="P1145" s="52" t="s">
        <v>3280</v>
      </c>
      <c r="Q1145" s="52" t="s">
        <v>3281</v>
      </c>
      <c r="R1145" s="52" t="s">
        <v>64</v>
      </c>
      <c r="S1145" s="52" t="s">
        <v>2854</v>
      </c>
    </row>
    <row r="1146" spans="1:19" hidden="1" outlineLevel="2" x14ac:dyDescent="0.45">
      <c r="A1146" s="52" t="s">
        <v>17</v>
      </c>
      <c r="B1146" s="52" t="s">
        <v>66</v>
      </c>
      <c r="C1146" s="52" t="s">
        <v>349</v>
      </c>
      <c r="D1146" s="52" t="s">
        <v>350</v>
      </c>
      <c r="E1146" s="52" t="s">
        <v>387</v>
      </c>
      <c r="F1146" s="52" t="s">
        <v>3282</v>
      </c>
      <c r="G1146" s="52" t="s">
        <v>60</v>
      </c>
      <c r="H1146" s="52" t="s">
        <v>807</v>
      </c>
      <c r="I1146" s="52" t="s">
        <v>2833</v>
      </c>
      <c r="J1146" s="52" t="s">
        <v>2854</v>
      </c>
      <c r="K1146" s="52" t="s">
        <v>3283</v>
      </c>
      <c r="L1146" s="52" t="s">
        <v>3283</v>
      </c>
      <c r="M1146" s="52" t="s">
        <v>67</v>
      </c>
      <c r="N1146" s="84">
        <v>-86</v>
      </c>
      <c r="O1146" s="84">
        <v>-294.55</v>
      </c>
      <c r="P1146" s="52" t="s">
        <v>3284</v>
      </c>
      <c r="Q1146" s="52" t="s">
        <v>3285</v>
      </c>
      <c r="R1146" s="52" t="s">
        <v>64</v>
      </c>
      <c r="S1146" s="52" t="s">
        <v>2854</v>
      </c>
    </row>
    <row r="1147" spans="1:19" outlineLevel="1" collapsed="1" x14ac:dyDescent="0.45">
      <c r="A1147" s="1" t="s">
        <v>1744</v>
      </c>
      <c r="B1147" s="52"/>
      <c r="C1147" s="52"/>
      <c r="D1147" s="52"/>
      <c r="E1147" s="52"/>
      <c r="F1147" s="52"/>
      <c r="G1147" s="52"/>
      <c r="H1147" s="54"/>
      <c r="I1147" s="52"/>
      <c r="J1147" s="52"/>
      <c r="K1147" s="52"/>
      <c r="L1147" s="52"/>
      <c r="M1147" s="52"/>
      <c r="N1147" s="53"/>
      <c r="O1147" s="53">
        <f>SUBTOTAL(9,O1076:O1146)</f>
        <v>-767445.90999999992</v>
      </c>
      <c r="P1147" s="52"/>
      <c r="Q1147" s="52"/>
      <c r="R1147" s="52"/>
      <c r="S1147" s="52"/>
    </row>
    <row r="1148" spans="1:19" hidden="1" outlineLevel="2" x14ac:dyDescent="0.45">
      <c r="A1148" s="52" t="s">
        <v>18</v>
      </c>
      <c r="B1148" s="52" t="s">
        <v>57</v>
      </c>
      <c r="C1148" s="52" t="s">
        <v>1745</v>
      </c>
      <c r="D1148" s="52" t="s">
        <v>1746</v>
      </c>
      <c r="E1148" s="52" t="s">
        <v>387</v>
      </c>
      <c r="F1148" s="52" t="s">
        <v>3286</v>
      </c>
      <c r="G1148" s="52" t="s">
        <v>60</v>
      </c>
      <c r="H1148" s="52" t="s">
        <v>3287</v>
      </c>
      <c r="I1148" s="52" t="s">
        <v>2833</v>
      </c>
      <c r="J1148" s="52" t="s">
        <v>2885</v>
      </c>
      <c r="K1148" s="52" t="s">
        <v>3288</v>
      </c>
      <c r="L1148" s="52" t="s">
        <v>3288</v>
      </c>
      <c r="M1148" s="52" t="s">
        <v>29</v>
      </c>
      <c r="N1148" s="84">
        <v>-75620</v>
      </c>
      <c r="O1148" s="84">
        <v>-75620</v>
      </c>
      <c r="P1148" s="52" t="s">
        <v>3289</v>
      </c>
      <c r="Q1148" s="52" t="s">
        <v>3290</v>
      </c>
      <c r="R1148" s="52" t="s">
        <v>64</v>
      </c>
      <c r="S1148" s="52" t="s">
        <v>2885</v>
      </c>
    </row>
    <row r="1149" spans="1:19" hidden="1" outlineLevel="2" x14ac:dyDescent="0.45">
      <c r="A1149" s="52" t="s">
        <v>18</v>
      </c>
      <c r="B1149" s="52" t="s">
        <v>57</v>
      </c>
      <c r="C1149" s="52" t="s">
        <v>1745</v>
      </c>
      <c r="D1149" s="52" t="s">
        <v>1746</v>
      </c>
      <c r="E1149" s="52" t="s">
        <v>387</v>
      </c>
      <c r="F1149" s="52" t="s">
        <v>3291</v>
      </c>
      <c r="G1149" s="52" t="s">
        <v>60</v>
      </c>
      <c r="H1149" s="52" t="s">
        <v>3292</v>
      </c>
      <c r="I1149" s="52" t="s">
        <v>2833</v>
      </c>
      <c r="J1149" s="52" t="s">
        <v>2851</v>
      </c>
      <c r="K1149" s="52" t="s">
        <v>3293</v>
      </c>
      <c r="L1149" s="52" t="s">
        <v>3293</v>
      </c>
      <c r="M1149" s="52" t="s">
        <v>29</v>
      </c>
      <c r="N1149" s="84">
        <v>-5563</v>
      </c>
      <c r="O1149" s="84">
        <v>-5563</v>
      </c>
      <c r="P1149" s="52" t="s">
        <v>3294</v>
      </c>
      <c r="Q1149" s="52" t="s">
        <v>3295</v>
      </c>
      <c r="R1149" s="52" t="s">
        <v>64</v>
      </c>
      <c r="S1149" s="52" t="s">
        <v>2841</v>
      </c>
    </row>
    <row r="1150" spans="1:19" hidden="1" outlineLevel="2" x14ac:dyDescent="0.45">
      <c r="A1150" s="52" t="s">
        <v>18</v>
      </c>
      <c r="B1150" s="52" t="s">
        <v>57</v>
      </c>
      <c r="C1150" s="52" t="s">
        <v>697</v>
      </c>
      <c r="D1150" s="52" t="s">
        <v>698</v>
      </c>
      <c r="E1150" s="52" t="s">
        <v>387</v>
      </c>
      <c r="F1150" s="52" t="s">
        <v>3296</v>
      </c>
      <c r="G1150" s="52" t="s">
        <v>60</v>
      </c>
      <c r="H1150" s="52" t="s">
        <v>3297</v>
      </c>
      <c r="I1150" s="52" t="s">
        <v>2833</v>
      </c>
      <c r="J1150" s="52" t="s">
        <v>2885</v>
      </c>
      <c r="K1150" s="52" t="s">
        <v>3298</v>
      </c>
      <c r="L1150" s="52" t="s">
        <v>3298</v>
      </c>
      <c r="M1150" s="52" t="s">
        <v>29</v>
      </c>
      <c r="N1150" s="84">
        <v>-37.42</v>
      </c>
      <c r="O1150" s="84">
        <v>-37.42</v>
      </c>
      <c r="P1150" s="52" t="s">
        <v>3299</v>
      </c>
      <c r="Q1150" s="52" t="s">
        <v>3300</v>
      </c>
      <c r="R1150" s="52" t="s">
        <v>64</v>
      </c>
      <c r="S1150" s="52" t="s">
        <v>2885</v>
      </c>
    </row>
    <row r="1151" spans="1:19" hidden="1" outlineLevel="2" x14ac:dyDescent="0.45">
      <c r="A1151" s="52" t="s">
        <v>18</v>
      </c>
      <c r="B1151" s="52" t="s">
        <v>57</v>
      </c>
      <c r="C1151" s="52" t="s">
        <v>697</v>
      </c>
      <c r="D1151" s="52" t="s">
        <v>698</v>
      </c>
      <c r="E1151" s="52" t="s">
        <v>387</v>
      </c>
      <c r="F1151" s="52" t="s">
        <v>3296</v>
      </c>
      <c r="G1151" s="52" t="s">
        <v>60</v>
      </c>
      <c r="H1151" s="52" t="s">
        <v>3301</v>
      </c>
      <c r="I1151" s="52" t="s">
        <v>2833</v>
      </c>
      <c r="J1151" s="52" t="s">
        <v>2885</v>
      </c>
      <c r="K1151" s="52" t="s">
        <v>3302</v>
      </c>
      <c r="L1151" s="52" t="s">
        <v>3302</v>
      </c>
      <c r="M1151" s="52" t="s">
        <v>29</v>
      </c>
      <c r="N1151" s="84">
        <v>-9356.81</v>
      </c>
      <c r="O1151" s="84">
        <v>-9356.81</v>
      </c>
      <c r="P1151" s="52" t="s">
        <v>702</v>
      </c>
      <c r="Q1151" s="52" t="s">
        <v>3300</v>
      </c>
      <c r="R1151" s="52" t="s">
        <v>64</v>
      </c>
      <c r="S1151" s="52" t="s">
        <v>2723</v>
      </c>
    </row>
    <row r="1152" spans="1:19" hidden="1" outlineLevel="2" x14ac:dyDescent="0.45">
      <c r="A1152" s="52" t="s">
        <v>18</v>
      </c>
      <c r="B1152" s="52" t="s">
        <v>57</v>
      </c>
      <c r="C1152" s="52" t="s">
        <v>829</v>
      </c>
      <c r="D1152" s="52" t="s">
        <v>830</v>
      </c>
      <c r="E1152" s="52" t="s">
        <v>387</v>
      </c>
      <c r="F1152" s="52" t="s">
        <v>3303</v>
      </c>
      <c r="G1152" s="52" t="s">
        <v>60</v>
      </c>
      <c r="H1152" s="52" t="s">
        <v>3304</v>
      </c>
      <c r="I1152" s="52" t="s">
        <v>2833</v>
      </c>
      <c r="J1152" s="52" t="s">
        <v>2841</v>
      </c>
      <c r="K1152" s="52" t="s">
        <v>3305</v>
      </c>
      <c r="L1152" s="52" t="s">
        <v>3305</v>
      </c>
      <c r="M1152" s="52" t="s">
        <v>29</v>
      </c>
      <c r="N1152" s="84">
        <v>-3.62</v>
      </c>
      <c r="O1152" s="84">
        <v>-3.62</v>
      </c>
      <c r="P1152" s="52" t="s">
        <v>3299</v>
      </c>
      <c r="Q1152" s="52" t="s">
        <v>3306</v>
      </c>
      <c r="R1152" s="52" t="s">
        <v>64</v>
      </c>
      <c r="S1152" s="52" t="s">
        <v>2841</v>
      </c>
    </row>
    <row r="1153" spans="1:19" hidden="1" outlineLevel="2" x14ac:dyDescent="0.45">
      <c r="A1153" s="52" t="s">
        <v>18</v>
      </c>
      <c r="B1153" s="52" t="s">
        <v>57</v>
      </c>
      <c r="C1153" s="52" t="s">
        <v>829</v>
      </c>
      <c r="D1153" s="52" t="s">
        <v>830</v>
      </c>
      <c r="E1153" s="52" t="s">
        <v>387</v>
      </c>
      <c r="F1153" s="52" t="s">
        <v>3303</v>
      </c>
      <c r="G1153" s="52" t="s">
        <v>60</v>
      </c>
      <c r="H1153" s="52" t="s">
        <v>3307</v>
      </c>
      <c r="I1153" s="52" t="s">
        <v>2833</v>
      </c>
      <c r="J1153" s="52" t="s">
        <v>2841</v>
      </c>
      <c r="K1153" s="52" t="s">
        <v>3308</v>
      </c>
      <c r="L1153" s="52" t="s">
        <v>3308</v>
      </c>
      <c r="M1153" s="52" t="s">
        <v>29</v>
      </c>
      <c r="N1153" s="84">
        <v>-1808.4</v>
      </c>
      <c r="O1153" s="84">
        <v>-1808.4</v>
      </c>
      <c r="P1153" s="52" t="s">
        <v>834</v>
      </c>
      <c r="Q1153" s="52" t="s">
        <v>3306</v>
      </c>
      <c r="R1153" s="52" t="s">
        <v>64</v>
      </c>
      <c r="S1153" s="52" t="s">
        <v>2723</v>
      </c>
    </row>
    <row r="1154" spans="1:19" hidden="1" outlineLevel="2" x14ac:dyDescent="0.45">
      <c r="A1154" s="52" t="s">
        <v>18</v>
      </c>
      <c r="B1154" s="52" t="s">
        <v>57</v>
      </c>
      <c r="C1154" s="52" t="s">
        <v>734</v>
      </c>
      <c r="D1154" s="52" t="s">
        <v>735</v>
      </c>
      <c r="E1154" s="52" t="s">
        <v>387</v>
      </c>
      <c r="F1154" s="52" t="s">
        <v>3309</v>
      </c>
      <c r="G1154" s="52" t="s">
        <v>60</v>
      </c>
      <c r="H1154" s="52" t="s">
        <v>3310</v>
      </c>
      <c r="I1154" s="52" t="s">
        <v>2833</v>
      </c>
      <c r="J1154" s="52" t="s">
        <v>2841</v>
      </c>
      <c r="K1154" s="52" t="s">
        <v>3311</v>
      </c>
      <c r="L1154" s="52" t="s">
        <v>3311</v>
      </c>
      <c r="M1154" s="52" t="s">
        <v>29</v>
      </c>
      <c r="N1154" s="84">
        <v>-9.69</v>
      </c>
      <c r="O1154" s="84">
        <v>-9.69</v>
      </c>
      <c r="P1154" s="52" t="s">
        <v>3299</v>
      </c>
      <c r="Q1154" s="52" t="s">
        <v>3312</v>
      </c>
      <c r="R1154" s="52" t="s">
        <v>64</v>
      </c>
      <c r="S1154" s="52" t="s">
        <v>2841</v>
      </c>
    </row>
    <row r="1155" spans="1:19" hidden="1" outlineLevel="2" x14ac:dyDescent="0.45">
      <c r="A1155" s="52" t="s">
        <v>18</v>
      </c>
      <c r="B1155" s="52" t="s">
        <v>57</v>
      </c>
      <c r="C1155" s="52" t="s">
        <v>734</v>
      </c>
      <c r="D1155" s="52" t="s">
        <v>735</v>
      </c>
      <c r="E1155" s="52" t="s">
        <v>387</v>
      </c>
      <c r="F1155" s="52" t="s">
        <v>3309</v>
      </c>
      <c r="G1155" s="52" t="s">
        <v>60</v>
      </c>
      <c r="H1155" s="52" t="s">
        <v>3313</v>
      </c>
      <c r="I1155" s="52" t="s">
        <v>2833</v>
      </c>
      <c r="J1155" s="52" t="s">
        <v>2841</v>
      </c>
      <c r="K1155" s="52" t="s">
        <v>3314</v>
      </c>
      <c r="L1155" s="52" t="s">
        <v>3314</v>
      </c>
      <c r="M1155" s="52" t="s">
        <v>29</v>
      </c>
      <c r="N1155" s="84">
        <v>-4846.84</v>
      </c>
      <c r="O1155" s="84">
        <v>-4846.84</v>
      </c>
      <c r="P1155" s="52" t="s">
        <v>739</v>
      </c>
      <c r="Q1155" s="52" t="s">
        <v>3312</v>
      </c>
      <c r="R1155" s="52" t="s">
        <v>64</v>
      </c>
      <c r="S1155" s="52" t="s">
        <v>2723</v>
      </c>
    </row>
    <row r="1156" spans="1:19" hidden="1" outlineLevel="2" x14ac:dyDescent="0.45">
      <c r="A1156" s="52" t="s">
        <v>18</v>
      </c>
      <c r="B1156" s="52" t="s">
        <v>57</v>
      </c>
      <c r="C1156" s="52" t="s">
        <v>707</v>
      </c>
      <c r="D1156" s="52" t="s">
        <v>708</v>
      </c>
      <c r="E1156" s="52" t="s">
        <v>387</v>
      </c>
      <c r="F1156" s="52" t="s">
        <v>3315</v>
      </c>
      <c r="G1156" s="52" t="s">
        <v>60</v>
      </c>
      <c r="H1156" s="52" t="s">
        <v>3316</v>
      </c>
      <c r="I1156" s="52" t="s">
        <v>2833</v>
      </c>
      <c r="J1156" s="52" t="s">
        <v>2841</v>
      </c>
      <c r="K1156" s="52" t="s">
        <v>3317</v>
      </c>
      <c r="L1156" s="52" t="s">
        <v>3317</v>
      </c>
      <c r="M1156" s="52" t="s">
        <v>29</v>
      </c>
      <c r="N1156" s="84">
        <v>-15.34</v>
      </c>
      <c r="O1156" s="84">
        <v>-15.34</v>
      </c>
      <c r="P1156" s="52" t="s">
        <v>3299</v>
      </c>
      <c r="Q1156" s="52" t="s">
        <v>3318</v>
      </c>
      <c r="R1156" s="52" t="s">
        <v>64</v>
      </c>
      <c r="S1156" s="52" t="s">
        <v>2841</v>
      </c>
    </row>
    <row r="1157" spans="1:19" hidden="1" outlineLevel="2" x14ac:dyDescent="0.45">
      <c r="A1157" s="52" t="s">
        <v>18</v>
      </c>
      <c r="B1157" s="52" t="s">
        <v>57</v>
      </c>
      <c r="C1157" s="52" t="s">
        <v>707</v>
      </c>
      <c r="D1157" s="52" t="s">
        <v>708</v>
      </c>
      <c r="E1157" s="52" t="s">
        <v>387</v>
      </c>
      <c r="F1157" s="52" t="s">
        <v>3315</v>
      </c>
      <c r="G1157" s="52" t="s">
        <v>60</v>
      </c>
      <c r="H1157" s="52" t="s">
        <v>3319</v>
      </c>
      <c r="I1157" s="52" t="s">
        <v>2833</v>
      </c>
      <c r="J1157" s="52" t="s">
        <v>2841</v>
      </c>
      <c r="K1157" s="52" t="s">
        <v>3320</v>
      </c>
      <c r="L1157" s="52" t="s">
        <v>3320</v>
      </c>
      <c r="M1157" s="52" t="s">
        <v>29</v>
      </c>
      <c r="N1157" s="84">
        <v>-7671.04</v>
      </c>
      <c r="O1157" s="84">
        <v>-7671.04</v>
      </c>
      <c r="P1157" s="52" t="s">
        <v>712</v>
      </c>
      <c r="Q1157" s="52" t="s">
        <v>3318</v>
      </c>
      <c r="R1157" s="52" t="s">
        <v>64</v>
      </c>
      <c r="S1157" s="52" t="s">
        <v>2723</v>
      </c>
    </row>
    <row r="1158" spans="1:19" hidden="1" outlineLevel="2" x14ac:dyDescent="0.45">
      <c r="A1158" s="52" t="s">
        <v>18</v>
      </c>
      <c r="B1158" s="52" t="s">
        <v>57</v>
      </c>
      <c r="C1158" s="52" t="s">
        <v>1745</v>
      </c>
      <c r="D1158" s="52" t="s">
        <v>1746</v>
      </c>
      <c r="E1158" s="52" t="s">
        <v>387</v>
      </c>
      <c r="F1158" s="52" t="s">
        <v>3321</v>
      </c>
      <c r="G1158" s="52" t="s">
        <v>60</v>
      </c>
      <c r="H1158" s="52" t="s">
        <v>3322</v>
      </c>
      <c r="I1158" s="52" t="s">
        <v>2833</v>
      </c>
      <c r="J1158" s="52" t="s">
        <v>3323</v>
      </c>
      <c r="K1158" s="52" t="s">
        <v>3324</v>
      </c>
      <c r="L1158" s="52" t="s">
        <v>3324</v>
      </c>
      <c r="M1158" s="52" t="s">
        <v>29</v>
      </c>
      <c r="N1158" s="84">
        <v>-2</v>
      </c>
      <c r="O1158" s="84">
        <v>-2</v>
      </c>
      <c r="P1158" s="52" t="s">
        <v>3325</v>
      </c>
      <c r="Q1158" s="52" t="s">
        <v>3326</v>
      </c>
      <c r="R1158" s="52" t="s">
        <v>64</v>
      </c>
      <c r="S1158" s="52" t="s">
        <v>3323</v>
      </c>
    </row>
    <row r="1159" spans="1:19" hidden="1" outlineLevel="2" x14ac:dyDescent="0.45">
      <c r="A1159" s="52" t="s">
        <v>18</v>
      </c>
      <c r="B1159" s="52" t="s">
        <v>57</v>
      </c>
      <c r="C1159" s="52" t="s">
        <v>1745</v>
      </c>
      <c r="D1159" s="52" t="s">
        <v>1746</v>
      </c>
      <c r="E1159" s="52" t="s">
        <v>387</v>
      </c>
      <c r="F1159" s="52" t="s">
        <v>3321</v>
      </c>
      <c r="G1159" s="52" t="s">
        <v>60</v>
      </c>
      <c r="H1159" s="52" t="s">
        <v>3322</v>
      </c>
      <c r="I1159" s="52" t="s">
        <v>2833</v>
      </c>
      <c r="J1159" s="52" t="s">
        <v>3323</v>
      </c>
      <c r="K1159" s="52" t="s">
        <v>3324</v>
      </c>
      <c r="L1159" s="52" t="s">
        <v>3324</v>
      </c>
      <c r="M1159" s="52" t="s">
        <v>29</v>
      </c>
      <c r="N1159" s="84">
        <v>-5</v>
      </c>
      <c r="O1159" s="84">
        <v>-5</v>
      </c>
      <c r="P1159" s="52" t="s">
        <v>3325</v>
      </c>
      <c r="Q1159" s="52" t="s">
        <v>3326</v>
      </c>
      <c r="R1159" s="52" t="s">
        <v>64</v>
      </c>
      <c r="S1159" s="52" t="s">
        <v>3323</v>
      </c>
    </row>
    <row r="1160" spans="1:19" hidden="1" outlineLevel="2" x14ac:dyDescent="0.45">
      <c r="A1160" s="52" t="s">
        <v>18</v>
      </c>
      <c r="B1160" s="52" t="s">
        <v>57</v>
      </c>
      <c r="C1160" s="52" t="s">
        <v>1745</v>
      </c>
      <c r="D1160" s="52" t="s">
        <v>1746</v>
      </c>
      <c r="E1160" s="52" t="s">
        <v>387</v>
      </c>
      <c r="F1160" s="52" t="s">
        <v>3327</v>
      </c>
      <c r="G1160" s="52" t="s">
        <v>60</v>
      </c>
      <c r="H1160" s="52" t="s">
        <v>3328</v>
      </c>
      <c r="I1160" s="52" t="s">
        <v>2833</v>
      </c>
      <c r="J1160" s="52" t="s">
        <v>3177</v>
      </c>
      <c r="K1160" s="52" t="s">
        <v>3329</v>
      </c>
      <c r="L1160" s="52" t="s">
        <v>3329</v>
      </c>
      <c r="M1160" s="52" t="s">
        <v>29</v>
      </c>
      <c r="N1160" s="84">
        <v>-66403</v>
      </c>
      <c r="O1160" s="84">
        <v>-66403</v>
      </c>
      <c r="P1160" s="52" t="s">
        <v>3330</v>
      </c>
      <c r="Q1160" s="52" t="s">
        <v>3331</v>
      </c>
      <c r="R1160" s="52" t="s">
        <v>64</v>
      </c>
      <c r="S1160" s="52" t="s">
        <v>2867</v>
      </c>
    </row>
    <row r="1161" spans="1:19" hidden="1" outlineLevel="2" x14ac:dyDescent="0.45">
      <c r="A1161" s="52" t="s">
        <v>18</v>
      </c>
      <c r="B1161" s="52" t="s">
        <v>65</v>
      </c>
      <c r="C1161" s="52" t="s">
        <v>1745</v>
      </c>
      <c r="D1161" s="52" t="s">
        <v>1746</v>
      </c>
      <c r="E1161" s="52" t="s">
        <v>387</v>
      </c>
      <c r="F1161" s="52" t="s">
        <v>2475</v>
      </c>
      <c r="G1161" s="52" t="s">
        <v>60</v>
      </c>
      <c r="H1161" s="52" t="s">
        <v>3332</v>
      </c>
      <c r="I1161" s="52" t="s">
        <v>2833</v>
      </c>
      <c r="J1161" s="52" t="s">
        <v>2858</v>
      </c>
      <c r="K1161" s="52" t="s">
        <v>3333</v>
      </c>
      <c r="L1161" s="52" t="s">
        <v>3333</v>
      </c>
      <c r="M1161" s="52" t="s">
        <v>29</v>
      </c>
      <c r="N1161" s="84">
        <v>-32828</v>
      </c>
      <c r="O1161" s="84">
        <v>-32828</v>
      </c>
      <c r="P1161" s="52" t="s">
        <v>1762</v>
      </c>
      <c r="Q1161" s="52" t="s">
        <v>3334</v>
      </c>
      <c r="R1161" s="52" t="s">
        <v>64</v>
      </c>
      <c r="S1161" s="52" t="s">
        <v>2723</v>
      </c>
    </row>
    <row r="1162" spans="1:19" hidden="1" outlineLevel="2" x14ac:dyDescent="0.45">
      <c r="A1162" s="52" t="s">
        <v>18</v>
      </c>
      <c r="B1162" s="52" t="s">
        <v>65</v>
      </c>
      <c r="C1162" s="52" t="s">
        <v>1745</v>
      </c>
      <c r="D1162" s="52" t="s">
        <v>1746</v>
      </c>
      <c r="E1162" s="52" t="s">
        <v>387</v>
      </c>
      <c r="F1162" s="52" t="s">
        <v>3335</v>
      </c>
      <c r="G1162" s="52" t="s">
        <v>60</v>
      </c>
      <c r="H1162" s="52" t="s">
        <v>3336</v>
      </c>
      <c r="I1162" s="52" t="s">
        <v>2833</v>
      </c>
      <c r="J1162" s="52" t="s">
        <v>2841</v>
      </c>
      <c r="K1162" s="52" t="s">
        <v>3337</v>
      </c>
      <c r="L1162" s="52" t="s">
        <v>3337</v>
      </c>
      <c r="M1162" s="52" t="s">
        <v>29</v>
      </c>
      <c r="N1162" s="84">
        <v>-9652</v>
      </c>
      <c r="O1162" s="84">
        <v>-9652</v>
      </c>
      <c r="P1162" s="52" t="s">
        <v>3294</v>
      </c>
      <c r="Q1162" s="52" t="s">
        <v>3338</v>
      </c>
      <c r="R1162" s="52" t="s">
        <v>64</v>
      </c>
      <c r="S1162" s="52" t="s">
        <v>2841</v>
      </c>
    </row>
    <row r="1163" spans="1:19" hidden="1" outlineLevel="2" x14ac:dyDescent="0.45">
      <c r="A1163" s="52" t="s">
        <v>18</v>
      </c>
      <c r="B1163" s="52" t="s">
        <v>65</v>
      </c>
      <c r="C1163" s="52" t="s">
        <v>1745</v>
      </c>
      <c r="D1163" s="52" t="s">
        <v>1746</v>
      </c>
      <c r="E1163" s="52" t="s">
        <v>387</v>
      </c>
      <c r="F1163" s="52" t="s">
        <v>2424</v>
      </c>
      <c r="G1163" s="52" t="s">
        <v>60</v>
      </c>
      <c r="H1163" s="52" t="s">
        <v>3339</v>
      </c>
      <c r="I1163" s="52" t="s">
        <v>2833</v>
      </c>
      <c r="J1163" s="52" t="s">
        <v>2851</v>
      </c>
      <c r="K1163" s="52" t="s">
        <v>3340</v>
      </c>
      <c r="L1163" s="52" t="s">
        <v>3340</v>
      </c>
      <c r="M1163" s="52" t="s">
        <v>29</v>
      </c>
      <c r="N1163" s="84">
        <v>-4366</v>
      </c>
      <c r="O1163" s="84">
        <v>-4366</v>
      </c>
      <c r="P1163" s="52" t="s">
        <v>3289</v>
      </c>
      <c r="Q1163" s="52" t="s">
        <v>3341</v>
      </c>
      <c r="R1163" s="52" t="s">
        <v>64</v>
      </c>
      <c r="S1163" s="52" t="s">
        <v>2841</v>
      </c>
    </row>
    <row r="1164" spans="1:19" hidden="1" outlineLevel="2" x14ac:dyDescent="0.45">
      <c r="A1164" s="52" t="s">
        <v>18</v>
      </c>
      <c r="B1164" s="52" t="s">
        <v>65</v>
      </c>
      <c r="C1164" s="52" t="s">
        <v>1745</v>
      </c>
      <c r="D1164" s="52" t="s">
        <v>1746</v>
      </c>
      <c r="E1164" s="52" t="s">
        <v>387</v>
      </c>
      <c r="F1164" s="52" t="s">
        <v>3342</v>
      </c>
      <c r="G1164" s="52" t="s">
        <v>60</v>
      </c>
      <c r="H1164" s="52" t="s">
        <v>3343</v>
      </c>
      <c r="I1164" s="52" t="s">
        <v>2833</v>
      </c>
      <c r="J1164" s="52" t="s">
        <v>2851</v>
      </c>
      <c r="K1164" s="52" t="s">
        <v>3344</v>
      </c>
      <c r="L1164" s="52" t="s">
        <v>3344</v>
      </c>
      <c r="M1164" s="52" t="s">
        <v>29</v>
      </c>
      <c r="N1164" s="84">
        <v>-6925</v>
      </c>
      <c r="O1164" s="84">
        <v>-6925</v>
      </c>
      <c r="P1164" s="52" t="s">
        <v>1769</v>
      </c>
      <c r="Q1164" s="52" t="s">
        <v>3345</v>
      </c>
      <c r="R1164" s="52" t="s">
        <v>64</v>
      </c>
      <c r="S1164" s="52" t="s">
        <v>2723</v>
      </c>
    </row>
    <row r="1165" spans="1:19" hidden="1" outlineLevel="2" x14ac:dyDescent="0.45">
      <c r="A1165" s="52" t="s">
        <v>18</v>
      </c>
      <c r="B1165" s="52" t="s">
        <v>65</v>
      </c>
      <c r="C1165" s="52" t="s">
        <v>1745</v>
      </c>
      <c r="D1165" s="52" t="s">
        <v>1746</v>
      </c>
      <c r="E1165" s="52" t="s">
        <v>387</v>
      </c>
      <c r="F1165" s="52" t="s">
        <v>3346</v>
      </c>
      <c r="G1165" s="52" t="s">
        <v>60</v>
      </c>
      <c r="H1165" s="52" t="s">
        <v>3347</v>
      </c>
      <c r="I1165" s="52" t="s">
        <v>2833</v>
      </c>
      <c r="J1165" s="52" t="s">
        <v>2851</v>
      </c>
      <c r="K1165" s="52" t="s">
        <v>3348</v>
      </c>
      <c r="L1165" s="52" t="s">
        <v>3348</v>
      </c>
      <c r="M1165" s="52" t="s">
        <v>29</v>
      </c>
      <c r="N1165" s="84">
        <v>-17028</v>
      </c>
      <c r="O1165" s="84">
        <v>-17028</v>
      </c>
      <c r="P1165" s="52" t="s">
        <v>1766</v>
      </c>
      <c r="Q1165" s="52" t="s">
        <v>3341</v>
      </c>
      <c r="R1165" s="52" t="s">
        <v>64</v>
      </c>
      <c r="S1165" s="52" t="s">
        <v>2723</v>
      </c>
    </row>
    <row r="1166" spans="1:19" hidden="1" outlineLevel="2" x14ac:dyDescent="0.45">
      <c r="A1166" s="52" t="s">
        <v>18</v>
      </c>
      <c r="B1166" s="52" t="s">
        <v>65</v>
      </c>
      <c r="C1166" s="52" t="s">
        <v>1745</v>
      </c>
      <c r="D1166" s="52" t="s">
        <v>1746</v>
      </c>
      <c r="E1166" s="52" t="s">
        <v>387</v>
      </c>
      <c r="F1166" s="52" t="s">
        <v>3349</v>
      </c>
      <c r="G1166" s="52" t="s">
        <v>60</v>
      </c>
      <c r="H1166" s="52" t="s">
        <v>3328</v>
      </c>
      <c r="I1166" s="52" t="s">
        <v>2833</v>
      </c>
      <c r="J1166" s="52" t="s">
        <v>3177</v>
      </c>
      <c r="K1166" s="52" t="s">
        <v>3329</v>
      </c>
      <c r="L1166" s="52" t="s">
        <v>3329</v>
      </c>
      <c r="M1166" s="52" t="s">
        <v>29</v>
      </c>
      <c r="N1166" s="84">
        <v>-35401</v>
      </c>
      <c r="O1166" s="84">
        <v>-35401</v>
      </c>
      <c r="P1166" s="52" t="s">
        <v>3330</v>
      </c>
      <c r="Q1166" s="52" t="s">
        <v>3350</v>
      </c>
      <c r="R1166" s="52" t="s">
        <v>64</v>
      </c>
      <c r="S1166" s="52" t="s">
        <v>2867</v>
      </c>
    </row>
    <row r="1167" spans="1:19" outlineLevel="1" collapsed="1" x14ac:dyDescent="0.45">
      <c r="A1167" s="1" t="s">
        <v>1834</v>
      </c>
      <c r="B1167" s="52"/>
      <c r="C1167" s="52"/>
      <c r="D1167" s="52"/>
      <c r="E1167" s="52"/>
      <c r="F1167" s="52"/>
      <c r="G1167" s="52"/>
      <c r="H1167" s="54"/>
      <c r="I1167" s="52"/>
      <c r="J1167" s="52"/>
      <c r="K1167" s="52"/>
      <c r="L1167" s="52"/>
      <c r="M1167" s="52"/>
      <c r="N1167" s="53"/>
      <c r="O1167" s="53">
        <f>SUBTOTAL(9,O1148:O1166)</f>
        <v>-277542.15999999997</v>
      </c>
      <c r="P1167" s="52"/>
      <c r="Q1167" s="52"/>
      <c r="R1167" s="52"/>
      <c r="S1167" s="52"/>
    </row>
    <row r="1168" spans="1:19" outlineLevel="1" collapsed="1" x14ac:dyDescent="0.45">
      <c r="P1168" s="52"/>
      <c r="Q1168" s="52"/>
      <c r="R1168" s="52"/>
      <c r="S1168" s="52"/>
    </row>
    <row r="1169" spans="1:19" x14ac:dyDescent="0.45">
      <c r="A1169" s="1" t="s">
        <v>3382</v>
      </c>
      <c r="B1169" s="52"/>
      <c r="C1169" s="52"/>
      <c r="D1169" s="52"/>
      <c r="E1169" s="52"/>
      <c r="F1169" s="52"/>
      <c r="G1169" s="52"/>
      <c r="H1169" s="54"/>
      <c r="I1169" s="52"/>
      <c r="J1169" s="52"/>
      <c r="K1169" s="52"/>
      <c r="L1169" s="52"/>
      <c r="M1169" s="52"/>
      <c r="N1169" s="53"/>
      <c r="O1169" s="92">
        <f>SUBTOTAL(9,O973:O1166)</f>
        <v>-41158.170000001002</v>
      </c>
    </row>
    <row r="1170" spans="1:19" x14ac:dyDescent="0.45">
      <c r="B1170" s="52"/>
      <c r="C1170" s="52"/>
      <c r="D1170" s="52"/>
      <c r="E1170" s="52"/>
      <c r="F1170" s="52"/>
      <c r="G1170" s="52"/>
      <c r="H1170" s="54"/>
      <c r="I1170" s="52"/>
      <c r="J1170" s="52"/>
      <c r="K1170" s="52"/>
      <c r="L1170" s="52"/>
      <c r="M1170" s="52"/>
      <c r="N1170" s="53"/>
      <c r="O1170" s="53"/>
      <c r="P1170" s="52"/>
      <c r="Q1170" s="52"/>
      <c r="R1170" s="52"/>
      <c r="S1170" s="52"/>
    </row>
    <row r="1171" spans="1:19" x14ac:dyDescent="0.45">
      <c r="B1171" s="52"/>
      <c r="C1171" s="52"/>
      <c r="D1171" s="52"/>
      <c r="E1171" s="52"/>
      <c r="F1171" s="52"/>
      <c r="G1171" s="52"/>
      <c r="H1171" s="54"/>
      <c r="I1171" s="52"/>
      <c r="J1171" s="52"/>
      <c r="K1171" s="52"/>
      <c r="L1171" s="52"/>
      <c r="M1171" s="52"/>
      <c r="N1171" s="53"/>
      <c r="O1171" s="53"/>
      <c r="P1171" s="52"/>
      <c r="Q1171" s="52"/>
      <c r="R1171" s="52"/>
      <c r="S1171" s="52"/>
    </row>
    <row r="1172" spans="1:19" x14ac:dyDescent="0.45">
      <c r="A1172" s="44" t="s">
        <v>37</v>
      </c>
      <c r="B1172" s="45" t="s">
        <v>38</v>
      </c>
      <c r="C1172" s="46" t="s">
        <v>39</v>
      </c>
      <c r="D1172" s="46" t="s">
        <v>40</v>
      </c>
      <c r="E1172" s="46" t="s">
        <v>41</v>
      </c>
      <c r="F1172" s="47" t="s">
        <v>42</v>
      </c>
      <c r="G1172" s="47" t="s">
        <v>43</v>
      </c>
      <c r="H1172" s="46" t="s">
        <v>44</v>
      </c>
      <c r="I1172" s="47" t="s">
        <v>45</v>
      </c>
      <c r="J1172" s="46" t="s">
        <v>46</v>
      </c>
      <c r="K1172" s="47" t="s">
        <v>47</v>
      </c>
      <c r="L1172" s="47" t="s">
        <v>48</v>
      </c>
      <c r="M1172" s="45" t="s">
        <v>49</v>
      </c>
      <c r="N1172" s="48" t="s">
        <v>50</v>
      </c>
      <c r="O1172" s="48" t="s">
        <v>51</v>
      </c>
      <c r="P1172" s="47" t="s">
        <v>52</v>
      </c>
      <c r="Q1172" s="47" t="s">
        <v>53</v>
      </c>
      <c r="R1172" s="49" t="s">
        <v>54</v>
      </c>
      <c r="S1172" s="46" t="s">
        <v>2742</v>
      </c>
    </row>
    <row r="1173" spans="1:19" hidden="1" outlineLevel="1" x14ac:dyDescent="0.45">
      <c r="A1173" s="63" t="s">
        <v>2743</v>
      </c>
      <c r="B1173" s="64" t="s">
        <v>57</v>
      </c>
      <c r="C1173" s="64" t="s">
        <v>349</v>
      </c>
      <c r="D1173" s="64" t="s">
        <v>350</v>
      </c>
      <c r="E1173" s="64" t="s">
        <v>387</v>
      </c>
      <c r="F1173" s="64" t="s">
        <v>2744</v>
      </c>
      <c r="G1173" s="64" t="s">
        <v>60</v>
      </c>
      <c r="H1173" s="66">
        <v>46082</v>
      </c>
      <c r="I1173" s="64" t="s">
        <v>271</v>
      </c>
      <c r="J1173" s="64" t="s">
        <v>383</v>
      </c>
      <c r="K1173" s="64" t="s">
        <v>2745</v>
      </c>
      <c r="L1173" s="64" t="s">
        <v>2745</v>
      </c>
      <c r="M1173" s="64" t="s">
        <v>29</v>
      </c>
      <c r="N1173" s="65">
        <v>-182520</v>
      </c>
      <c r="O1173" s="65">
        <v>-182520</v>
      </c>
      <c r="P1173" s="64" t="s">
        <v>1743</v>
      </c>
      <c r="Q1173" s="64" t="s">
        <v>1743</v>
      </c>
      <c r="R1173" s="64" t="s">
        <v>64</v>
      </c>
      <c r="S1173" s="64" t="s">
        <v>383</v>
      </c>
    </row>
    <row r="1174" spans="1:19" hidden="1" outlineLevel="1" x14ac:dyDescent="0.45">
      <c r="A1174" s="63" t="s">
        <v>2743</v>
      </c>
      <c r="B1174" s="64" t="s">
        <v>66</v>
      </c>
      <c r="C1174" s="64" t="s">
        <v>349</v>
      </c>
      <c r="D1174" s="64" t="s">
        <v>350</v>
      </c>
      <c r="E1174" s="64" t="s">
        <v>71</v>
      </c>
      <c r="F1174" s="64" t="s">
        <v>1048</v>
      </c>
      <c r="G1174" s="64" t="s">
        <v>73</v>
      </c>
      <c r="H1174" s="66">
        <v>46082</v>
      </c>
      <c r="I1174" s="64" t="s">
        <v>271</v>
      </c>
      <c r="J1174" s="64" t="s">
        <v>383</v>
      </c>
      <c r="K1174" s="64" t="s">
        <v>2745</v>
      </c>
      <c r="L1174" s="64" t="s">
        <v>2745</v>
      </c>
      <c r="M1174" s="64" t="s">
        <v>67</v>
      </c>
      <c r="N1174" s="65">
        <v>52000</v>
      </c>
      <c r="O1174" s="65">
        <v>182520</v>
      </c>
      <c r="P1174" s="64" t="s">
        <v>1743</v>
      </c>
      <c r="Q1174" s="64" t="s">
        <v>118</v>
      </c>
      <c r="R1174" s="64" t="s">
        <v>64</v>
      </c>
      <c r="S1174" s="64" t="s">
        <v>383</v>
      </c>
    </row>
    <row r="1175" spans="1:19" hidden="1" outlineLevel="1" x14ac:dyDescent="0.45">
      <c r="A1175" s="63" t="s">
        <v>2743</v>
      </c>
      <c r="B1175" s="64" t="s">
        <v>66</v>
      </c>
      <c r="C1175" s="64" t="s">
        <v>349</v>
      </c>
      <c r="D1175" s="64" t="s">
        <v>350</v>
      </c>
      <c r="E1175" s="64" t="s">
        <v>71</v>
      </c>
      <c r="F1175" s="64" t="s">
        <v>2746</v>
      </c>
      <c r="G1175" s="64" t="s">
        <v>73</v>
      </c>
      <c r="H1175" s="66">
        <v>46143</v>
      </c>
      <c r="I1175" s="64" t="s">
        <v>2304</v>
      </c>
      <c r="J1175" s="64" t="s">
        <v>2325</v>
      </c>
      <c r="K1175" s="64" t="s">
        <v>2747</v>
      </c>
      <c r="L1175" s="64" t="s">
        <v>2747</v>
      </c>
      <c r="M1175" s="64" t="s">
        <v>67</v>
      </c>
      <c r="N1175" s="65">
        <v>17700</v>
      </c>
      <c r="O1175" s="65">
        <v>61596</v>
      </c>
      <c r="P1175" s="64" t="s">
        <v>2748</v>
      </c>
      <c r="Q1175" s="64" t="s">
        <v>118</v>
      </c>
      <c r="R1175" s="64" t="s">
        <v>64</v>
      </c>
      <c r="S1175" s="64" t="s">
        <v>2325</v>
      </c>
    </row>
    <row r="1176" spans="1:19" hidden="1" outlineLevel="1" x14ac:dyDescent="0.45">
      <c r="A1176" s="63" t="s">
        <v>2743</v>
      </c>
      <c r="B1176" s="64" t="s">
        <v>57</v>
      </c>
      <c r="C1176" s="64" t="s">
        <v>349</v>
      </c>
      <c r="D1176" s="64" t="s">
        <v>350</v>
      </c>
      <c r="E1176" s="64" t="s">
        <v>387</v>
      </c>
      <c r="F1176" s="64" t="s">
        <v>2749</v>
      </c>
      <c r="G1176" s="64" t="s">
        <v>60</v>
      </c>
      <c r="H1176" s="66">
        <v>46143</v>
      </c>
      <c r="I1176" s="64" t="s">
        <v>2304</v>
      </c>
      <c r="J1176" s="64" t="s">
        <v>2325</v>
      </c>
      <c r="K1176" s="64" t="s">
        <v>2747</v>
      </c>
      <c r="L1176" s="64" t="s">
        <v>2747</v>
      </c>
      <c r="M1176" s="64" t="s">
        <v>29</v>
      </c>
      <c r="N1176" s="65">
        <v>-61596</v>
      </c>
      <c r="O1176" s="65">
        <v>-61596</v>
      </c>
      <c r="P1176" s="64" t="s">
        <v>2748</v>
      </c>
      <c r="Q1176" s="64" t="s">
        <v>2748</v>
      </c>
      <c r="R1176" s="64" t="s">
        <v>64</v>
      </c>
      <c r="S1176" s="64" t="s">
        <v>2325</v>
      </c>
    </row>
    <row r="1177" spans="1:19" hidden="1" outlineLevel="1" x14ac:dyDescent="0.45">
      <c r="A1177" s="63" t="s">
        <v>2743</v>
      </c>
      <c r="B1177" s="64" t="s">
        <v>66</v>
      </c>
      <c r="C1177" s="64" t="s">
        <v>349</v>
      </c>
      <c r="D1177" s="64" t="s">
        <v>350</v>
      </c>
      <c r="E1177" s="64" t="s">
        <v>71</v>
      </c>
      <c r="F1177" s="64" t="s">
        <v>2750</v>
      </c>
      <c r="G1177" s="64" t="s">
        <v>73</v>
      </c>
      <c r="H1177" s="66">
        <v>46143</v>
      </c>
      <c r="I1177" s="64" t="s">
        <v>2304</v>
      </c>
      <c r="J1177" s="64" t="s">
        <v>2321</v>
      </c>
      <c r="K1177" s="64" t="s">
        <v>2751</v>
      </c>
      <c r="L1177" s="64" t="s">
        <v>2751</v>
      </c>
      <c r="M1177" s="64" t="s">
        <v>67</v>
      </c>
      <c r="N1177" s="65">
        <v>35600</v>
      </c>
      <c r="O1177" s="65">
        <v>122891.2</v>
      </c>
      <c r="P1177" s="64" t="s">
        <v>2748</v>
      </c>
      <c r="Q1177" s="64" t="s">
        <v>118</v>
      </c>
      <c r="R1177" s="64" t="s">
        <v>64</v>
      </c>
      <c r="S1177" s="64" t="s">
        <v>2321</v>
      </c>
    </row>
    <row r="1178" spans="1:19" hidden="1" outlineLevel="1" x14ac:dyDescent="0.45">
      <c r="A1178" s="63" t="s">
        <v>2743</v>
      </c>
      <c r="B1178" s="64" t="s">
        <v>57</v>
      </c>
      <c r="C1178" s="64" t="s">
        <v>349</v>
      </c>
      <c r="D1178" s="64" t="s">
        <v>350</v>
      </c>
      <c r="E1178" s="64" t="s">
        <v>387</v>
      </c>
      <c r="F1178" s="64" t="s">
        <v>2752</v>
      </c>
      <c r="G1178" s="64" t="s">
        <v>60</v>
      </c>
      <c r="H1178" s="66">
        <v>46143</v>
      </c>
      <c r="I1178" s="64" t="s">
        <v>2304</v>
      </c>
      <c r="J1178" s="64" t="s">
        <v>2321</v>
      </c>
      <c r="K1178" s="64" t="s">
        <v>2751</v>
      </c>
      <c r="L1178" s="64" t="s">
        <v>2751</v>
      </c>
      <c r="M1178" s="64" t="s">
        <v>29</v>
      </c>
      <c r="N1178" s="65">
        <v>-122891.2</v>
      </c>
      <c r="O1178" s="65">
        <v>-122891.2</v>
      </c>
      <c r="P1178" s="64" t="s">
        <v>2748</v>
      </c>
      <c r="Q1178" s="64" t="s">
        <v>2748</v>
      </c>
      <c r="R1178" s="64" t="s">
        <v>64</v>
      </c>
      <c r="S1178" s="64" t="s">
        <v>2321</v>
      </c>
    </row>
    <row r="1179" spans="1:19" hidden="1" outlineLevel="1" x14ac:dyDescent="0.45">
      <c r="A1179" s="63" t="s">
        <v>2743</v>
      </c>
      <c r="B1179" s="64" t="s">
        <v>66</v>
      </c>
      <c r="C1179" s="64" t="s">
        <v>349</v>
      </c>
      <c r="D1179" s="64" t="s">
        <v>350</v>
      </c>
      <c r="E1179" s="64" t="s">
        <v>71</v>
      </c>
      <c r="F1179" s="64" t="s">
        <v>2753</v>
      </c>
      <c r="G1179" s="64" t="s">
        <v>73</v>
      </c>
      <c r="H1179" s="66">
        <v>46143</v>
      </c>
      <c r="I1179" s="64" t="s">
        <v>2304</v>
      </c>
      <c r="J1179" s="64" t="s">
        <v>2308</v>
      </c>
      <c r="K1179" s="64" t="s">
        <v>2754</v>
      </c>
      <c r="L1179" s="64" t="s">
        <v>2754</v>
      </c>
      <c r="M1179" s="64" t="s">
        <v>67</v>
      </c>
      <c r="N1179" s="65">
        <v>700</v>
      </c>
      <c r="O1179" s="65">
        <v>2439.4299999999998</v>
      </c>
      <c r="P1179" s="64" t="s">
        <v>2755</v>
      </c>
      <c r="Q1179" s="64" t="s">
        <v>118</v>
      </c>
      <c r="R1179" s="64" t="s">
        <v>64</v>
      </c>
      <c r="S1179" s="64" t="s">
        <v>2308</v>
      </c>
    </row>
    <row r="1180" spans="1:19" hidden="1" outlineLevel="1" x14ac:dyDescent="0.45">
      <c r="A1180" s="63" t="s">
        <v>2743</v>
      </c>
      <c r="B1180" s="64" t="s">
        <v>57</v>
      </c>
      <c r="C1180" s="64" t="s">
        <v>349</v>
      </c>
      <c r="D1180" s="64" t="s">
        <v>350</v>
      </c>
      <c r="E1180" s="64" t="s">
        <v>387</v>
      </c>
      <c r="F1180" s="64" t="s">
        <v>2756</v>
      </c>
      <c r="G1180" s="64" t="s">
        <v>60</v>
      </c>
      <c r="H1180" s="66">
        <v>46143</v>
      </c>
      <c r="I1180" s="64" t="s">
        <v>2304</v>
      </c>
      <c r="J1180" s="64" t="s">
        <v>2308</v>
      </c>
      <c r="K1180" s="64" t="s">
        <v>2754</v>
      </c>
      <c r="L1180" s="64" t="s">
        <v>2754</v>
      </c>
      <c r="M1180" s="64" t="s">
        <v>29</v>
      </c>
      <c r="N1180" s="65">
        <v>-2439.4299999999998</v>
      </c>
      <c r="O1180" s="65">
        <v>-2439.4299999999998</v>
      </c>
      <c r="P1180" s="64" t="s">
        <v>2755</v>
      </c>
      <c r="Q1180" s="64" t="s">
        <v>2755</v>
      </c>
      <c r="R1180" s="64" t="s">
        <v>64</v>
      </c>
      <c r="S1180" s="64" t="s">
        <v>2308</v>
      </c>
    </row>
    <row r="1181" spans="1:19" hidden="1" outlineLevel="1" x14ac:dyDescent="0.45">
      <c r="A1181" s="63" t="s">
        <v>2743</v>
      </c>
      <c r="B1181" s="64" t="s">
        <v>66</v>
      </c>
      <c r="C1181" s="64" t="s">
        <v>349</v>
      </c>
      <c r="D1181" s="64" t="s">
        <v>350</v>
      </c>
      <c r="E1181" s="64" t="s">
        <v>71</v>
      </c>
      <c r="F1181" s="64" t="s">
        <v>2757</v>
      </c>
      <c r="G1181" s="64" t="s">
        <v>73</v>
      </c>
      <c r="H1181" s="66">
        <v>46143</v>
      </c>
      <c r="I1181" s="64" t="s">
        <v>2304</v>
      </c>
      <c r="J1181" s="64" t="s">
        <v>2483</v>
      </c>
      <c r="K1181" s="64" t="s">
        <v>2758</v>
      </c>
      <c r="L1181" s="64" t="s">
        <v>2758</v>
      </c>
      <c r="M1181" s="64" t="s">
        <v>67</v>
      </c>
      <c r="N1181" s="65">
        <v>5000</v>
      </c>
      <c r="O1181" s="65">
        <v>17175</v>
      </c>
      <c r="P1181" s="64" t="s">
        <v>2755</v>
      </c>
      <c r="Q1181" s="64" t="s">
        <v>118</v>
      </c>
      <c r="R1181" s="64" t="s">
        <v>64</v>
      </c>
      <c r="S1181" s="64" t="s">
        <v>2483</v>
      </c>
    </row>
    <row r="1182" spans="1:19" hidden="1" outlineLevel="1" x14ac:dyDescent="0.45">
      <c r="A1182" s="63" t="s">
        <v>2743</v>
      </c>
      <c r="B1182" s="64" t="s">
        <v>57</v>
      </c>
      <c r="C1182" s="64" t="s">
        <v>349</v>
      </c>
      <c r="D1182" s="64" t="s">
        <v>350</v>
      </c>
      <c r="E1182" s="64" t="s">
        <v>387</v>
      </c>
      <c r="F1182" s="64" t="s">
        <v>2759</v>
      </c>
      <c r="G1182" s="64" t="s">
        <v>60</v>
      </c>
      <c r="H1182" s="66">
        <v>46143</v>
      </c>
      <c r="I1182" s="64" t="s">
        <v>2304</v>
      </c>
      <c r="J1182" s="64" t="s">
        <v>2483</v>
      </c>
      <c r="K1182" s="64" t="s">
        <v>2758</v>
      </c>
      <c r="L1182" s="64" t="s">
        <v>2758</v>
      </c>
      <c r="M1182" s="64" t="s">
        <v>29</v>
      </c>
      <c r="N1182" s="65">
        <v>-17175</v>
      </c>
      <c r="O1182" s="65">
        <v>-17175</v>
      </c>
      <c r="P1182" s="64" t="s">
        <v>2755</v>
      </c>
      <c r="Q1182" s="64" t="s">
        <v>2755</v>
      </c>
      <c r="R1182" s="64" t="s">
        <v>64</v>
      </c>
      <c r="S1182" s="64" t="s">
        <v>2483</v>
      </c>
    </row>
    <row r="1183" spans="1:19" hidden="1" outlineLevel="1" x14ac:dyDescent="0.45">
      <c r="A1183" s="63" t="s">
        <v>2743</v>
      </c>
      <c r="B1183" s="64" t="s">
        <v>66</v>
      </c>
      <c r="C1183" s="64" t="s">
        <v>349</v>
      </c>
      <c r="D1183" s="64" t="s">
        <v>350</v>
      </c>
      <c r="E1183" s="64" t="s">
        <v>71</v>
      </c>
      <c r="F1183" s="64" t="s">
        <v>2760</v>
      </c>
      <c r="G1183" s="64" t="s">
        <v>73</v>
      </c>
      <c r="H1183" s="66">
        <v>46113</v>
      </c>
      <c r="I1183" s="64" t="s">
        <v>1836</v>
      </c>
      <c r="J1183" s="64" t="s">
        <v>1988</v>
      </c>
      <c r="K1183" s="64" t="s">
        <v>2761</v>
      </c>
      <c r="L1183" s="64" t="s">
        <v>2761</v>
      </c>
      <c r="M1183" s="64" t="s">
        <v>67</v>
      </c>
      <c r="N1183" s="65">
        <v>5000</v>
      </c>
      <c r="O1183" s="65">
        <v>16975</v>
      </c>
      <c r="P1183" s="64" t="s">
        <v>2748</v>
      </c>
      <c r="Q1183" s="64" t="s">
        <v>118</v>
      </c>
      <c r="R1183" s="64" t="s">
        <v>64</v>
      </c>
      <c r="S1183" s="64" t="s">
        <v>1988</v>
      </c>
    </row>
    <row r="1184" spans="1:19" hidden="1" outlineLevel="1" x14ac:dyDescent="0.45">
      <c r="A1184" s="63" t="s">
        <v>2743</v>
      </c>
      <c r="B1184" s="64" t="s">
        <v>57</v>
      </c>
      <c r="C1184" s="64" t="s">
        <v>349</v>
      </c>
      <c r="D1184" s="64" t="s">
        <v>350</v>
      </c>
      <c r="E1184" s="64" t="s">
        <v>387</v>
      </c>
      <c r="F1184" s="64" t="s">
        <v>2762</v>
      </c>
      <c r="G1184" s="64" t="s">
        <v>60</v>
      </c>
      <c r="H1184" s="66">
        <v>46113</v>
      </c>
      <c r="I1184" s="64" t="s">
        <v>1836</v>
      </c>
      <c r="J1184" s="64" t="s">
        <v>1988</v>
      </c>
      <c r="K1184" s="64" t="s">
        <v>2761</v>
      </c>
      <c r="L1184" s="64" t="s">
        <v>2761</v>
      </c>
      <c r="M1184" s="64" t="s">
        <v>29</v>
      </c>
      <c r="N1184" s="65">
        <v>-16975</v>
      </c>
      <c r="O1184" s="65">
        <v>-16975</v>
      </c>
      <c r="P1184" s="64" t="s">
        <v>2748</v>
      </c>
      <c r="Q1184" s="64" t="s">
        <v>2748</v>
      </c>
      <c r="R1184" s="64" t="s">
        <v>64</v>
      </c>
      <c r="S1184" s="64" t="s">
        <v>1988</v>
      </c>
    </row>
    <row r="1185" spans="1:19" hidden="1" outlineLevel="1" x14ac:dyDescent="0.45">
      <c r="A1185" s="63" t="s">
        <v>2743</v>
      </c>
      <c r="B1185" s="64" t="s">
        <v>66</v>
      </c>
      <c r="C1185" s="64" t="s">
        <v>349</v>
      </c>
      <c r="D1185" s="64" t="s">
        <v>350</v>
      </c>
      <c r="E1185" s="64" t="s">
        <v>71</v>
      </c>
      <c r="F1185" s="64" t="s">
        <v>2763</v>
      </c>
      <c r="G1185" s="64" t="s">
        <v>73</v>
      </c>
      <c r="H1185" s="66">
        <v>46113</v>
      </c>
      <c r="I1185" s="64" t="s">
        <v>1836</v>
      </c>
      <c r="J1185" s="64" t="s">
        <v>1975</v>
      </c>
      <c r="K1185" s="64" t="s">
        <v>2764</v>
      </c>
      <c r="L1185" s="64" t="s">
        <v>2764</v>
      </c>
      <c r="M1185" s="64" t="s">
        <v>67</v>
      </c>
      <c r="N1185" s="65">
        <v>2000</v>
      </c>
      <c r="O1185" s="65">
        <v>6800</v>
      </c>
      <c r="P1185" s="64" t="s">
        <v>2765</v>
      </c>
      <c r="Q1185" s="64" t="s">
        <v>118</v>
      </c>
      <c r="R1185" s="64" t="s">
        <v>64</v>
      </c>
      <c r="S1185" s="64" t="s">
        <v>1975</v>
      </c>
    </row>
    <row r="1186" spans="1:19" s="63" customFormat="1" hidden="1" outlineLevel="1" x14ac:dyDescent="0.45">
      <c r="A1186" s="63" t="s">
        <v>2743</v>
      </c>
      <c r="B1186" s="64" t="s">
        <v>57</v>
      </c>
      <c r="C1186" s="64" t="s">
        <v>349</v>
      </c>
      <c r="D1186" s="64" t="s">
        <v>350</v>
      </c>
      <c r="E1186" s="64" t="s">
        <v>387</v>
      </c>
      <c r="F1186" s="64" t="s">
        <v>2766</v>
      </c>
      <c r="G1186" s="64" t="s">
        <v>60</v>
      </c>
      <c r="H1186" s="66">
        <v>46113</v>
      </c>
      <c r="I1186" s="64" t="s">
        <v>1836</v>
      </c>
      <c r="J1186" s="64" t="s">
        <v>1975</v>
      </c>
      <c r="K1186" s="64" t="s">
        <v>2764</v>
      </c>
      <c r="L1186" s="64" t="s">
        <v>2764</v>
      </c>
      <c r="M1186" s="64" t="s">
        <v>29</v>
      </c>
      <c r="N1186" s="65">
        <v>-6800</v>
      </c>
      <c r="O1186" s="65">
        <v>-6800</v>
      </c>
      <c r="P1186" s="64" t="s">
        <v>2765</v>
      </c>
      <c r="Q1186" s="64" t="s">
        <v>2765</v>
      </c>
      <c r="R1186" s="64" t="s">
        <v>64</v>
      </c>
      <c r="S1186" s="64" t="s">
        <v>1975</v>
      </c>
    </row>
    <row r="1187" spans="1:19" s="63" customFormat="1" hidden="1" outlineLevel="1" x14ac:dyDescent="0.45">
      <c r="A1187" s="63" t="s">
        <v>2743</v>
      </c>
      <c r="B1187" s="64" t="s">
        <v>66</v>
      </c>
      <c r="C1187" s="64" t="s">
        <v>349</v>
      </c>
      <c r="D1187" s="64" t="s">
        <v>350</v>
      </c>
      <c r="E1187" s="64" t="s">
        <v>71</v>
      </c>
      <c r="F1187" s="64" t="s">
        <v>2767</v>
      </c>
      <c r="G1187" s="64" t="s">
        <v>73</v>
      </c>
      <c r="H1187" s="66">
        <v>46113</v>
      </c>
      <c r="I1187" s="64" t="s">
        <v>1836</v>
      </c>
      <c r="J1187" s="64" t="s">
        <v>1891</v>
      </c>
      <c r="K1187" s="64" t="s">
        <v>2768</v>
      </c>
      <c r="L1187" s="64" t="s">
        <v>2768</v>
      </c>
      <c r="M1187" s="64" t="s">
        <v>67</v>
      </c>
      <c r="N1187" s="65">
        <v>1002.58</v>
      </c>
      <c r="O1187" s="65">
        <v>3500</v>
      </c>
      <c r="P1187" s="64" t="s">
        <v>2748</v>
      </c>
      <c r="Q1187" s="64" t="s">
        <v>118</v>
      </c>
      <c r="R1187" s="64" t="s">
        <v>64</v>
      </c>
      <c r="S1187" s="64" t="s">
        <v>1891</v>
      </c>
    </row>
    <row r="1188" spans="1:19" s="63" customFormat="1" hidden="1" outlineLevel="1" x14ac:dyDescent="0.45">
      <c r="A1188" s="63" t="s">
        <v>2743</v>
      </c>
      <c r="B1188" s="64" t="s">
        <v>57</v>
      </c>
      <c r="C1188" s="64" t="s">
        <v>349</v>
      </c>
      <c r="D1188" s="64" t="s">
        <v>350</v>
      </c>
      <c r="E1188" s="64" t="s">
        <v>387</v>
      </c>
      <c r="F1188" s="64" t="s">
        <v>2769</v>
      </c>
      <c r="G1188" s="64" t="s">
        <v>60</v>
      </c>
      <c r="H1188" s="66">
        <v>46113</v>
      </c>
      <c r="I1188" s="64" t="s">
        <v>1836</v>
      </c>
      <c r="J1188" s="64" t="s">
        <v>1891</v>
      </c>
      <c r="K1188" s="64" t="s">
        <v>2768</v>
      </c>
      <c r="L1188" s="64" t="s">
        <v>2768</v>
      </c>
      <c r="M1188" s="64" t="s">
        <v>29</v>
      </c>
      <c r="N1188" s="65">
        <v>-3500</v>
      </c>
      <c r="O1188" s="65">
        <v>-3500</v>
      </c>
      <c r="P1188" s="64" t="s">
        <v>2748</v>
      </c>
      <c r="Q1188" s="64" t="s">
        <v>2748</v>
      </c>
      <c r="R1188" s="64" t="s">
        <v>64</v>
      </c>
      <c r="S1188" s="64" t="s">
        <v>1891</v>
      </c>
    </row>
    <row r="1189" spans="1:19" hidden="1" outlineLevel="1" x14ac:dyDescent="0.45">
      <c r="A1189" s="63" t="s">
        <v>2743</v>
      </c>
      <c r="B1189" s="64" t="s">
        <v>66</v>
      </c>
      <c r="C1189" s="64" t="s">
        <v>349</v>
      </c>
      <c r="D1189" s="64" t="s">
        <v>350</v>
      </c>
      <c r="E1189" s="64" t="s">
        <v>71</v>
      </c>
      <c r="F1189" s="64" t="s">
        <v>2770</v>
      </c>
      <c r="G1189" s="64" t="s">
        <v>73</v>
      </c>
      <c r="H1189" s="66">
        <v>46113</v>
      </c>
      <c r="I1189" s="64" t="s">
        <v>1836</v>
      </c>
      <c r="J1189" s="64" t="s">
        <v>1880</v>
      </c>
      <c r="K1189" s="64" t="s">
        <v>2771</v>
      </c>
      <c r="L1189" s="64" t="s">
        <v>2771</v>
      </c>
      <c r="M1189" s="64" t="s">
        <v>67</v>
      </c>
      <c r="N1189" s="65">
        <v>637.20000000000005</v>
      </c>
      <c r="O1189" s="65">
        <v>2279.39</v>
      </c>
      <c r="P1189" s="64" t="s">
        <v>2748</v>
      </c>
      <c r="Q1189" s="64" t="s">
        <v>118</v>
      </c>
      <c r="R1189" s="64" t="s">
        <v>64</v>
      </c>
      <c r="S1189" s="64" t="s">
        <v>1880</v>
      </c>
    </row>
    <row r="1190" spans="1:19" hidden="1" outlineLevel="1" x14ac:dyDescent="0.45">
      <c r="A1190" s="63" t="s">
        <v>2743</v>
      </c>
      <c r="B1190" s="64" t="s">
        <v>57</v>
      </c>
      <c r="C1190" s="64" t="s">
        <v>349</v>
      </c>
      <c r="D1190" s="64" t="s">
        <v>350</v>
      </c>
      <c r="E1190" s="64" t="s">
        <v>387</v>
      </c>
      <c r="F1190" s="64" t="s">
        <v>2772</v>
      </c>
      <c r="G1190" s="64" t="s">
        <v>60</v>
      </c>
      <c r="H1190" s="66">
        <v>46113</v>
      </c>
      <c r="I1190" s="64" t="s">
        <v>1836</v>
      </c>
      <c r="J1190" s="64" t="s">
        <v>1880</v>
      </c>
      <c r="K1190" s="64" t="s">
        <v>2771</v>
      </c>
      <c r="L1190" s="64" t="s">
        <v>2771</v>
      </c>
      <c r="M1190" s="64" t="s">
        <v>29</v>
      </c>
      <c r="N1190" s="65">
        <v>-2279.39</v>
      </c>
      <c r="O1190" s="65">
        <v>-2279.39</v>
      </c>
      <c r="P1190" s="64" t="s">
        <v>2748</v>
      </c>
      <c r="Q1190" s="64" t="s">
        <v>2748</v>
      </c>
      <c r="R1190" s="64" t="s">
        <v>64</v>
      </c>
      <c r="S1190" s="64" t="s">
        <v>1880</v>
      </c>
    </row>
    <row r="1191" spans="1:19" hidden="1" outlineLevel="1" x14ac:dyDescent="0.45">
      <c r="A1191" s="63" t="s">
        <v>2743</v>
      </c>
      <c r="B1191" s="64" t="s">
        <v>66</v>
      </c>
      <c r="C1191" s="64" t="s">
        <v>349</v>
      </c>
      <c r="D1191" s="64" t="s">
        <v>350</v>
      </c>
      <c r="E1191" s="64" t="s">
        <v>71</v>
      </c>
      <c r="F1191" s="64" t="s">
        <v>1721</v>
      </c>
      <c r="G1191" s="64" t="s">
        <v>73</v>
      </c>
      <c r="H1191" s="66">
        <v>46054</v>
      </c>
      <c r="I1191" s="64" t="s">
        <v>231</v>
      </c>
      <c r="J1191" s="64" t="s">
        <v>492</v>
      </c>
      <c r="K1191" s="64" t="s">
        <v>2773</v>
      </c>
      <c r="L1191" s="64" t="s">
        <v>2773</v>
      </c>
      <c r="M1191" s="64" t="s">
        <v>67</v>
      </c>
      <c r="N1191" s="65">
        <v>10000</v>
      </c>
      <c r="O1191" s="65">
        <v>33690</v>
      </c>
      <c r="P1191" s="64" t="s">
        <v>1743</v>
      </c>
      <c r="Q1191" s="64" t="s">
        <v>118</v>
      </c>
      <c r="R1191" s="64" t="s">
        <v>64</v>
      </c>
      <c r="S1191" s="64" t="s">
        <v>492</v>
      </c>
    </row>
    <row r="1192" spans="1:19" hidden="1" outlineLevel="1" x14ac:dyDescent="0.45">
      <c r="A1192" s="63" t="s">
        <v>2743</v>
      </c>
      <c r="B1192" s="64" t="s">
        <v>66</v>
      </c>
      <c r="C1192" s="64" t="s">
        <v>349</v>
      </c>
      <c r="D1192" s="64" t="s">
        <v>350</v>
      </c>
      <c r="E1192" s="64" t="s">
        <v>71</v>
      </c>
      <c r="F1192" s="64" t="s">
        <v>2774</v>
      </c>
      <c r="G1192" s="64" t="s">
        <v>73</v>
      </c>
      <c r="H1192" s="66">
        <v>46054</v>
      </c>
      <c r="I1192" s="64" t="s">
        <v>231</v>
      </c>
      <c r="J1192" s="64" t="s">
        <v>451</v>
      </c>
      <c r="K1192" s="64" t="s">
        <v>2775</v>
      </c>
      <c r="L1192" s="64" t="s">
        <v>2775</v>
      </c>
      <c r="M1192" s="64" t="s">
        <v>67</v>
      </c>
      <c r="N1192" s="65">
        <v>3000</v>
      </c>
      <c r="O1192" s="65">
        <v>10116</v>
      </c>
      <c r="P1192" s="64" t="s">
        <v>1743</v>
      </c>
      <c r="Q1192" s="64" t="s">
        <v>118</v>
      </c>
      <c r="R1192" s="64" t="s">
        <v>64</v>
      </c>
      <c r="S1192" s="64" t="s">
        <v>451</v>
      </c>
    </row>
    <row r="1193" spans="1:19" hidden="1" outlineLevel="1" x14ac:dyDescent="0.45">
      <c r="A1193" s="63" t="s">
        <v>2743</v>
      </c>
      <c r="B1193" s="64" t="s">
        <v>57</v>
      </c>
      <c r="C1193" s="64" t="s">
        <v>349</v>
      </c>
      <c r="D1193" s="64" t="s">
        <v>350</v>
      </c>
      <c r="E1193" s="64" t="s">
        <v>387</v>
      </c>
      <c r="F1193" s="64" t="s">
        <v>1718</v>
      </c>
      <c r="G1193" s="64" t="s">
        <v>60</v>
      </c>
      <c r="H1193" s="66">
        <v>46054</v>
      </c>
      <c r="I1193" s="64" t="s">
        <v>231</v>
      </c>
      <c r="J1193" s="64" t="s">
        <v>451</v>
      </c>
      <c r="K1193" s="64" t="s">
        <v>2775</v>
      </c>
      <c r="L1193" s="64" t="s">
        <v>2775</v>
      </c>
      <c r="M1193" s="64" t="s">
        <v>29</v>
      </c>
      <c r="N1193" s="65">
        <v>-10116</v>
      </c>
      <c r="O1193" s="65">
        <v>-10116</v>
      </c>
      <c r="P1193" s="64" t="s">
        <v>1743</v>
      </c>
      <c r="Q1193" s="64" t="s">
        <v>1743</v>
      </c>
      <c r="R1193" s="64" t="s">
        <v>64</v>
      </c>
      <c r="S1193" s="64" t="s">
        <v>451</v>
      </c>
    </row>
    <row r="1194" spans="1:19" hidden="1" outlineLevel="1" x14ac:dyDescent="0.45">
      <c r="A1194" s="63" t="s">
        <v>2743</v>
      </c>
      <c r="B1194" s="64" t="s">
        <v>57</v>
      </c>
      <c r="C1194" s="64" t="s">
        <v>349</v>
      </c>
      <c r="D1194" s="64" t="s">
        <v>350</v>
      </c>
      <c r="E1194" s="64" t="s">
        <v>387</v>
      </c>
      <c r="F1194" s="64" t="s">
        <v>2776</v>
      </c>
      <c r="G1194" s="64" t="s">
        <v>60</v>
      </c>
      <c r="H1194" s="66">
        <v>46054</v>
      </c>
      <c r="I1194" s="64" t="s">
        <v>231</v>
      </c>
      <c r="J1194" s="64" t="s">
        <v>492</v>
      </c>
      <c r="K1194" s="64" t="s">
        <v>2773</v>
      </c>
      <c r="L1194" s="64" t="s">
        <v>2773</v>
      </c>
      <c r="M1194" s="64" t="s">
        <v>29</v>
      </c>
      <c r="N1194" s="65">
        <v>-33690</v>
      </c>
      <c r="O1194" s="65">
        <v>-33690</v>
      </c>
      <c r="P1194" s="64" t="s">
        <v>1743</v>
      </c>
      <c r="Q1194" s="64" t="s">
        <v>1743</v>
      </c>
      <c r="R1194" s="64" t="s">
        <v>64</v>
      </c>
      <c r="S1194" s="64" t="s">
        <v>492</v>
      </c>
    </row>
    <row r="1195" spans="1:19" s="59" customFormat="1" hidden="1" outlineLevel="1" x14ac:dyDescent="0.45">
      <c r="A1195" s="63" t="s">
        <v>2743</v>
      </c>
      <c r="B1195" s="64" t="s">
        <v>66</v>
      </c>
      <c r="C1195" s="64" t="s">
        <v>349</v>
      </c>
      <c r="D1195" s="64" t="s">
        <v>350</v>
      </c>
      <c r="E1195" s="64" t="s">
        <v>71</v>
      </c>
      <c r="F1195" s="64" t="s">
        <v>2777</v>
      </c>
      <c r="G1195" s="64" t="s">
        <v>73</v>
      </c>
      <c r="H1195" s="66">
        <v>46023</v>
      </c>
      <c r="I1195" s="64" t="s">
        <v>74</v>
      </c>
      <c r="J1195" s="64" t="s">
        <v>340</v>
      </c>
      <c r="K1195" s="64" t="s">
        <v>2778</v>
      </c>
      <c r="L1195" s="64" t="s">
        <v>2778</v>
      </c>
      <c r="M1195" s="64" t="s">
        <v>67</v>
      </c>
      <c r="N1195" s="65">
        <v>28.99</v>
      </c>
      <c r="O1195" s="65">
        <v>100</v>
      </c>
      <c r="P1195" s="64" t="s">
        <v>1743</v>
      </c>
      <c r="Q1195" s="64" t="s">
        <v>118</v>
      </c>
      <c r="R1195" s="64" t="s">
        <v>64</v>
      </c>
      <c r="S1195" s="64" t="s">
        <v>340</v>
      </c>
    </row>
    <row r="1196" spans="1:19" s="67" customFormat="1" hidden="1" outlineLevel="1" x14ac:dyDescent="0.45">
      <c r="A1196" s="63" t="s">
        <v>2743</v>
      </c>
      <c r="B1196" s="64" t="s">
        <v>57</v>
      </c>
      <c r="C1196" s="64" t="s">
        <v>349</v>
      </c>
      <c r="D1196" s="64" t="s">
        <v>350</v>
      </c>
      <c r="E1196" s="64" t="s">
        <v>387</v>
      </c>
      <c r="F1196" s="64" t="s">
        <v>2779</v>
      </c>
      <c r="G1196" s="64" t="s">
        <v>60</v>
      </c>
      <c r="H1196" s="66">
        <v>46023</v>
      </c>
      <c r="I1196" s="64" t="s">
        <v>74</v>
      </c>
      <c r="J1196" s="64" t="s">
        <v>340</v>
      </c>
      <c r="K1196" s="64" t="s">
        <v>2778</v>
      </c>
      <c r="L1196" s="64" t="s">
        <v>2778</v>
      </c>
      <c r="M1196" s="64" t="s">
        <v>29</v>
      </c>
      <c r="N1196" s="65">
        <v>-100</v>
      </c>
      <c r="O1196" s="65">
        <v>-100</v>
      </c>
      <c r="P1196" s="64" t="s">
        <v>1743</v>
      </c>
      <c r="Q1196" s="64" t="s">
        <v>1743</v>
      </c>
      <c r="R1196" s="64" t="s">
        <v>64</v>
      </c>
      <c r="S1196" s="64" t="s">
        <v>340</v>
      </c>
    </row>
    <row r="1197" spans="1:19" s="59" customFormat="1" hidden="1" outlineLevel="1" x14ac:dyDescent="0.45">
      <c r="A1197" s="63" t="s">
        <v>2743</v>
      </c>
      <c r="B1197" s="64" t="s">
        <v>66</v>
      </c>
      <c r="C1197" s="64" t="s">
        <v>349</v>
      </c>
      <c r="D1197" s="64" t="s">
        <v>350</v>
      </c>
      <c r="E1197" s="64" t="s">
        <v>71</v>
      </c>
      <c r="F1197" s="64" t="s">
        <v>2780</v>
      </c>
      <c r="G1197" s="64" t="s">
        <v>73</v>
      </c>
      <c r="H1197" s="66">
        <v>46023</v>
      </c>
      <c r="I1197" s="64" t="s">
        <v>74</v>
      </c>
      <c r="J1197" s="64" t="s">
        <v>210</v>
      </c>
      <c r="K1197" s="64" t="s">
        <v>2781</v>
      </c>
      <c r="L1197" s="64" t="s">
        <v>2781</v>
      </c>
      <c r="M1197" s="64" t="s">
        <v>67</v>
      </c>
      <c r="N1197" s="65">
        <v>82500</v>
      </c>
      <c r="O1197" s="65">
        <v>278437.5</v>
      </c>
      <c r="P1197" s="64" t="s">
        <v>2782</v>
      </c>
      <c r="Q1197" s="64" t="s">
        <v>118</v>
      </c>
      <c r="R1197" s="64" t="s">
        <v>64</v>
      </c>
      <c r="S1197" s="64" t="s">
        <v>210</v>
      </c>
    </row>
    <row r="1198" spans="1:19" s="59" customFormat="1" hidden="1" outlineLevel="1" x14ac:dyDescent="0.45">
      <c r="A1198" s="63" t="s">
        <v>2743</v>
      </c>
      <c r="B1198" s="64" t="s">
        <v>57</v>
      </c>
      <c r="C1198" s="64" t="s">
        <v>349</v>
      </c>
      <c r="D1198" s="64" t="s">
        <v>350</v>
      </c>
      <c r="E1198" s="64" t="s">
        <v>387</v>
      </c>
      <c r="F1198" s="64" t="s">
        <v>2783</v>
      </c>
      <c r="G1198" s="64" t="s">
        <v>60</v>
      </c>
      <c r="H1198" s="66">
        <v>46023</v>
      </c>
      <c r="I1198" s="64" t="s">
        <v>74</v>
      </c>
      <c r="J1198" s="64" t="s">
        <v>210</v>
      </c>
      <c r="K1198" s="64" t="s">
        <v>2781</v>
      </c>
      <c r="L1198" s="64" t="s">
        <v>2781</v>
      </c>
      <c r="M1198" s="64" t="s">
        <v>29</v>
      </c>
      <c r="N1198" s="65">
        <v>-278437.5</v>
      </c>
      <c r="O1198" s="65">
        <v>-278437.5</v>
      </c>
      <c r="P1198" s="64" t="s">
        <v>2782</v>
      </c>
      <c r="Q1198" s="64" t="s">
        <v>2782</v>
      </c>
      <c r="R1198" s="64" t="s">
        <v>64</v>
      </c>
      <c r="S1198" s="64" t="s">
        <v>210</v>
      </c>
    </row>
    <row r="1199" spans="1:19" s="59" customFormat="1" hidden="1" outlineLevel="1" x14ac:dyDescent="0.45">
      <c r="A1199" s="63" t="s">
        <v>2743</v>
      </c>
      <c r="B1199" s="64" t="s">
        <v>66</v>
      </c>
      <c r="C1199" s="64" t="s">
        <v>349</v>
      </c>
      <c r="D1199" s="64" t="s">
        <v>350</v>
      </c>
      <c r="E1199" s="64" t="s">
        <v>71</v>
      </c>
      <c r="F1199" s="64" t="s">
        <v>351</v>
      </c>
      <c r="G1199" s="64" t="s">
        <v>73</v>
      </c>
      <c r="H1199" s="66">
        <v>46023</v>
      </c>
      <c r="I1199" s="64" t="s">
        <v>74</v>
      </c>
      <c r="J1199" s="64" t="s">
        <v>87</v>
      </c>
      <c r="K1199" s="64" t="s">
        <v>352</v>
      </c>
      <c r="L1199" s="64" t="s">
        <v>352</v>
      </c>
      <c r="M1199" s="64" t="s">
        <v>67</v>
      </c>
      <c r="N1199" s="65">
        <v>4000</v>
      </c>
      <c r="O1199" s="65">
        <v>13520</v>
      </c>
      <c r="P1199" s="64" t="s">
        <v>353</v>
      </c>
      <c r="Q1199" s="64" t="s">
        <v>118</v>
      </c>
      <c r="R1199" s="64" t="s">
        <v>64</v>
      </c>
      <c r="S1199" s="64" t="s">
        <v>87</v>
      </c>
    </row>
    <row r="1200" spans="1:19" s="59" customFormat="1" hidden="1" outlineLevel="1" x14ac:dyDescent="0.45">
      <c r="A1200" s="63" t="s">
        <v>2743</v>
      </c>
      <c r="B1200" s="64" t="s">
        <v>57</v>
      </c>
      <c r="C1200" s="64" t="s">
        <v>349</v>
      </c>
      <c r="D1200" s="64" t="s">
        <v>350</v>
      </c>
      <c r="E1200" s="64" t="s">
        <v>387</v>
      </c>
      <c r="F1200" s="64" t="s">
        <v>675</v>
      </c>
      <c r="G1200" s="64" t="s">
        <v>60</v>
      </c>
      <c r="H1200" s="66">
        <v>46023</v>
      </c>
      <c r="I1200" s="64" t="s">
        <v>74</v>
      </c>
      <c r="J1200" s="64" t="s">
        <v>87</v>
      </c>
      <c r="K1200" s="64" t="s">
        <v>352</v>
      </c>
      <c r="L1200" s="64" t="s">
        <v>352</v>
      </c>
      <c r="M1200" s="64" t="s">
        <v>29</v>
      </c>
      <c r="N1200" s="65">
        <v>-13520</v>
      </c>
      <c r="O1200" s="65">
        <v>-13520</v>
      </c>
      <c r="P1200" s="64" t="s">
        <v>353</v>
      </c>
      <c r="Q1200" s="64" t="s">
        <v>676</v>
      </c>
      <c r="R1200" s="64" t="s">
        <v>64</v>
      </c>
      <c r="S1200" s="64" t="s">
        <v>87</v>
      </c>
    </row>
    <row r="1201" spans="1:60" s="59" customFormat="1" hidden="1" outlineLevel="1" x14ac:dyDescent="0.45">
      <c r="A1201" s="63" t="s">
        <v>2743</v>
      </c>
      <c r="B1201" s="64" t="s">
        <v>66</v>
      </c>
      <c r="C1201" s="64" t="s">
        <v>349</v>
      </c>
      <c r="D1201" s="64" t="s">
        <v>350</v>
      </c>
      <c r="E1201" s="64" t="s">
        <v>71</v>
      </c>
      <c r="F1201" s="64" t="s">
        <v>354</v>
      </c>
      <c r="G1201" s="64" t="s">
        <v>73</v>
      </c>
      <c r="H1201" s="66">
        <v>46023</v>
      </c>
      <c r="I1201" s="64" t="s">
        <v>74</v>
      </c>
      <c r="J1201" s="64" t="s">
        <v>340</v>
      </c>
      <c r="K1201" s="64" t="s">
        <v>355</v>
      </c>
      <c r="L1201" s="64" t="s">
        <v>355</v>
      </c>
      <c r="M1201" s="64" t="s">
        <v>67</v>
      </c>
      <c r="N1201" s="65">
        <v>100</v>
      </c>
      <c r="O1201" s="65">
        <v>345</v>
      </c>
      <c r="P1201" s="64" t="s">
        <v>353</v>
      </c>
      <c r="Q1201" s="64" t="s">
        <v>118</v>
      </c>
      <c r="R1201" s="64" t="s">
        <v>64</v>
      </c>
      <c r="S1201" s="64" t="s">
        <v>340</v>
      </c>
    </row>
    <row r="1202" spans="1:60" s="59" customFormat="1" hidden="1" outlineLevel="1" x14ac:dyDescent="0.45">
      <c r="A1202" s="63" t="s">
        <v>2743</v>
      </c>
      <c r="B1202" s="64" t="s">
        <v>57</v>
      </c>
      <c r="C1202" s="64" t="s">
        <v>349</v>
      </c>
      <c r="D1202" s="64" t="s">
        <v>350</v>
      </c>
      <c r="E1202" s="64" t="s">
        <v>387</v>
      </c>
      <c r="F1202" s="64" t="s">
        <v>902</v>
      </c>
      <c r="G1202" s="64" t="s">
        <v>60</v>
      </c>
      <c r="H1202" s="66">
        <v>46023</v>
      </c>
      <c r="I1202" s="64" t="s">
        <v>74</v>
      </c>
      <c r="J1202" s="64" t="s">
        <v>340</v>
      </c>
      <c r="K1202" s="64" t="s">
        <v>355</v>
      </c>
      <c r="L1202" s="64" t="s">
        <v>355</v>
      </c>
      <c r="M1202" s="64" t="s">
        <v>29</v>
      </c>
      <c r="N1202" s="65">
        <v>-345</v>
      </c>
      <c r="O1202" s="65">
        <v>-345</v>
      </c>
      <c r="P1202" s="64" t="s">
        <v>353</v>
      </c>
      <c r="Q1202" s="64" t="s">
        <v>676</v>
      </c>
      <c r="R1202" s="64" t="s">
        <v>64</v>
      </c>
      <c r="S1202" s="64" t="s">
        <v>340</v>
      </c>
    </row>
    <row r="1203" spans="1:60" s="59" customFormat="1" hidden="1" outlineLevel="1" x14ac:dyDescent="0.45">
      <c r="A1203" s="63" t="s">
        <v>2743</v>
      </c>
      <c r="B1203" s="64" t="s">
        <v>57</v>
      </c>
      <c r="C1203" s="64" t="s">
        <v>349</v>
      </c>
      <c r="D1203" s="64" t="s">
        <v>350</v>
      </c>
      <c r="E1203" s="64" t="s">
        <v>387</v>
      </c>
      <c r="F1203" s="64" t="s">
        <v>2479</v>
      </c>
      <c r="G1203" s="64" t="s">
        <v>60</v>
      </c>
      <c r="H1203" s="66" t="s">
        <v>3351</v>
      </c>
      <c r="I1203" s="64" t="s">
        <v>2833</v>
      </c>
      <c r="J1203" s="64" t="s">
        <v>2841</v>
      </c>
      <c r="K1203" s="64" t="s">
        <v>3352</v>
      </c>
      <c r="L1203" s="64" t="s">
        <v>3352</v>
      </c>
      <c r="M1203" s="64" t="s">
        <v>29</v>
      </c>
      <c r="N1203" s="65">
        <v>-10200</v>
      </c>
      <c r="O1203" s="65">
        <v>-10200</v>
      </c>
      <c r="P1203" s="64" t="s">
        <v>2755</v>
      </c>
      <c r="Q1203" s="64" t="s">
        <v>2755</v>
      </c>
      <c r="R1203" s="64" t="s">
        <v>64</v>
      </c>
      <c r="S1203" s="64">
        <v>0</v>
      </c>
      <c r="T1203" s="59">
        <v>10200</v>
      </c>
      <c r="U1203" s="59" t="s">
        <v>2836</v>
      </c>
      <c r="V1203" s="59" t="s">
        <v>2836</v>
      </c>
      <c r="W1203" s="59" t="s">
        <v>3353</v>
      </c>
      <c r="Z1203" s="59">
        <v>1</v>
      </c>
      <c r="AJ1203" s="59" t="s">
        <v>2845</v>
      </c>
      <c r="AK1203" s="59" t="s">
        <v>2837</v>
      </c>
      <c r="AO1203" s="59" t="s">
        <v>2846</v>
      </c>
      <c r="AP1203" s="59" t="s">
        <v>2847</v>
      </c>
      <c r="AV1203" s="59" t="s">
        <v>2926</v>
      </c>
      <c r="AZ1203" s="59" t="s">
        <v>2838</v>
      </c>
      <c r="BA1203" s="59" t="s">
        <v>3354</v>
      </c>
      <c r="BH1203" s="59" t="s">
        <v>2841</v>
      </c>
    </row>
    <row r="1204" spans="1:60" s="59" customFormat="1" hidden="1" outlineLevel="1" x14ac:dyDescent="0.45">
      <c r="A1204" s="63" t="s">
        <v>2743</v>
      </c>
      <c r="B1204" s="64" t="s">
        <v>57</v>
      </c>
      <c r="C1204" s="64" t="s">
        <v>349</v>
      </c>
      <c r="D1204" s="64" t="s">
        <v>350</v>
      </c>
      <c r="E1204" s="64" t="s">
        <v>387</v>
      </c>
      <c r="F1204" s="64" t="s">
        <v>3355</v>
      </c>
      <c r="G1204" s="64" t="s">
        <v>60</v>
      </c>
      <c r="H1204" s="66" t="s">
        <v>3356</v>
      </c>
      <c r="I1204" s="64" t="s">
        <v>2833</v>
      </c>
      <c r="J1204" s="64" t="s">
        <v>2854</v>
      </c>
      <c r="K1204" s="64" t="s">
        <v>3357</v>
      </c>
      <c r="L1204" s="64" t="s">
        <v>3357</v>
      </c>
      <c r="M1204" s="64" t="s">
        <v>29</v>
      </c>
      <c r="N1204" s="65">
        <v>-8550</v>
      </c>
      <c r="O1204" s="65">
        <v>-8550</v>
      </c>
      <c r="P1204" s="64" t="s">
        <v>2748</v>
      </c>
      <c r="Q1204" s="64" t="s">
        <v>2748</v>
      </c>
      <c r="R1204" s="64" t="s">
        <v>64</v>
      </c>
      <c r="S1204" s="64">
        <v>0</v>
      </c>
      <c r="T1204" s="59">
        <v>8550</v>
      </c>
      <c r="U1204" s="59" t="s">
        <v>2836</v>
      </c>
      <c r="V1204" s="59" t="s">
        <v>2836</v>
      </c>
      <c r="W1204" s="59" t="s">
        <v>3358</v>
      </c>
      <c r="Z1204" s="59">
        <v>1</v>
      </c>
      <c r="AJ1204" s="59" t="s">
        <v>2845</v>
      </c>
      <c r="AK1204" s="59" t="s">
        <v>2837</v>
      </c>
      <c r="AO1204" s="59" t="s">
        <v>2846</v>
      </c>
      <c r="AP1204" s="59" t="s">
        <v>2847</v>
      </c>
      <c r="AV1204" s="59" t="s">
        <v>2926</v>
      </c>
      <c r="AZ1204" s="59" t="s">
        <v>2838</v>
      </c>
      <c r="BA1204" s="59" t="s">
        <v>3359</v>
      </c>
      <c r="BH1204" s="59" t="s">
        <v>2854</v>
      </c>
    </row>
    <row r="1205" spans="1:60" s="59" customFormat="1" hidden="1" outlineLevel="1" x14ac:dyDescent="0.45">
      <c r="A1205" s="63" t="s">
        <v>2743</v>
      </c>
      <c r="B1205" s="64" t="s">
        <v>57</v>
      </c>
      <c r="C1205" s="64" t="s">
        <v>349</v>
      </c>
      <c r="D1205" s="64" t="s">
        <v>350</v>
      </c>
      <c r="E1205" s="64" t="s">
        <v>387</v>
      </c>
      <c r="F1205" s="64" t="s">
        <v>3360</v>
      </c>
      <c r="G1205" s="64" t="s">
        <v>60</v>
      </c>
      <c r="H1205" s="66" t="s">
        <v>3361</v>
      </c>
      <c r="I1205" s="64" t="s">
        <v>2833</v>
      </c>
      <c r="J1205" s="64" t="s">
        <v>2854</v>
      </c>
      <c r="K1205" s="64" t="s">
        <v>3362</v>
      </c>
      <c r="L1205" s="64" t="s">
        <v>3362</v>
      </c>
      <c r="M1205" s="64" t="s">
        <v>29</v>
      </c>
      <c r="N1205" s="65">
        <v>-206100</v>
      </c>
      <c r="O1205" s="65">
        <v>-206100</v>
      </c>
      <c r="P1205" s="64" t="s">
        <v>2748</v>
      </c>
      <c r="Q1205" s="64" t="s">
        <v>2748</v>
      </c>
      <c r="R1205" s="64" t="s">
        <v>64</v>
      </c>
      <c r="S1205" s="64">
        <v>0</v>
      </c>
      <c r="T1205" s="59">
        <v>206100</v>
      </c>
      <c r="U1205" s="59" t="s">
        <v>2836</v>
      </c>
      <c r="V1205" s="59" t="s">
        <v>2836</v>
      </c>
      <c r="W1205" s="59" t="s">
        <v>3363</v>
      </c>
      <c r="Z1205" s="59">
        <v>1</v>
      </c>
      <c r="AJ1205" s="59" t="s">
        <v>2845</v>
      </c>
      <c r="AK1205" s="59" t="s">
        <v>2837</v>
      </c>
      <c r="AO1205" s="59" t="s">
        <v>2846</v>
      </c>
      <c r="AP1205" s="59" t="s">
        <v>2847</v>
      </c>
      <c r="AV1205" s="59" t="s">
        <v>2926</v>
      </c>
      <c r="AZ1205" s="59" t="s">
        <v>2838</v>
      </c>
      <c r="BA1205" s="59" t="s">
        <v>3364</v>
      </c>
      <c r="BH1205" s="59" t="s">
        <v>2854</v>
      </c>
    </row>
    <row r="1206" spans="1:60" s="59" customFormat="1" hidden="1" outlineLevel="1" x14ac:dyDescent="0.45">
      <c r="A1206" s="63" t="s">
        <v>2743</v>
      </c>
      <c r="B1206" s="64" t="s">
        <v>57</v>
      </c>
      <c r="C1206" s="64" t="s">
        <v>349</v>
      </c>
      <c r="D1206" s="64" t="s">
        <v>350</v>
      </c>
      <c r="E1206" s="64" t="s">
        <v>387</v>
      </c>
      <c r="F1206" s="64" t="s">
        <v>3365</v>
      </c>
      <c r="G1206" s="64" t="s">
        <v>60</v>
      </c>
      <c r="H1206" s="66" t="s">
        <v>3366</v>
      </c>
      <c r="I1206" s="64" t="s">
        <v>2833</v>
      </c>
      <c r="J1206" s="64" t="s">
        <v>2885</v>
      </c>
      <c r="K1206" s="64" t="s">
        <v>3367</v>
      </c>
      <c r="L1206" s="64" t="s">
        <v>3367</v>
      </c>
      <c r="M1206" s="64" t="s">
        <v>29</v>
      </c>
      <c r="N1206" s="65">
        <v>-34669.800000000003</v>
      </c>
      <c r="O1206" s="65">
        <v>-34669.800000000003</v>
      </c>
      <c r="P1206" s="64" t="s">
        <v>2718</v>
      </c>
      <c r="Q1206" s="64" t="s">
        <v>2718</v>
      </c>
      <c r="R1206" s="64" t="s">
        <v>64</v>
      </c>
      <c r="S1206" s="64">
        <v>0</v>
      </c>
      <c r="T1206" s="59">
        <v>34669.800000000003</v>
      </c>
      <c r="U1206" s="59" t="s">
        <v>2836</v>
      </c>
      <c r="V1206" s="59" t="s">
        <v>2836</v>
      </c>
      <c r="W1206" s="59" t="s">
        <v>3368</v>
      </c>
      <c r="Z1206" s="59">
        <v>1</v>
      </c>
      <c r="AJ1206" s="59" t="s">
        <v>2845</v>
      </c>
      <c r="AK1206" s="59" t="s">
        <v>2837</v>
      </c>
      <c r="AO1206" s="59" t="s">
        <v>2846</v>
      </c>
      <c r="AP1206" s="59" t="s">
        <v>2847</v>
      </c>
      <c r="AV1206" s="59" t="s">
        <v>2926</v>
      </c>
      <c r="AZ1206" s="59" t="s">
        <v>2838</v>
      </c>
      <c r="BA1206" s="59" t="s">
        <v>3369</v>
      </c>
      <c r="BH1206" s="59" t="s">
        <v>2885</v>
      </c>
    </row>
    <row r="1207" spans="1:60" s="59" customFormat="1" hidden="1" outlineLevel="1" x14ac:dyDescent="0.45">
      <c r="A1207" s="63" t="s">
        <v>2743</v>
      </c>
      <c r="B1207" s="64" t="s">
        <v>66</v>
      </c>
      <c r="C1207" s="64" t="s">
        <v>349</v>
      </c>
      <c r="D1207" s="64" t="s">
        <v>350</v>
      </c>
      <c r="E1207" s="64" t="s">
        <v>71</v>
      </c>
      <c r="F1207" s="64" t="s">
        <v>2591</v>
      </c>
      <c r="G1207" s="64" t="s">
        <v>73</v>
      </c>
      <c r="H1207" s="66" t="s">
        <v>59</v>
      </c>
      <c r="I1207" s="64" t="s">
        <v>2833</v>
      </c>
      <c r="J1207" s="64" t="s">
        <v>2841</v>
      </c>
      <c r="K1207" s="64" t="s">
        <v>3352</v>
      </c>
      <c r="L1207" s="64" t="s">
        <v>3352</v>
      </c>
      <c r="M1207" s="64" t="s">
        <v>67</v>
      </c>
      <c r="N1207" s="65">
        <v>3000</v>
      </c>
      <c r="O1207" s="65">
        <v>10200</v>
      </c>
      <c r="P1207" s="64" t="s">
        <v>2755</v>
      </c>
      <c r="Q1207" s="64" t="s">
        <v>118</v>
      </c>
      <c r="R1207" s="64" t="s">
        <v>64</v>
      </c>
      <c r="S1207" s="64">
        <v>10200</v>
      </c>
      <c r="T1207" s="59">
        <v>0</v>
      </c>
      <c r="U1207" s="59" t="s">
        <v>2836</v>
      </c>
      <c r="V1207" s="59" t="s">
        <v>2836</v>
      </c>
      <c r="Y1207" s="59" t="s">
        <v>3370</v>
      </c>
      <c r="Z1207" s="59">
        <v>3.4</v>
      </c>
      <c r="AK1207" s="59" t="s">
        <v>2837</v>
      </c>
      <c r="AM1207" s="59" t="s">
        <v>2860</v>
      </c>
      <c r="AO1207" s="59" t="s">
        <v>3236</v>
      </c>
      <c r="AP1207" s="59" t="s">
        <v>3237</v>
      </c>
      <c r="AV1207" s="59" t="s">
        <v>2926</v>
      </c>
      <c r="AW1207" s="59" t="s">
        <v>3371</v>
      </c>
      <c r="AZ1207" s="59" t="s">
        <v>2861</v>
      </c>
      <c r="BH1207" s="59" t="s">
        <v>2841</v>
      </c>
    </row>
    <row r="1208" spans="1:60" s="59" customFormat="1" hidden="1" outlineLevel="1" x14ac:dyDescent="0.45">
      <c r="A1208" s="63" t="s">
        <v>2743</v>
      </c>
      <c r="B1208" s="64" t="s">
        <v>66</v>
      </c>
      <c r="C1208" s="64" t="s">
        <v>349</v>
      </c>
      <c r="D1208" s="64" t="s">
        <v>350</v>
      </c>
      <c r="E1208" s="64" t="s">
        <v>71</v>
      </c>
      <c r="F1208" s="64" t="s">
        <v>3372</v>
      </c>
      <c r="G1208" s="64" t="s">
        <v>73</v>
      </c>
      <c r="H1208" s="66" t="s">
        <v>59</v>
      </c>
      <c r="I1208" s="64" t="s">
        <v>2833</v>
      </c>
      <c r="J1208" s="64" t="s">
        <v>2854</v>
      </c>
      <c r="K1208" s="64" t="s">
        <v>3357</v>
      </c>
      <c r="L1208" s="64" t="s">
        <v>3357</v>
      </c>
      <c r="M1208" s="64" t="s">
        <v>67</v>
      </c>
      <c r="N1208" s="65">
        <v>2500</v>
      </c>
      <c r="O1208" s="65">
        <v>8550</v>
      </c>
      <c r="P1208" s="64" t="s">
        <v>2748</v>
      </c>
      <c r="Q1208" s="64" t="s">
        <v>118</v>
      </c>
      <c r="R1208" s="64" t="s">
        <v>64</v>
      </c>
      <c r="S1208" s="64">
        <v>8550</v>
      </c>
      <c r="T1208" s="59">
        <v>0</v>
      </c>
      <c r="U1208" s="59" t="s">
        <v>2836</v>
      </c>
      <c r="V1208" s="59" t="s">
        <v>2836</v>
      </c>
      <c r="Y1208" s="59" t="s">
        <v>3373</v>
      </c>
      <c r="Z1208" s="59">
        <v>3.42</v>
      </c>
      <c r="AK1208" s="59" t="s">
        <v>2837</v>
      </c>
      <c r="AM1208" s="59" t="s">
        <v>2860</v>
      </c>
      <c r="AO1208" s="59" t="s">
        <v>3236</v>
      </c>
      <c r="AP1208" s="59" t="s">
        <v>3237</v>
      </c>
      <c r="AV1208" s="59" t="s">
        <v>2926</v>
      </c>
      <c r="AW1208" s="59" t="s">
        <v>3374</v>
      </c>
      <c r="AZ1208" s="59" t="s">
        <v>2861</v>
      </c>
      <c r="BH1208" s="59" t="s">
        <v>2854</v>
      </c>
    </row>
    <row r="1209" spans="1:60" s="59" customFormat="1" hidden="1" outlineLevel="1" x14ac:dyDescent="0.45">
      <c r="A1209" s="63" t="s">
        <v>2743</v>
      </c>
      <c r="B1209" s="64" t="s">
        <v>66</v>
      </c>
      <c r="C1209" s="64" t="s">
        <v>349</v>
      </c>
      <c r="D1209" s="64" t="s">
        <v>350</v>
      </c>
      <c r="E1209" s="64" t="s">
        <v>71</v>
      </c>
      <c r="F1209" s="64" t="s">
        <v>3375</v>
      </c>
      <c r="G1209" s="64" t="s">
        <v>73</v>
      </c>
      <c r="H1209" s="66" t="s">
        <v>59</v>
      </c>
      <c r="I1209" s="64" t="s">
        <v>2833</v>
      </c>
      <c r="J1209" s="64" t="s">
        <v>2854</v>
      </c>
      <c r="K1209" s="64" t="s">
        <v>3362</v>
      </c>
      <c r="L1209" s="64" t="s">
        <v>3362</v>
      </c>
      <c r="M1209" s="64" t="s">
        <v>67</v>
      </c>
      <c r="N1209" s="65">
        <v>60000</v>
      </c>
      <c r="O1209" s="65">
        <v>206100</v>
      </c>
      <c r="P1209" s="64" t="s">
        <v>2748</v>
      </c>
      <c r="Q1209" s="64" t="s">
        <v>118</v>
      </c>
      <c r="R1209" s="64" t="s">
        <v>64</v>
      </c>
      <c r="S1209" s="64">
        <v>206100</v>
      </c>
      <c r="T1209" s="59">
        <v>0</v>
      </c>
      <c r="U1209" s="59" t="s">
        <v>2836</v>
      </c>
      <c r="V1209" s="59" t="s">
        <v>2836</v>
      </c>
      <c r="Y1209" s="59" t="s">
        <v>3373</v>
      </c>
      <c r="Z1209" s="59">
        <v>3.4350000000000001</v>
      </c>
      <c r="AK1209" s="59" t="s">
        <v>2837</v>
      </c>
      <c r="AM1209" s="59" t="s">
        <v>2860</v>
      </c>
      <c r="AO1209" s="59" t="s">
        <v>3236</v>
      </c>
      <c r="AP1209" s="59" t="s">
        <v>3237</v>
      </c>
      <c r="AV1209" s="59" t="s">
        <v>2926</v>
      </c>
      <c r="AW1209" s="59" t="s">
        <v>3376</v>
      </c>
      <c r="AZ1209" s="59" t="s">
        <v>2861</v>
      </c>
      <c r="BH1209" s="59" t="s">
        <v>2854</v>
      </c>
    </row>
    <row r="1210" spans="1:60" s="59" customFormat="1" hidden="1" outlineLevel="1" x14ac:dyDescent="0.45">
      <c r="A1210" s="63" t="s">
        <v>2743</v>
      </c>
      <c r="B1210" s="64" t="s">
        <v>66</v>
      </c>
      <c r="C1210" s="64" t="s">
        <v>349</v>
      </c>
      <c r="D1210" s="64" t="s">
        <v>350</v>
      </c>
      <c r="E1210" s="64" t="s">
        <v>71</v>
      </c>
      <c r="F1210" s="64" t="s">
        <v>3377</v>
      </c>
      <c r="G1210" s="64" t="s">
        <v>73</v>
      </c>
      <c r="H1210" s="66" t="s">
        <v>59</v>
      </c>
      <c r="I1210" s="64" t="s">
        <v>2833</v>
      </c>
      <c r="J1210" s="64" t="s">
        <v>2885</v>
      </c>
      <c r="K1210" s="64" t="s">
        <v>3367</v>
      </c>
      <c r="L1210" s="64" t="s">
        <v>3367</v>
      </c>
      <c r="M1210" s="64" t="s">
        <v>67</v>
      </c>
      <c r="N1210" s="65">
        <v>10200</v>
      </c>
      <c r="O1210" s="65">
        <v>34669.800000000003</v>
      </c>
      <c r="P1210" s="64" t="s">
        <v>2718</v>
      </c>
      <c r="Q1210" s="64" t="s">
        <v>118</v>
      </c>
      <c r="R1210" s="64" t="s">
        <v>64</v>
      </c>
      <c r="S1210" s="64">
        <v>34669.800000000003</v>
      </c>
      <c r="T1210" s="59">
        <v>0</v>
      </c>
      <c r="U1210" s="59" t="s">
        <v>2836</v>
      </c>
      <c r="V1210" s="59" t="s">
        <v>2836</v>
      </c>
      <c r="Y1210" s="59" t="s">
        <v>3378</v>
      </c>
      <c r="Z1210" s="59">
        <v>3.399</v>
      </c>
      <c r="AK1210" s="59" t="s">
        <v>2837</v>
      </c>
      <c r="AM1210" s="59" t="s">
        <v>2860</v>
      </c>
      <c r="AO1210" s="59" t="s">
        <v>3236</v>
      </c>
      <c r="AP1210" s="59" t="s">
        <v>3237</v>
      </c>
      <c r="AV1210" s="59" t="s">
        <v>2926</v>
      </c>
      <c r="AW1210" s="59" t="s">
        <v>3379</v>
      </c>
      <c r="AZ1210" s="59" t="s">
        <v>2861</v>
      </c>
      <c r="BH1210" s="59" t="s">
        <v>2885</v>
      </c>
    </row>
    <row r="1211" spans="1:60" collapsed="1" x14ac:dyDescent="0.45">
      <c r="O1211" s="69">
        <f>SUM(O1173:O1210)</f>
        <v>0</v>
      </c>
    </row>
    <row r="1213" spans="1:60" x14ac:dyDescent="0.45">
      <c r="A1213" s="44" t="s">
        <v>37</v>
      </c>
      <c r="B1213" s="46" t="s">
        <v>38</v>
      </c>
      <c r="C1213" s="46" t="s">
        <v>39</v>
      </c>
      <c r="D1213" s="46" t="s">
        <v>40</v>
      </c>
      <c r="E1213" s="46" t="s">
        <v>41</v>
      </c>
      <c r="F1213" s="47" t="s">
        <v>42</v>
      </c>
      <c r="G1213" s="47" t="s">
        <v>43</v>
      </c>
      <c r="H1213" s="47"/>
      <c r="I1213" s="47" t="s">
        <v>45</v>
      </c>
      <c r="J1213" s="47" t="s">
        <v>46</v>
      </c>
      <c r="K1213" s="47" t="s">
        <v>47</v>
      </c>
      <c r="L1213" s="47" t="s">
        <v>48</v>
      </c>
      <c r="M1213" s="45" t="s">
        <v>49</v>
      </c>
      <c r="N1213" s="48" t="s">
        <v>50</v>
      </c>
      <c r="O1213" s="48" t="s">
        <v>51</v>
      </c>
      <c r="P1213" s="47" t="s">
        <v>52</v>
      </c>
      <c r="Q1213" s="47" t="s">
        <v>53</v>
      </c>
      <c r="R1213" s="49" t="s">
        <v>54</v>
      </c>
      <c r="S1213" s="47" t="s">
        <v>2742</v>
      </c>
    </row>
    <row r="1214" spans="1:60" x14ac:dyDescent="0.45">
      <c r="B1214" s="52" t="s">
        <v>2784</v>
      </c>
      <c r="C1214" s="52"/>
      <c r="D1214" s="52"/>
      <c r="E1214" s="52" t="s">
        <v>58</v>
      </c>
      <c r="F1214" s="52" t="s">
        <v>59</v>
      </c>
      <c r="G1214" s="52" t="s">
        <v>60</v>
      </c>
      <c r="H1214" s="52"/>
      <c r="I1214" s="52" t="s">
        <v>61</v>
      </c>
      <c r="J1214" s="52" t="s">
        <v>62</v>
      </c>
      <c r="K1214" s="52"/>
      <c r="L1214" s="52"/>
      <c r="M1214" s="52" t="s">
        <v>29</v>
      </c>
      <c r="N1214" s="53">
        <v>4671.67</v>
      </c>
      <c r="O1214" s="53">
        <v>4671.67</v>
      </c>
      <c r="P1214" s="52"/>
      <c r="Q1214" s="52" t="s">
        <v>63</v>
      </c>
      <c r="R1214" s="55" t="s">
        <v>64</v>
      </c>
      <c r="S1214" s="52" t="s">
        <v>62</v>
      </c>
    </row>
    <row r="1215" spans="1:60" hidden="1" outlineLevel="1" x14ac:dyDescent="0.45">
      <c r="B1215" s="52" t="s">
        <v>2784</v>
      </c>
      <c r="C1215" s="52" t="s">
        <v>774</v>
      </c>
      <c r="D1215" s="52" t="s">
        <v>775</v>
      </c>
      <c r="E1215" s="52" t="s">
        <v>2785</v>
      </c>
      <c r="F1215" s="52" t="s">
        <v>2786</v>
      </c>
      <c r="G1215" s="52" t="s">
        <v>60</v>
      </c>
      <c r="H1215" s="52"/>
      <c r="I1215" s="52" t="s">
        <v>74</v>
      </c>
      <c r="J1215" s="52" t="s">
        <v>99</v>
      </c>
      <c r="K1215" s="52" t="s">
        <v>777</v>
      </c>
      <c r="L1215" s="52" t="s">
        <v>777</v>
      </c>
      <c r="M1215" s="52" t="s">
        <v>29</v>
      </c>
      <c r="N1215" s="53">
        <v>2375.67</v>
      </c>
      <c r="O1215" s="53">
        <v>2375.67</v>
      </c>
      <c r="P1215" s="52" t="s">
        <v>778</v>
      </c>
      <c r="Q1215" s="52" t="s">
        <v>779</v>
      </c>
      <c r="R1215" s="52" t="s">
        <v>64</v>
      </c>
      <c r="S1215" s="52" t="s">
        <v>99</v>
      </c>
    </row>
    <row r="1216" spans="1:60" hidden="1" outlineLevel="1" x14ac:dyDescent="0.45">
      <c r="B1216" s="52" t="s">
        <v>2784</v>
      </c>
      <c r="C1216" s="52" t="s">
        <v>774</v>
      </c>
      <c r="D1216" s="52" t="s">
        <v>775</v>
      </c>
      <c r="E1216" s="52" t="s">
        <v>2785</v>
      </c>
      <c r="F1216" s="52" t="s">
        <v>2787</v>
      </c>
      <c r="G1216" s="52" t="s">
        <v>60</v>
      </c>
      <c r="H1216" s="52"/>
      <c r="I1216" s="52" t="s">
        <v>74</v>
      </c>
      <c r="J1216" s="52" t="s">
        <v>87</v>
      </c>
      <c r="K1216" s="52" t="s">
        <v>777</v>
      </c>
      <c r="L1216" s="52" t="s">
        <v>777</v>
      </c>
      <c r="M1216" s="52" t="s">
        <v>29</v>
      </c>
      <c r="N1216" s="53">
        <v>2219.29</v>
      </c>
      <c r="O1216" s="53">
        <v>2219.29</v>
      </c>
      <c r="P1216" s="52" t="s">
        <v>778</v>
      </c>
      <c r="Q1216" s="52" t="s">
        <v>795</v>
      </c>
      <c r="R1216" s="52" t="s">
        <v>64</v>
      </c>
      <c r="S1216" s="52" t="s">
        <v>87</v>
      </c>
    </row>
    <row r="1217" spans="2:19" hidden="1" outlineLevel="1" x14ac:dyDescent="0.45">
      <c r="B1217" s="52" t="s">
        <v>2784</v>
      </c>
      <c r="C1217" s="52" t="s">
        <v>774</v>
      </c>
      <c r="D1217" s="52" t="s">
        <v>775</v>
      </c>
      <c r="E1217" s="52" t="s">
        <v>2785</v>
      </c>
      <c r="F1217" s="52" t="s">
        <v>2788</v>
      </c>
      <c r="G1217" s="52" t="s">
        <v>60</v>
      </c>
      <c r="H1217" s="52"/>
      <c r="I1217" s="52" t="s">
        <v>74</v>
      </c>
      <c r="J1217" s="52" t="s">
        <v>210</v>
      </c>
      <c r="K1217" s="52" t="s">
        <v>777</v>
      </c>
      <c r="L1217" s="52" t="s">
        <v>777</v>
      </c>
      <c r="M1217" s="52" t="s">
        <v>29</v>
      </c>
      <c r="N1217" s="53">
        <v>2160.6</v>
      </c>
      <c r="O1217" s="53">
        <v>2160.6</v>
      </c>
      <c r="P1217" s="52" t="s">
        <v>778</v>
      </c>
      <c r="Q1217" s="52" t="s">
        <v>797</v>
      </c>
      <c r="R1217" s="52" t="s">
        <v>64</v>
      </c>
      <c r="S1217" s="52" t="s">
        <v>210</v>
      </c>
    </row>
    <row r="1218" spans="2:19" hidden="1" outlineLevel="1" x14ac:dyDescent="0.45">
      <c r="B1218" s="52" t="s">
        <v>2784</v>
      </c>
      <c r="C1218" s="52" t="s">
        <v>774</v>
      </c>
      <c r="D1218" s="52" t="s">
        <v>775</v>
      </c>
      <c r="E1218" s="52" t="s">
        <v>2785</v>
      </c>
      <c r="F1218" s="52" t="s">
        <v>2787</v>
      </c>
      <c r="G1218" s="52" t="s">
        <v>60</v>
      </c>
      <c r="H1218" s="52"/>
      <c r="I1218" s="52" t="s">
        <v>74</v>
      </c>
      <c r="J1218" s="52" t="s">
        <v>87</v>
      </c>
      <c r="K1218" s="52" t="s">
        <v>777</v>
      </c>
      <c r="L1218" s="52" t="s">
        <v>777</v>
      </c>
      <c r="M1218" s="52" t="s">
        <v>29</v>
      </c>
      <c r="N1218" s="53">
        <v>780.71</v>
      </c>
      <c r="O1218" s="53">
        <v>780.71</v>
      </c>
      <c r="P1218" s="52" t="s">
        <v>778</v>
      </c>
      <c r="Q1218" s="52" t="s">
        <v>795</v>
      </c>
      <c r="R1218" s="52" t="s">
        <v>64</v>
      </c>
      <c r="S1218" s="52" t="s">
        <v>87</v>
      </c>
    </row>
    <row r="1219" spans="2:19" hidden="1" outlineLevel="1" x14ac:dyDescent="0.45">
      <c r="B1219" s="52" t="s">
        <v>2784</v>
      </c>
      <c r="C1219" s="52" t="s">
        <v>774</v>
      </c>
      <c r="D1219" s="52" t="s">
        <v>775</v>
      </c>
      <c r="E1219" s="52" t="s">
        <v>2785</v>
      </c>
      <c r="F1219" s="52" t="s">
        <v>2786</v>
      </c>
      <c r="G1219" s="52" t="s">
        <v>60</v>
      </c>
      <c r="H1219" s="52"/>
      <c r="I1219" s="52" t="s">
        <v>74</v>
      </c>
      <c r="J1219" s="52" t="s">
        <v>99</v>
      </c>
      <c r="K1219" s="52" t="s">
        <v>777</v>
      </c>
      <c r="L1219" s="52" t="s">
        <v>777</v>
      </c>
      <c r="M1219" s="52" t="s">
        <v>29</v>
      </c>
      <c r="N1219" s="53">
        <v>624.33000000000004</v>
      </c>
      <c r="O1219" s="53">
        <v>624.33000000000004</v>
      </c>
      <c r="P1219" s="52" t="s">
        <v>778</v>
      </c>
      <c r="Q1219" s="52" t="s">
        <v>779</v>
      </c>
      <c r="R1219" s="52" t="s">
        <v>64</v>
      </c>
      <c r="S1219" s="52" t="s">
        <v>99</v>
      </c>
    </row>
    <row r="1220" spans="2:19" hidden="1" outlineLevel="1" x14ac:dyDescent="0.45">
      <c r="B1220" s="52" t="s">
        <v>2784</v>
      </c>
      <c r="C1220" s="52" t="s">
        <v>774</v>
      </c>
      <c r="D1220" s="52" t="s">
        <v>775</v>
      </c>
      <c r="E1220" s="52" t="s">
        <v>2785</v>
      </c>
      <c r="F1220" s="52" t="s">
        <v>2788</v>
      </c>
      <c r="G1220" s="52" t="s">
        <v>60</v>
      </c>
      <c r="H1220" s="52"/>
      <c r="I1220" s="52" t="s">
        <v>74</v>
      </c>
      <c r="J1220" s="52" t="s">
        <v>210</v>
      </c>
      <c r="K1220" s="52" t="s">
        <v>777</v>
      </c>
      <c r="L1220" s="52" t="s">
        <v>777</v>
      </c>
      <c r="M1220" s="52" t="s">
        <v>29</v>
      </c>
      <c r="N1220" s="53">
        <v>581.9</v>
      </c>
      <c r="O1220" s="53">
        <v>581.9</v>
      </c>
      <c r="P1220" s="52" t="s">
        <v>778</v>
      </c>
      <c r="Q1220" s="52" t="s">
        <v>797</v>
      </c>
      <c r="R1220" s="52" t="s">
        <v>64</v>
      </c>
      <c r="S1220" s="52" t="s">
        <v>210</v>
      </c>
    </row>
    <row r="1221" spans="2:19" hidden="1" outlineLevel="1" x14ac:dyDescent="0.45">
      <c r="B1221" s="52" t="s">
        <v>2784</v>
      </c>
      <c r="C1221" s="52" t="s">
        <v>774</v>
      </c>
      <c r="D1221" s="52" t="s">
        <v>775</v>
      </c>
      <c r="E1221" s="52" t="s">
        <v>2785</v>
      </c>
      <c r="F1221" s="52" t="s">
        <v>2788</v>
      </c>
      <c r="G1221" s="52" t="s">
        <v>60</v>
      </c>
      <c r="H1221" s="52"/>
      <c r="I1221" s="52" t="s">
        <v>74</v>
      </c>
      <c r="J1221" s="52" t="s">
        <v>210</v>
      </c>
      <c r="K1221" s="52" t="s">
        <v>777</v>
      </c>
      <c r="L1221" s="52" t="s">
        <v>777</v>
      </c>
      <c r="M1221" s="52" t="s">
        <v>29</v>
      </c>
      <c r="N1221" s="53">
        <v>257.5</v>
      </c>
      <c r="O1221" s="53">
        <v>257.5</v>
      </c>
      <c r="P1221" s="52" t="s">
        <v>778</v>
      </c>
      <c r="Q1221" s="52" t="s">
        <v>797</v>
      </c>
      <c r="R1221" s="52" t="s">
        <v>64</v>
      </c>
      <c r="S1221" s="52" t="s">
        <v>210</v>
      </c>
    </row>
    <row r="1222" spans="2:19" hidden="1" outlineLevel="1" x14ac:dyDescent="0.45">
      <c r="B1222" s="52" t="s">
        <v>2784</v>
      </c>
      <c r="C1222" s="52" t="s">
        <v>774</v>
      </c>
      <c r="D1222" s="52" t="s">
        <v>775</v>
      </c>
      <c r="E1222" s="52" t="s">
        <v>2789</v>
      </c>
      <c r="F1222" s="52" t="s">
        <v>59</v>
      </c>
      <c r="G1222" s="52" t="s">
        <v>60</v>
      </c>
      <c r="H1222" s="52"/>
      <c r="I1222" s="52" t="s">
        <v>74</v>
      </c>
      <c r="J1222" s="52" t="s">
        <v>190</v>
      </c>
      <c r="K1222" s="52" t="s">
        <v>777</v>
      </c>
      <c r="L1222" s="52" t="s">
        <v>777</v>
      </c>
      <c r="M1222" s="52" t="s">
        <v>29</v>
      </c>
      <c r="N1222" s="53">
        <v>-257.5</v>
      </c>
      <c r="O1222" s="53">
        <v>-257.5</v>
      </c>
      <c r="P1222" s="52" t="s">
        <v>778</v>
      </c>
      <c r="Q1222" s="52" t="s">
        <v>2790</v>
      </c>
      <c r="R1222" s="52" t="s">
        <v>64</v>
      </c>
      <c r="S1222" s="52" t="s">
        <v>190</v>
      </c>
    </row>
    <row r="1223" spans="2:19" hidden="1" outlineLevel="1" x14ac:dyDescent="0.45">
      <c r="B1223" s="52" t="s">
        <v>2784</v>
      </c>
      <c r="C1223" s="52" t="s">
        <v>774</v>
      </c>
      <c r="D1223" s="52" t="s">
        <v>775</v>
      </c>
      <c r="E1223" s="52" t="s">
        <v>2789</v>
      </c>
      <c r="F1223" s="52" t="s">
        <v>59</v>
      </c>
      <c r="G1223" s="52" t="s">
        <v>60</v>
      </c>
      <c r="H1223" s="52"/>
      <c r="I1223" s="52" t="s">
        <v>74</v>
      </c>
      <c r="J1223" s="52" t="s">
        <v>2791</v>
      </c>
      <c r="K1223" s="52" t="s">
        <v>777</v>
      </c>
      <c r="L1223" s="52" t="s">
        <v>777</v>
      </c>
      <c r="M1223" s="52" t="s">
        <v>29</v>
      </c>
      <c r="N1223" s="53">
        <v>-2509.67</v>
      </c>
      <c r="O1223" s="53">
        <v>-2509.67</v>
      </c>
      <c r="P1223" s="52" t="s">
        <v>778</v>
      </c>
      <c r="Q1223" s="52" t="s">
        <v>2792</v>
      </c>
      <c r="R1223" s="52" t="s">
        <v>64</v>
      </c>
      <c r="S1223" s="52" t="s">
        <v>2791</v>
      </c>
    </row>
    <row r="1224" spans="2:19" hidden="1" outlineLevel="1" x14ac:dyDescent="0.45">
      <c r="B1224" s="52" t="s">
        <v>2784</v>
      </c>
      <c r="C1224" s="52" t="s">
        <v>774</v>
      </c>
      <c r="D1224" s="52" t="s">
        <v>775</v>
      </c>
      <c r="E1224" s="52" t="s">
        <v>2789</v>
      </c>
      <c r="F1224" s="52" t="s">
        <v>2793</v>
      </c>
      <c r="G1224" s="52" t="s">
        <v>60</v>
      </c>
      <c r="H1224" s="52"/>
      <c r="I1224" s="52" t="s">
        <v>74</v>
      </c>
      <c r="J1224" s="52" t="s">
        <v>99</v>
      </c>
      <c r="K1224" s="52" t="s">
        <v>777</v>
      </c>
      <c r="L1224" s="52" t="s">
        <v>777</v>
      </c>
      <c r="M1224" s="52" t="s">
        <v>29</v>
      </c>
      <c r="N1224" s="53">
        <v>-2784.93</v>
      </c>
      <c r="O1224" s="53">
        <v>-2784.93</v>
      </c>
      <c r="P1224" s="52" t="s">
        <v>778</v>
      </c>
      <c r="Q1224" s="52" t="s">
        <v>2794</v>
      </c>
      <c r="R1224" s="52" t="s">
        <v>64</v>
      </c>
      <c r="S1224" s="52" t="s">
        <v>99</v>
      </c>
    </row>
    <row r="1225" spans="2:19" hidden="1" outlineLevel="1" x14ac:dyDescent="0.45">
      <c r="B1225" s="52" t="s">
        <v>2784</v>
      </c>
      <c r="C1225" s="52" t="s">
        <v>774</v>
      </c>
      <c r="D1225" s="52" t="s">
        <v>775</v>
      </c>
      <c r="E1225" s="52" t="s">
        <v>2789</v>
      </c>
      <c r="F1225" s="52" t="s">
        <v>2795</v>
      </c>
      <c r="G1225" s="52" t="s">
        <v>60</v>
      </c>
      <c r="H1225" s="52"/>
      <c r="I1225" s="52" t="s">
        <v>74</v>
      </c>
      <c r="J1225" s="52" t="s">
        <v>208</v>
      </c>
      <c r="K1225" s="52" t="s">
        <v>777</v>
      </c>
      <c r="L1225" s="52" t="s">
        <v>777</v>
      </c>
      <c r="M1225" s="52" t="s">
        <v>29</v>
      </c>
      <c r="N1225" s="53">
        <v>-3156.38</v>
      </c>
      <c r="O1225" s="53">
        <v>-3156.38</v>
      </c>
      <c r="P1225" s="52" t="s">
        <v>778</v>
      </c>
      <c r="Q1225" s="52" t="s">
        <v>2796</v>
      </c>
      <c r="R1225" s="52" t="s">
        <v>64</v>
      </c>
      <c r="S1225" s="52" t="s">
        <v>208</v>
      </c>
    </row>
    <row r="1226" spans="2:19" hidden="1" outlineLevel="1" x14ac:dyDescent="0.45">
      <c r="B1226" s="52" t="s">
        <v>2784</v>
      </c>
      <c r="C1226" s="52" t="s">
        <v>774</v>
      </c>
      <c r="D1226" s="52" t="s">
        <v>775</v>
      </c>
      <c r="E1226" s="52" t="s">
        <v>2785</v>
      </c>
      <c r="F1226" s="52" t="s">
        <v>1662</v>
      </c>
      <c r="G1226" s="52" t="s">
        <v>60</v>
      </c>
      <c r="H1226" s="52"/>
      <c r="I1226" s="52" t="s">
        <v>231</v>
      </c>
      <c r="J1226" s="52" t="s">
        <v>1010</v>
      </c>
      <c r="K1226" s="52" t="s">
        <v>777</v>
      </c>
      <c r="L1226" s="52" t="s">
        <v>777</v>
      </c>
      <c r="M1226" s="52" t="s">
        <v>29</v>
      </c>
      <c r="N1226" s="53">
        <v>2768.38</v>
      </c>
      <c r="O1226" s="53">
        <v>2768.38</v>
      </c>
      <c r="P1226" s="52" t="s">
        <v>778</v>
      </c>
      <c r="Q1226" s="52" t="s">
        <v>1194</v>
      </c>
      <c r="R1226" s="52" t="s">
        <v>64</v>
      </c>
      <c r="S1226" s="52" t="s">
        <v>1010</v>
      </c>
    </row>
    <row r="1227" spans="2:19" hidden="1" outlineLevel="1" x14ac:dyDescent="0.45">
      <c r="B1227" s="52" t="s">
        <v>2784</v>
      </c>
      <c r="C1227" s="52" t="s">
        <v>774</v>
      </c>
      <c r="D1227" s="52" t="s">
        <v>775</v>
      </c>
      <c r="E1227" s="52" t="s">
        <v>2785</v>
      </c>
      <c r="F1227" s="52" t="s">
        <v>2797</v>
      </c>
      <c r="G1227" s="52" t="s">
        <v>60</v>
      </c>
      <c r="H1227" s="52"/>
      <c r="I1227" s="52" t="s">
        <v>231</v>
      </c>
      <c r="J1227" s="52" t="s">
        <v>1018</v>
      </c>
      <c r="K1227" s="52" t="s">
        <v>777</v>
      </c>
      <c r="L1227" s="52" t="s">
        <v>777</v>
      </c>
      <c r="M1227" s="52" t="s">
        <v>29</v>
      </c>
      <c r="N1227" s="53">
        <v>1938.71</v>
      </c>
      <c r="O1227" s="53">
        <v>1938.71</v>
      </c>
      <c r="P1227" s="52" t="s">
        <v>778</v>
      </c>
      <c r="Q1227" s="52" t="s">
        <v>1227</v>
      </c>
      <c r="R1227" s="52" t="s">
        <v>64</v>
      </c>
      <c r="S1227" s="52" t="s">
        <v>1018</v>
      </c>
    </row>
    <row r="1228" spans="2:19" hidden="1" outlineLevel="1" x14ac:dyDescent="0.45">
      <c r="B1228" s="52" t="s">
        <v>2784</v>
      </c>
      <c r="C1228" s="52" t="s">
        <v>774</v>
      </c>
      <c r="D1228" s="52" t="s">
        <v>775</v>
      </c>
      <c r="E1228" s="52" t="s">
        <v>2785</v>
      </c>
      <c r="F1228" s="52" t="s">
        <v>2797</v>
      </c>
      <c r="G1228" s="52" t="s">
        <v>60</v>
      </c>
      <c r="H1228" s="52"/>
      <c r="I1228" s="52" t="s">
        <v>231</v>
      </c>
      <c r="J1228" s="52" t="s">
        <v>1018</v>
      </c>
      <c r="K1228" s="52" t="s">
        <v>777</v>
      </c>
      <c r="L1228" s="52" t="s">
        <v>777</v>
      </c>
      <c r="M1228" s="52" t="s">
        <v>29</v>
      </c>
      <c r="N1228" s="53">
        <v>267.52999999999997</v>
      </c>
      <c r="O1228" s="53">
        <v>267.52999999999997</v>
      </c>
      <c r="P1228" s="52" t="s">
        <v>778</v>
      </c>
      <c r="Q1228" s="52" t="s">
        <v>1227</v>
      </c>
      <c r="R1228" s="52" t="s">
        <v>64</v>
      </c>
      <c r="S1228" s="52" t="s">
        <v>1018</v>
      </c>
    </row>
    <row r="1229" spans="2:19" hidden="1" outlineLevel="1" x14ac:dyDescent="0.45">
      <c r="B1229" s="52" t="s">
        <v>2784</v>
      </c>
      <c r="C1229" s="52" t="s">
        <v>774</v>
      </c>
      <c r="D1229" s="52" t="s">
        <v>775</v>
      </c>
      <c r="E1229" s="52" t="s">
        <v>2785</v>
      </c>
      <c r="F1229" s="52" t="s">
        <v>1662</v>
      </c>
      <c r="G1229" s="52" t="s">
        <v>60</v>
      </c>
      <c r="H1229" s="52"/>
      <c r="I1229" s="52" t="s">
        <v>231</v>
      </c>
      <c r="J1229" s="52" t="s">
        <v>1010</v>
      </c>
      <c r="K1229" s="52" t="s">
        <v>777</v>
      </c>
      <c r="L1229" s="52" t="s">
        <v>777</v>
      </c>
      <c r="M1229" s="52" t="s">
        <v>29</v>
      </c>
      <c r="N1229" s="53">
        <v>231.62</v>
      </c>
      <c r="O1229" s="53">
        <v>231.62</v>
      </c>
      <c r="P1229" s="52" t="s">
        <v>778</v>
      </c>
      <c r="Q1229" s="52" t="s">
        <v>1194</v>
      </c>
      <c r="R1229" s="52" t="s">
        <v>64</v>
      </c>
      <c r="S1229" s="52" t="s">
        <v>1010</v>
      </c>
    </row>
    <row r="1230" spans="2:19" hidden="1" outlineLevel="1" x14ac:dyDescent="0.45">
      <c r="B1230" s="52" t="s">
        <v>2784</v>
      </c>
      <c r="C1230" s="52" t="s">
        <v>774</v>
      </c>
      <c r="D1230" s="52" t="s">
        <v>775</v>
      </c>
      <c r="E1230" s="52" t="s">
        <v>2789</v>
      </c>
      <c r="F1230" s="52" t="s">
        <v>2798</v>
      </c>
      <c r="G1230" s="52" t="s">
        <v>60</v>
      </c>
      <c r="H1230" s="52"/>
      <c r="I1230" s="52" t="s">
        <v>231</v>
      </c>
      <c r="J1230" s="52" t="s">
        <v>250</v>
      </c>
      <c r="K1230" s="52" t="s">
        <v>777</v>
      </c>
      <c r="L1230" s="52" t="s">
        <v>777</v>
      </c>
      <c r="M1230" s="52" t="s">
        <v>29</v>
      </c>
      <c r="N1230" s="53">
        <v>-2520.61</v>
      </c>
      <c r="O1230" s="53">
        <v>-2520.61</v>
      </c>
      <c r="P1230" s="52" t="s">
        <v>778</v>
      </c>
      <c r="Q1230" s="52" t="s">
        <v>2799</v>
      </c>
      <c r="R1230" s="52" t="s">
        <v>64</v>
      </c>
      <c r="S1230" s="52" t="s">
        <v>250</v>
      </c>
    </row>
    <row r="1231" spans="2:19" hidden="1" outlineLevel="1" x14ac:dyDescent="0.45">
      <c r="B1231" s="52" t="s">
        <v>2784</v>
      </c>
      <c r="C1231" s="52" t="s">
        <v>774</v>
      </c>
      <c r="D1231" s="52" t="s">
        <v>775</v>
      </c>
      <c r="E1231" s="52" t="s">
        <v>2789</v>
      </c>
      <c r="F1231" s="52" t="s">
        <v>2800</v>
      </c>
      <c r="G1231" s="52" t="s">
        <v>60</v>
      </c>
      <c r="H1231" s="52"/>
      <c r="I1231" s="52" t="s">
        <v>231</v>
      </c>
      <c r="J1231" s="52" t="s">
        <v>2801</v>
      </c>
      <c r="K1231" s="52" t="s">
        <v>777</v>
      </c>
      <c r="L1231" s="52" t="s">
        <v>777</v>
      </c>
      <c r="M1231" s="52" t="s">
        <v>29</v>
      </c>
      <c r="N1231" s="53">
        <v>-3035.91</v>
      </c>
      <c r="O1231" s="53">
        <v>-3035.91</v>
      </c>
      <c r="P1231" s="52" t="s">
        <v>778</v>
      </c>
      <c r="Q1231" s="52" t="s">
        <v>2802</v>
      </c>
      <c r="R1231" s="52" t="s">
        <v>64</v>
      </c>
      <c r="S1231" s="52" t="s">
        <v>2801</v>
      </c>
    </row>
    <row r="1232" spans="2:19" hidden="1" outlineLevel="1" x14ac:dyDescent="0.45">
      <c r="B1232" s="52" t="s">
        <v>2784</v>
      </c>
      <c r="C1232" s="52" t="s">
        <v>774</v>
      </c>
      <c r="D1232" s="52" t="s">
        <v>775</v>
      </c>
      <c r="E1232" s="52" t="s">
        <v>2785</v>
      </c>
      <c r="F1232" s="52" t="s">
        <v>2000</v>
      </c>
      <c r="G1232" s="52" t="s">
        <v>60</v>
      </c>
      <c r="H1232" s="52"/>
      <c r="I1232" s="52" t="s">
        <v>271</v>
      </c>
      <c r="J1232" s="52" t="s">
        <v>314</v>
      </c>
      <c r="K1232" s="52" t="s">
        <v>777</v>
      </c>
      <c r="L1232" s="52" t="s">
        <v>777</v>
      </c>
      <c r="M1232" s="52" t="s">
        <v>29</v>
      </c>
      <c r="N1232" s="53">
        <v>2101.16</v>
      </c>
      <c r="O1232" s="53">
        <v>2101.16</v>
      </c>
      <c r="P1232" s="52" t="s">
        <v>778</v>
      </c>
      <c r="Q1232" s="52" t="s">
        <v>1545</v>
      </c>
      <c r="R1232" s="52" t="s">
        <v>64</v>
      </c>
      <c r="S1232" s="52" t="s">
        <v>314</v>
      </c>
    </row>
    <row r="1233" spans="2:19" hidden="1" outlineLevel="1" x14ac:dyDescent="0.45">
      <c r="B1233" s="52" t="s">
        <v>2784</v>
      </c>
      <c r="C1233" s="52" t="s">
        <v>774</v>
      </c>
      <c r="D1233" s="52" t="s">
        <v>775</v>
      </c>
      <c r="E1233" s="52" t="s">
        <v>2785</v>
      </c>
      <c r="F1233" s="52" t="s">
        <v>2803</v>
      </c>
      <c r="G1233" s="52" t="s">
        <v>60</v>
      </c>
      <c r="H1233" s="52"/>
      <c r="I1233" s="52" t="s">
        <v>271</v>
      </c>
      <c r="J1233" s="52" t="s">
        <v>325</v>
      </c>
      <c r="K1233" s="52" t="s">
        <v>777</v>
      </c>
      <c r="L1233" s="52" t="s">
        <v>777</v>
      </c>
      <c r="M1233" s="52" t="s">
        <v>29</v>
      </c>
      <c r="N1233" s="53">
        <v>2000</v>
      </c>
      <c r="O1233" s="53">
        <v>2000</v>
      </c>
      <c r="P1233" s="52" t="s">
        <v>778</v>
      </c>
      <c r="Q1233" s="52" t="s">
        <v>1557</v>
      </c>
      <c r="R1233" s="52" t="s">
        <v>64</v>
      </c>
      <c r="S1233" s="52" t="s">
        <v>325</v>
      </c>
    </row>
    <row r="1234" spans="2:19" hidden="1" outlineLevel="1" x14ac:dyDescent="0.45">
      <c r="B1234" s="52" t="s">
        <v>2784</v>
      </c>
      <c r="C1234" s="52" t="s">
        <v>774</v>
      </c>
      <c r="D1234" s="52" t="s">
        <v>775</v>
      </c>
      <c r="E1234" s="52" t="s">
        <v>2785</v>
      </c>
      <c r="F1234" s="52" t="s">
        <v>2804</v>
      </c>
      <c r="G1234" s="52" t="s">
        <v>60</v>
      </c>
      <c r="H1234" s="52"/>
      <c r="I1234" s="52" t="s">
        <v>271</v>
      </c>
      <c r="J1234" s="52" t="s">
        <v>325</v>
      </c>
      <c r="K1234" s="52" t="s">
        <v>777</v>
      </c>
      <c r="L1234" s="52" t="s">
        <v>777</v>
      </c>
      <c r="M1234" s="52" t="s">
        <v>29</v>
      </c>
      <c r="N1234" s="53">
        <v>1938.1</v>
      </c>
      <c r="O1234" s="53">
        <v>1938.1</v>
      </c>
      <c r="P1234" s="52" t="s">
        <v>778</v>
      </c>
      <c r="Q1234" s="52" t="s">
        <v>1559</v>
      </c>
      <c r="R1234" s="52" t="s">
        <v>64</v>
      </c>
      <c r="S1234" s="52" t="s">
        <v>325</v>
      </c>
    </row>
    <row r="1235" spans="2:19" hidden="1" outlineLevel="1" x14ac:dyDescent="0.45">
      <c r="B1235" s="52" t="s">
        <v>2784</v>
      </c>
      <c r="C1235" s="52" t="s">
        <v>774</v>
      </c>
      <c r="D1235" s="52" t="s">
        <v>775</v>
      </c>
      <c r="E1235" s="52" t="s">
        <v>2785</v>
      </c>
      <c r="F1235" s="52" t="s">
        <v>2000</v>
      </c>
      <c r="G1235" s="52" t="s">
        <v>60</v>
      </c>
      <c r="H1235" s="52"/>
      <c r="I1235" s="52" t="s">
        <v>271</v>
      </c>
      <c r="J1235" s="52" t="s">
        <v>314</v>
      </c>
      <c r="K1235" s="52" t="s">
        <v>777</v>
      </c>
      <c r="L1235" s="52" t="s">
        <v>777</v>
      </c>
      <c r="M1235" s="52" t="s">
        <v>29</v>
      </c>
      <c r="N1235" s="53">
        <v>1561.78</v>
      </c>
      <c r="O1235" s="53">
        <v>1561.78</v>
      </c>
      <c r="P1235" s="52" t="s">
        <v>778</v>
      </c>
      <c r="Q1235" s="52" t="s">
        <v>1545</v>
      </c>
      <c r="R1235" s="52" t="s">
        <v>64</v>
      </c>
      <c r="S1235" s="52" t="s">
        <v>314</v>
      </c>
    </row>
    <row r="1236" spans="2:19" hidden="1" outlineLevel="1" x14ac:dyDescent="0.45">
      <c r="B1236" s="52" t="s">
        <v>2784</v>
      </c>
      <c r="C1236" s="52" t="s">
        <v>774</v>
      </c>
      <c r="D1236" s="52" t="s">
        <v>775</v>
      </c>
      <c r="E1236" s="52" t="s">
        <v>2785</v>
      </c>
      <c r="F1236" s="52" t="s">
        <v>2000</v>
      </c>
      <c r="G1236" s="52" t="s">
        <v>60</v>
      </c>
      <c r="H1236" s="52"/>
      <c r="I1236" s="52" t="s">
        <v>271</v>
      </c>
      <c r="J1236" s="52" t="s">
        <v>314</v>
      </c>
      <c r="K1236" s="52" t="s">
        <v>777</v>
      </c>
      <c r="L1236" s="52" t="s">
        <v>777</v>
      </c>
      <c r="M1236" s="52" t="s">
        <v>29</v>
      </c>
      <c r="N1236" s="53">
        <v>1337.06</v>
      </c>
      <c r="O1236" s="53">
        <v>1337.06</v>
      </c>
      <c r="P1236" s="52" t="s">
        <v>778</v>
      </c>
      <c r="Q1236" s="52" t="s">
        <v>1545</v>
      </c>
      <c r="R1236" s="52" t="s">
        <v>64</v>
      </c>
      <c r="S1236" s="52" t="s">
        <v>314</v>
      </c>
    </row>
    <row r="1237" spans="2:19" hidden="1" outlineLevel="1" x14ac:dyDescent="0.45">
      <c r="B1237" s="52" t="s">
        <v>2784</v>
      </c>
      <c r="C1237" s="52" t="s">
        <v>774</v>
      </c>
      <c r="D1237" s="52" t="s">
        <v>775</v>
      </c>
      <c r="E1237" s="52" t="s">
        <v>2785</v>
      </c>
      <c r="F1237" s="52" t="s">
        <v>2804</v>
      </c>
      <c r="G1237" s="52" t="s">
        <v>60</v>
      </c>
      <c r="H1237" s="52"/>
      <c r="I1237" s="52" t="s">
        <v>271</v>
      </c>
      <c r="J1237" s="52" t="s">
        <v>325</v>
      </c>
      <c r="K1237" s="52" t="s">
        <v>777</v>
      </c>
      <c r="L1237" s="52" t="s">
        <v>777</v>
      </c>
      <c r="M1237" s="52" t="s">
        <v>29</v>
      </c>
      <c r="N1237" s="53">
        <v>818.57</v>
      </c>
      <c r="O1237" s="53">
        <v>818.57</v>
      </c>
      <c r="P1237" s="52" t="s">
        <v>778</v>
      </c>
      <c r="Q1237" s="52" t="s">
        <v>1559</v>
      </c>
      <c r="R1237" s="52" t="s">
        <v>64</v>
      </c>
      <c r="S1237" s="52" t="s">
        <v>325</v>
      </c>
    </row>
    <row r="1238" spans="2:19" hidden="1" outlineLevel="1" x14ac:dyDescent="0.45">
      <c r="B1238" s="52" t="s">
        <v>2784</v>
      </c>
      <c r="C1238" s="52" t="s">
        <v>774</v>
      </c>
      <c r="D1238" s="52" t="s">
        <v>775</v>
      </c>
      <c r="E1238" s="52" t="s">
        <v>2785</v>
      </c>
      <c r="F1238" s="52" t="s">
        <v>2804</v>
      </c>
      <c r="G1238" s="52" t="s">
        <v>60</v>
      </c>
      <c r="H1238" s="52"/>
      <c r="I1238" s="52" t="s">
        <v>271</v>
      </c>
      <c r="J1238" s="52" t="s">
        <v>325</v>
      </c>
      <c r="K1238" s="52" t="s">
        <v>777</v>
      </c>
      <c r="L1238" s="52" t="s">
        <v>777</v>
      </c>
      <c r="M1238" s="52" t="s">
        <v>29</v>
      </c>
      <c r="N1238" s="53">
        <v>243.33</v>
      </c>
      <c r="O1238" s="53">
        <v>243.33</v>
      </c>
      <c r="P1238" s="52" t="s">
        <v>778</v>
      </c>
      <c r="Q1238" s="52" t="s">
        <v>1559</v>
      </c>
      <c r="R1238" s="52" t="s">
        <v>64</v>
      </c>
      <c r="S1238" s="52" t="s">
        <v>325</v>
      </c>
    </row>
    <row r="1239" spans="2:19" hidden="1" outlineLevel="1" x14ac:dyDescent="0.45">
      <c r="B1239" s="52" t="s">
        <v>2784</v>
      </c>
      <c r="C1239" s="52" t="s">
        <v>774</v>
      </c>
      <c r="D1239" s="52" t="s">
        <v>775</v>
      </c>
      <c r="E1239" s="52" t="s">
        <v>2789</v>
      </c>
      <c r="F1239" s="52" t="s">
        <v>59</v>
      </c>
      <c r="G1239" s="52" t="s">
        <v>60</v>
      </c>
      <c r="H1239" s="52"/>
      <c r="I1239" s="52" t="s">
        <v>271</v>
      </c>
      <c r="J1239" s="52" t="s">
        <v>1339</v>
      </c>
      <c r="K1239" s="52" t="s">
        <v>777</v>
      </c>
      <c r="L1239" s="52" t="s">
        <v>777</v>
      </c>
      <c r="M1239" s="52" t="s">
        <v>29</v>
      </c>
      <c r="N1239" s="53">
        <v>-1050.19</v>
      </c>
      <c r="O1239" s="53">
        <v>-1050.19</v>
      </c>
      <c r="P1239" s="52" t="s">
        <v>778</v>
      </c>
      <c r="Q1239" s="52" t="s">
        <v>2805</v>
      </c>
      <c r="R1239" s="52" t="s">
        <v>64</v>
      </c>
      <c r="S1239" s="52" t="s">
        <v>1339</v>
      </c>
    </row>
    <row r="1240" spans="2:19" hidden="1" outlineLevel="1" x14ac:dyDescent="0.45">
      <c r="B1240" s="52" t="s">
        <v>2784</v>
      </c>
      <c r="C1240" s="52" t="s">
        <v>774</v>
      </c>
      <c r="D1240" s="52" t="s">
        <v>775</v>
      </c>
      <c r="E1240" s="52" t="s">
        <v>2789</v>
      </c>
      <c r="F1240" s="52" t="s">
        <v>1234</v>
      </c>
      <c r="G1240" s="52" t="s">
        <v>60</v>
      </c>
      <c r="H1240" s="52"/>
      <c r="I1240" s="52" t="s">
        <v>271</v>
      </c>
      <c r="J1240" s="52" t="s">
        <v>2806</v>
      </c>
      <c r="K1240" s="52" t="s">
        <v>777</v>
      </c>
      <c r="L1240" s="52" t="s">
        <v>777</v>
      </c>
      <c r="M1240" s="52" t="s">
        <v>29</v>
      </c>
      <c r="N1240" s="53">
        <v>-1561.78</v>
      </c>
      <c r="O1240" s="53">
        <v>-1561.78</v>
      </c>
      <c r="P1240" s="52" t="s">
        <v>778</v>
      </c>
      <c r="Q1240" s="52" t="s">
        <v>2807</v>
      </c>
      <c r="R1240" s="52" t="s">
        <v>64</v>
      </c>
      <c r="S1240" s="52" t="s">
        <v>2806</v>
      </c>
    </row>
    <row r="1241" spans="2:19" hidden="1" outlineLevel="1" x14ac:dyDescent="0.45">
      <c r="B1241" s="52" t="s">
        <v>2784</v>
      </c>
      <c r="C1241" s="52" t="s">
        <v>774</v>
      </c>
      <c r="D1241" s="52" t="s">
        <v>775</v>
      </c>
      <c r="E1241" s="52" t="s">
        <v>2789</v>
      </c>
      <c r="F1241" s="52" t="s">
        <v>2808</v>
      </c>
      <c r="G1241" s="52" t="s">
        <v>60</v>
      </c>
      <c r="H1241" s="52"/>
      <c r="I1241" s="52" t="s">
        <v>271</v>
      </c>
      <c r="J1241" s="52" t="s">
        <v>519</v>
      </c>
      <c r="K1241" s="52" t="s">
        <v>777</v>
      </c>
      <c r="L1241" s="52" t="s">
        <v>777</v>
      </c>
      <c r="M1241" s="52" t="s">
        <v>29</v>
      </c>
      <c r="N1241" s="53">
        <v>-1938.1</v>
      </c>
      <c r="O1241" s="53">
        <v>-1938.1</v>
      </c>
      <c r="P1241" s="52" t="s">
        <v>778</v>
      </c>
      <c r="Q1241" s="52" t="s">
        <v>2809</v>
      </c>
      <c r="R1241" s="52" t="s">
        <v>64</v>
      </c>
      <c r="S1241" s="52" t="s">
        <v>519</v>
      </c>
    </row>
    <row r="1242" spans="2:19" hidden="1" outlineLevel="1" x14ac:dyDescent="0.45">
      <c r="B1242" s="52" t="s">
        <v>2784</v>
      </c>
      <c r="C1242" s="52" t="s">
        <v>774</v>
      </c>
      <c r="D1242" s="52" t="s">
        <v>775</v>
      </c>
      <c r="E1242" s="52" t="s">
        <v>2789</v>
      </c>
      <c r="F1242" s="52" t="s">
        <v>2810</v>
      </c>
      <c r="G1242" s="52" t="s">
        <v>60</v>
      </c>
      <c r="H1242" s="52"/>
      <c r="I1242" s="52" t="s">
        <v>271</v>
      </c>
      <c r="J1242" s="52" t="s">
        <v>323</v>
      </c>
      <c r="K1242" s="52" t="s">
        <v>777</v>
      </c>
      <c r="L1242" s="52" t="s">
        <v>777</v>
      </c>
      <c r="M1242" s="52" t="s">
        <v>29</v>
      </c>
      <c r="N1242" s="53">
        <v>-3580.39</v>
      </c>
      <c r="O1242" s="53">
        <v>-3580.39</v>
      </c>
      <c r="P1242" s="52" t="s">
        <v>778</v>
      </c>
      <c r="Q1242" s="52" t="s">
        <v>2811</v>
      </c>
      <c r="R1242" s="52" t="s">
        <v>64</v>
      </c>
      <c r="S1242" s="52" t="s">
        <v>323</v>
      </c>
    </row>
    <row r="1243" spans="2:19" hidden="1" outlineLevel="1" x14ac:dyDescent="0.45">
      <c r="B1243" s="52" t="s">
        <v>2784</v>
      </c>
      <c r="C1243" s="52" t="s">
        <v>774</v>
      </c>
      <c r="D1243" s="52" t="s">
        <v>775</v>
      </c>
      <c r="E1243" s="52" t="s">
        <v>2785</v>
      </c>
      <c r="F1243" s="52" t="s">
        <v>2812</v>
      </c>
      <c r="G1243" s="52" t="s">
        <v>60</v>
      </c>
      <c r="H1243" s="52"/>
      <c r="I1243" s="52" t="s">
        <v>1836</v>
      </c>
      <c r="J1243" s="52" t="s">
        <v>1886</v>
      </c>
      <c r="K1243" s="52" t="s">
        <v>777</v>
      </c>
      <c r="L1243" s="52" t="s">
        <v>777</v>
      </c>
      <c r="M1243" s="52" t="s">
        <v>29</v>
      </c>
      <c r="N1243" s="53">
        <v>3396.53</v>
      </c>
      <c r="O1243" s="53">
        <v>3396.53</v>
      </c>
      <c r="P1243" s="52" t="s">
        <v>778</v>
      </c>
      <c r="Q1243" s="52" t="s">
        <v>2136</v>
      </c>
      <c r="R1243" s="52" t="s">
        <v>64</v>
      </c>
      <c r="S1243" s="52" t="s">
        <v>1886</v>
      </c>
    </row>
    <row r="1244" spans="2:19" hidden="1" outlineLevel="1" x14ac:dyDescent="0.45">
      <c r="B1244" s="52" t="s">
        <v>2784</v>
      </c>
      <c r="C1244" s="52" t="s">
        <v>774</v>
      </c>
      <c r="D1244" s="52" t="s">
        <v>775</v>
      </c>
      <c r="E1244" s="52" t="s">
        <v>2785</v>
      </c>
      <c r="F1244" s="52" t="s">
        <v>2813</v>
      </c>
      <c r="G1244" s="52" t="s">
        <v>60</v>
      </c>
      <c r="H1244" s="52"/>
      <c r="I1244" s="52" t="s">
        <v>1836</v>
      </c>
      <c r="J1244" s="52" t="s">
        <v>1988</v>
      </c>
      <c r="K1244" s="52" t="s">
        <v>777</v>
      </c>
      <c r="L1244" s="52" t="s">
        <v>777</v>
      </c>
      <c r="M1244" s="52" t="s">
        <v>29</v>
      </c>
      <c r="N1244" s="53">
        <v>3000</v>
      </c>
      <c r="O1244" s="53">
        <v>3000</v>
      </c>
      <c r="P1244" s="52" t="s">
        <v>778</v>
      </c>
      <c r="Q1244" s="52" t="s">
        <v>2138</v>
      </c>
      <c r="R1244" s="52" t="s">
        <v>64</v>
      </c>
      <c r="S1244" s="52" t="s">
        <v>1988</v>
      </c>
    </row>
    <row r="1245" spans="2:19" hidden="1" outlineLevel="1" x14ac:dyDescent="0.45">
      <c r="B1245" s="52" t="s">
        <v>2784</v>
      </c>
      <c r="C1245" s="52" t="s">
        <v>774</v>
      </c>
      <c r="D1245" s="52" t="s">
        <v>775</v>
      </c>
      <c r="E1245" s="52" t="s">
        <v>2785</v>
      </c>
      <c r="F1245" s="52" t="s">
        <v>2814</v>
      </c>
      <c r="G1245" s="52" t="s">
        <v>60</v>
      </c>
      <c r="H1245" s="52"/>
      <c r="I1245" s="52" t="s">
        <v>1836</v>
      </c>
      <c r="J1245" s="52" t="s">
        <v>1891</v>
      </c>
      <c r="K1245" s="52" t="s">
        <v>777</v>
      </c>
      <c r="L1245" s="52" t="s">
        <v>777</v>
      </c>
      <c r="M1245" s="52" t="s">
        <v>29</v>
      </c>
      <c r="N1245" s="53">
        <v>2233.4</v>
      </c>
      <c r="O1245" s="53">
        <v>2233.4</v>
      </c>
      <c r="P1245" s="52" t="s">
        <v>778</v>
      </c>
      <c r="Q1245" s="52" t="s">
        <v>2155</v>
      </c>
      <c r="R1245" s="52" t="s">
        <v>64</v>
      </c>
      <c r="S1245" s="52" t="s">
        <v>1891</v>
      </c>
    </row>
    <row r="1246" spans="2:19" hidden="1" outlineLevel="1" x14ac:dyDescent="0.45">
      <c r="B1246" s="52" t="s">
        <v>2784</v>
      </c>
      <c r="C1246" s="52" t="s">
        <v>774</v>
      </c>
      <c r="D1246" s="52" t="s">
        <v>775</v>
      </c>
      <c r="E1246" s="52" t="s">
        <v>2785</v>
      </c>
      <c r="F1246" s="52" t="s">
        <v>2814</v>
      </c>
      <c r="G1246" s="52" t="s">
        <v>60</v>
      </c>
      <c r="H1246" s="52"/>
      <c r="I1246" s="52" t="s">
        <v>1836</v>
      </c>
      <c r="J1246" s="52" t="s">
        <v>1891</v>
      </c>
      <c r="K1246" s="52" t="s">
        <v>777</v>
      </c>
      <c r="L1246" s="52" t="s">
        <v>777</v>
      </c>
      <c r="M1246" s="52" t="s">
        <v>29</v>
      </c>
      <c r="N1246" s="53">
        <v>766.6</v>
      </c>
      <c r="O1246" s="53">
        <v>766.6</v>
      </c>
      <c r="P1246" s="52" t="s">
        <v>778</v>
      </c>
      <c r="Q1246" s="52" t="s">
        <v>2155</v>
      </c>
      <c r="R1246" s="52" t="s">
        <v>64</v>
      </c>
      <c r="S1246" s="52" t="s">
        <v>1891</v>
      </c>
    </row>
    <row r="1247" spans="2:19" hidden="1" outlineLevel="1" x14ac:dyDescent="0.45">
      <c r="B1247" s="52" t="s">
        <v>2784</v>
      </c>
      <c r="C1247" s="52" t="s">
        <v>774</v>
      </c>
      <c r="D1247" s="52" t="s">
        <v>775</v>
      </c>
      <c r="E1247" s="52" t="s">
        <v>2785</v>
      </c>
      <c r="F1247" s="52" t="s">
        <v>2812</v>
      </c>
      <c r="G1247" s="52" t="s">
        <v>60</v>
      </c>
      <c r="H1247" s="52"/>
      <c r="I1247" s="52" t="s">
        <v>1836</v>
      </c>
      <c r="J1247" s="52" t="s">
        <v>1886</v>
      </c>
      <c r="K1247" s="52" t="s">
        <v>777</v>
      </c>
      <c r="L1247" s="52" t="s">
        <v>777</v>
      </c>
      <c r="M1247" s="52" t="s">
        <v>29</v>
      </c>
      <c r="N1247" s="53">
        <v>603.47</v>
      </c>
      <c r="O1247" s="53">
        <v>603.47</v>
      </c>
      <c r="P1247" s="52" t="s">
        <v>778</v>
      </c>
      <c r="Q1247" s="52" t="s">
        <v>2136</v>
      </c>
      <c r="R1247" s="52" t="s">
        <v>64</v>
      </c>
      <c r="S1247" s="52" t="s">
        <v>1886</v>
      </c>
    </row>
    <row r="1248" spans="2:19" hidden="1" outlineLevel="1" x14ac:dyDescent="0.45">
      <c r="B1248" s="52" t="s">
        <v>2784</v>
      </c>
      <c r="C1248" s="52" t="s">
        <v>774</v>
      </c>
      <c r="D1248" s="52" t="s">
        <v>775</v>
      </c>
      <c r="E1248" s="52" t="s">
        <v>2789</v>
      </c>
      <c r="F1248" s="52" t="s">
        <v>2815</v>
      </c>
      <c r="G1248" s="52" t="s">
        <v>60</v>
      </c>
      <c r="H1248" s="52"/>
      <c r="I1248" s="52" t="s">
        <v>1836</v>
      </c>
      <c r="J1248" s="52" t="s">
        <v>1880</v>
      </c>
      <c r="K1248" s="52" t="s">
        <v>777</v>
      </c>
      <c r="L1248" s="52" t="s">
        <v>777</v>
      </c>
      <c r="M1248" s="52" t="s">
        <v>29</v>
      </c>
      <c r="N1248" s="53">
        <v>-3388.18</v>
      </c>
      <c r="O1248" s="53">
        <v>-3388.18</v>
      </c>
      <c r="P1248" s="52" t="s">
        <v>778</v>
      </c>
      <c r="Q1248" s="52" t="s">
        <v>2816</v>
      </c>
      <c r="R1248" s="52" t="s">
        <v>64</v>
      </c>
      <c r="S1248" s="52" t="s">
        <v>1880</v>
      </c>
    </row>
    <row r="1249" spans="2:19" hidden="1" outlineLevel="1" x14ac:dyDescent="0.45">
      <c r="B1249" s="52" t="s">
        <v>2784</v>
      </c>
      <c r="C1249" s="52" t="s">
        <v>774</v>
      </c>
      <c r="D1249" s="52" t="s">
        <v>775</v>
      </c>
      <c r="E1249" s="52" t="s">
        <v>2789</v>
      </c>
      <c r="F1249" s="52" t="s">
        <v>2817</v>
      </c>
      <c r="G1249" s="52" t="s">
        <v>60</v>
      </c>
      <c r="H1249" s="52"/>
      <c r="I1249" s="52" t="s">
        <v>1836</v>
      </c>
      <c r="J1249" s="52" t="s">
        <v>1880</v>
      </c>
      <c r="K1249" s="52" t="s">
        <v>777</v>
      </c>
      <c r="L1249" s="52" t="s">
        <v>777</v>
      </c>
      <c r="M1249" s="52" t="s">
        <v>29</v>
      </c>
      <c r="N1249" s="53">
        <v>-5629.93</v>
      </c>
      <c r="O1249" s="53">
        <v>-5629.93</v>
      </c>
      <c r="P1249" s="52" t="s">
        <v>778</v>
      </c>
      <c r="Q1249" s="52" t="s">
        <v>2818</v>
      </c>
      <c r="R1249" s="52" t="s">
        <v>64</v>
      </c>
      <c r="S1249" s="52" t="s">
        <v>1880</v>
      </c>
    </row>
    <row r="1250" spans="2:19" hidden="1" outlineLevel="1" x14ac:dyDescent="0.45">
      <c r="B1250" s="52" t="s">
        <v>2784</v>
      </c>
      <c r="C1250" s="52" t="s">
        <v>774</v>
      </c>
      <c r="D1250" s="52" t="s">
        <v>775</v>
      </c>
      <c r="E1250" s="52" t="s">
        <v>2789</v>
      </c>
      <c r="F1250" s="52" t="s">
        <v>2819</v>
      </c>
      <c r="G1250" s="52" t="s">
        <v>60</v>
      </c>
      <c r="H1250" s="52"/>
      <c r="I1250" s="52" t="s">
        <v>1836</v>
      </c>
      <c r="J1250" s="52" t="s">
        <v>1908</v>
      </c>
      <c r="K1250" s="52" t="s">
        <v>777</v>
      </c>
      <c r="L1250" s="52" t="s">
        <v>777</v>
      </c>
      <c r="M1250" s="52" t="s">
        <v>29</v>
      </c>
      <c r="N1250" s="53">
        <v>-5867.76</v>
      </c>
      <c r="O1250" s="53">
        <v>-5867.76</v>
      </c>
      <c r="P1250" s="52" t="s">
        <v>778</v>
      </c>
      <c r="Q1250" s="52" t="s">
        <v>2820</v>
      </c>
      <c r="R1250" s="52" t="s">
        <v>64</v>
      </c>
      <c r="S1250" s="52" t="s">
        <v>1908</v>
      </c>
    </row>
    <row r="1251" spans="2:19" hidden="1" outlineLevel="1" x14ac:dyDescent="0.45">
      <c r="B1251" s="52" t="s">
        <v>2784</v>
      </c>
      <c r="C1251" s="52" t="s">
        <v>774</v>
      </c>
      <c r="D1251" s="52" t="s">
        <v>775</v>
      </c>
      <c r="E1251" s="52" t="s">
        <v>2785</v>
      </c>
      <c r="F1251" s="52" t="s">
        <v>2821</v>
      </c>
      <c r="G1251" s="52" t="s">
        <v>60</v>
      </c>
      <c r="H1251" s="52"/>
      <c r="I1251" s="52" t="s">
        <v>2304</v>
      </c>
      <c r="J1251" s="52" t="s">
        <v>2416</v>
      </c>
      <c r="K1251" s="52" t="s">
        <v>777</v>
      </c>
      <c r="L1251" s="52" t="s">
        <v>777</v>
      </c>
      <c r="M1251" s="52" t="s">
        <v>29</v>
      </c>
      <c r="N1251" s="53">
        <v>2784.71</v>
      </c>
      <c r="O1251" s="53">
        <v>2784.71</v>
      </c>
      <c r="P1251" s="52" t="s">
        <v>778</v>
      </c>
      <c r="Q1251" s="52" t="s">
        <v>2590</v>
      </c>
      <c r="R1251" s="52" t="s">
        <v>64</v>
      </c>
      <c r="S1251" s="52" t="s">
        <v>2416</v>
      </c>
    </row>
    <row r="1252" spans="2:19" hidden="1" outlineLevel="1" x14ac:dyDescent="0.45">
      <c r="B1252" s="52" t="s">
        <v>2784</v>
      </c>
      <c r="C1252" s="52" t="s">
        <v>774</v>
      </c>
      <c r="D1252" s="52" t="s">
        <v>775</v>
      </c>
      <c r="E1252" s="52" t="s">
        <v>2822</v>
      </c>
      <c r="F1252" s="52" t="s">
        <v>2823</v>
      </c>
      <c r="G1252" s="52" t="s">
        <v>60</v>
      </c>
      <c r="H1252" s="52"/>
      <c r="I1252" s="52" t="s">
        <v>2304</v>
      </c>
      <c r="J1252" s="52" t="s">
        <v>2723</v>
      </c>
      <c r="K1252" s="52"/>
      <c r="L1252" s="52"/>
      <c r="M1252" s="52" t="s">
        <v>29</v>
      </c>
      <c r="N1252" s="53">
        <v>2359.19</v>
      </c>
      <c r="O1252" s="53">
        <v>2359.19</v>
      </c>
      <c r="P1252" s="52"/>
      <c r="Q1252" s="52" t="s">
        <v>2824</v>
      </c>
      <c r="R1252" s="52" t="s">
        <v>64</v>
      </c>
      <c r="S1252" s="52" t="s">
        <v>2723</v>
      </c>
    </row>
    <row r="1253" spans="2:19" hidden="1" outlineLevel="1" x14ac:dyDescent="0.45">
      <c r="B1253" s="52" t="s">
        <v>2784</v>
      </c>
      <c r="C1253" s="52" t="s">
        <v>774</v>
      </c>
      <c r="D1253" s="52" t="s">
        <v>775</v>
      </c>
      <c r="E1253" s="52" t="s">
        <v>2785</v>
      </c>
      <c r="F1253" s="52" t="s">
        <v>2825</v>
      </c>
      <c r="G1253" s="52" t="s">
        <v>60</v>
      </c>
      <c r="H1253" s="52"/>
      <c r="I1253" s="52" t="s">
        <v>2304</v>
      </c>
      <c r="J1253" s="52" t="s">
        <v>2343</v>
      </c>
      <c r="K1253" s="52" t="s">
        <v>777</v>
      </c>
      <c r="L1253" s="52" t="s">
        <v>777</v>
      </c>
      <c r="M1253" s="52" t="s">
        <v>29</v>
      </c>
      <c r="N1253" s="53">
        <v>2347.92</v>
      </c>
      <c r="O1253" s="53">
        <v>2347.92</v>
      </c>
      <c r="P1253" s="52" t="s">
        <v>778</v>
      </c>
      <c r="Q1253" s="52" t="s">
        <v>2602</v>
      </c>
      <c r="R1253" s="52" t="s">
        <v>64</v>
      </c>
      <c r="S1253" s="52" t="s">
        <v>2343</v>
      </c>
    </row>
    <row r="1254" spans="2:19" hidden="1" outlineLevel="1" x14ac:dyDescent="0.45">
      <c r="B1254" s="52" t="s">
        <v>2784</v>
      </c>
      <c r="C1254" s="52" t="s">
        <v>774</v>
      </c>
      <c r="D1254" s="52" t="s">
        <v>775</v>
      </c>
      <c r="E1254" s="52" t="s">
        <v>2822</v>
      </c>
      <c r="F1254" s="52" t="s">
        <v>2823</v>
      </c>
      <c r="G1254" s="52" t="s">
        <v>60</v>
      </c>
      <c r="H1254" s="52"/>
      <c r="I1254" s="52" t="s">
        <v>2304</v>
      </c>
      <c r="J1254" s="52" t="s">
        <v>2723</v>
      </c>
      <c r="K1254" s="52"/>
      <c r="L1254" s="52"/>
      <c r="M1254" s="52" t="s">
        <v>29</v>
      </c>
      <c r="N1254" s="53">
        <v>1697.01</v>
      </c>
      <c r="O1254" s="53">
        <v>1697.01</v>
      </c>
      <c r="P1254" s="52"/>
      <c r="Q1254" s="52" t="s">
        <v>2824</v>
      </c>
      <c r="R1254" s="52" t="s">
        <v>64</v>
      </c>
      <c r="S1254" s="52" t="s">
        <v>2723</v>
      </c>
    </row>
    <row r="1255" spans="2:19" hidden="1" outlineLevel="1" x14ac:dyDescent="0.45">
      <c r="B1255" s="52" t="s">
        <v>2784</v>
      </c>
      <c r="C1255" s="52" t="s">
        <v>774</v>
      </c>
      <c r="D1255" s="52" t="s">
        <v>775</v>
      </c>
      <c r="E1255" s="52" t="s">
        <v>2785</v>
      </c>
      <c r="F1255" s="52" t="s">
        <v>2825</v>
      </c>
      <c r="G1255" s="52" t="s">
        <v>60</v>
      </c>
      <c r="H1255" s="52"/>
      <c r="I1255" s="52" t="s">
        <v>2304</v>
      </c>
      <c r="J1255" s="52" t="s">
        <v>2343</v>
      </c>
      <c r="K1255" s="52" t="s">
        <v>777</v>
      </c>
      <c r="L1255" s="52" t="s">
        <v>777</v>
      </c>
      <c r="M1255" s="52" t="s">
        <v>29</v>
      </c>
      <c r="N1255" s="53">
        <v>652.08000000000004</v>
      </c>
      <c r="O1255" s="53">
        <v>652.08000000000004</v>
      </c>
      <c r="P1255" s="52" t="s">
        <v>778</v>
      </c>
      <c r="Q1255" s="52" t="s">
        <v>2602</v>
      </c>
      <c r="R1255" s="52" t="s">
        <v>64</v>
      </c>
      <c r="S1255" s="52" t="s">
        <v>2343</v>
      </c>
    </row>
    <row r="1256" spans="2:19" hidden="1" outlineLevel="1" x14ac:dyDescent="0.45">
      <c r="B1256" s="52" t="s">
        <v>2784</v>
      </c>
      <c r="C1256" s="52" t="s">
        <v>774</v>
      </c>
      <c r="D1256" s="52" t="s">
        <v>775</v>
      </c>
      <c r="E1256" s="52" t="s">
        <v>2785</v>
      </c>
      <c r="F1256" s="52" t="s">
        <v>2821</v>
      </c>
      <c r="G1256" s="52" t="s">
        <v>60</v>
      </c>
      <c r="H1256" s="52"/>
      <c r="I1256" s="52" t="s">
        <v>2304</v>
      </c>
      <c r="J1256" s="52" t="s">
        <v>2416</v>
      </c>
      <c r="K1256" s="52" t="s">
        <v>777</v>
      </c>
      <c r="L1256" s="52" t="s">
        <v>777</v>
      </c>
      <c r="M1256" s="52" t="s">
        <v>29</v>
      </c>
      <c r="N1256" s="53">
        <v>215.29</v>
      </c>
      <c r="O1256" s="53">
        <v>215.29</v>
      </c>
      <c r="P1256" s="52" t="s">
        <v>778</v>
      </c>
      <c r="Q1256" s="52" t="s">
        <v>2590</v>
      </c>
      <c r="R1256" s="52" t="s">
        <v>64</v>
      </c>
      <c r="S1256" s="52" t="s">
        <v>2416</v>
      </c>
    </row>
    <row r="1257" spans="2:19" hidden="1" outlineLevel="1" x14ac:dyDescent="0.45">
      <c r="B1257" s="52" t="s">
        <v>2784</v>
      </c>
      <c r="C1257" s="52" t="s">
        <v>774</v>
      </c>
      <c r="D1257" s="52" t="s">
        <v>775</v>
      </c>
      <c r="E1257" s="52" t="s">
        <v>2822</v>
      </c>
      <c r="F1257" s="52" t="s">
        <v>2823</v>
      </c>
      <c r="G1257" s="52" t="s">
        <v>60</v>
      </c>
      <c r="H1257" s="52"/>
      <c r="I1257" s="52" t="s">
        <v>2304</v>
      </c>
      <c r="J1257" s="52" t="s">
        <v>2723</v>
      </c>
      <c r="K1257" s="52"/>
      <c r="L1257" s="52"/>
      <c r="M1257" s="52" t="s">
        <v>29</v>
      </c>
      <c r="N1257" s="53">
        <v>-2381.29</v>
      </c>
      <c r="O1257" s="53">
        <v>-2381.29</v>
      </c>
      <c r="P1257" s="52"/>
      <c r="Q1257" s="52" t="s">
        <v>2824</v>
      </c>
      <c r="R1257" s="52" t="s">
        <v>64</v>
      </c>
      <c r="S1257" s="52" t="s">
        <v>2723</v>
      </c>
    </row>
    <row r="1258" spans="2:19" hidden="1" outlineLevel="1" x14ac:dyDescent="0.45">
      <c r="B1258" s="52" t="s">
        <v>2784</v>
      </c>
      <c r="C1258" s="52" t="s">
        <v>774</v>
      </c>
      <c r="D1258" s="52" t="s">
        <v>775</v>
      </c>
      <c r="E1258" s="52" t="s">
        <v>2789</v>
      </c>
      <c r="F1258" s="52" t="s">
        <v>2826</v>
      </c>
      <c r="G1258" s="52" t="s">
        <v>60</v>
      </c>
      <c r="H1258" s="52"/>
      <c r="I1258" s="52" t="s">
        <v>2304</v>
      </c>
      <c r="J1258" s="52" t="s">
        <v>2483</v>
      </c>
      <c r="K1258" s="52" t="s">
        <v>777</v>
      </c>
      <c r="L1258" s="52" t="s">
        <v>777</v>
      </c>
      <c r="M1258" s="52" t="s">
        <v>29</v>
      </c>
      <c r="N1258" s="53">
        <v>-2563.21</v>
      </c>
      <c r="O1258" s="53">
        <v>-2563.21</v>
      </c>
      <c r="P1258" s="52" t="s">
        <v>778</v>
      </c>
      <c r="Q1258" s="52" t="s">
        <v>2827</v>
      </c>
      <c r="R1258" s="52" t="s">
        <v>64</v>
      </c>
      <c r="S1258" s="52" t="s">
        <v>2483</v>
      </c>
    </row>
    <row r="1259" spans="2:19" hidden="1" outlineLevel="1" x14ac:dyDescent="0.45">
      <c r="B1259" s="52" t="s">
        <v>2784</v>
      </c>
      <c r="C1259" s="52" t="s">
        <v>774</v>
      </c>
      <c r="D1259" s="52" t="s">
        <v>775</v>
      </c>
      <c r="E1259" s="52" t="s">
        <v>2789</v>
      </c>
      <c r="F1259" s="52" t="s">
        <v>2828</v>
      </c>
      <c r="G1259" s="52" t="s">
        <v>60</v>
      </c>
      <c r="H1259" s="52"/>
      <c r="I1259" s="52" t="s">
        <v>2304</v>
      </c>
      <c r="J1259" s="52" t="s">
        <v>2338</v>
      </c>
      <c r="K1259" s="52" t="s">
        <v>777</v>
      </c>
      <c r="L1259" s="52" t="s">
        <v>777</v>
      </c>
      <c r="M1259" s="52" t="s">
        <v>29</v>
      </c>
      <c r="N1259" s="53">
        <v>-4349.09</v>
      </c>
      <c r="O1259" s="53">
        <v>-4349.09</v>
      </c>
      <c r="P1259" s="52" t="s">
        <v>778</v>
      </c>
      <c r="Q1259" s="52" t="s">
        <v>2829</v>
      </c>
      <c r="R1259" s="52" t="s">
        <v>64</v>
      </c>
      <c r="S1259" s="52" t="s">
        <v>2338</v>
      </c>
    </row>
    <row r="1260" spans="2:19" hidden="1" outlineLevel="1" x14ac:dyDescent="0.45">
      <c r="B1260" s="52" t="s">
        <v>2784</v>
      </c>
      <c r="C1260" s="52" t="s">
        <v>774</v>
      </c>
      <c r="D1260" s="52" t="s">
        <v>775</v>
      </c>
      <c r="E1260" s="52" t="s">
        <v>2789</v>
      </c>
      <c r="F1260" s="52" t="s">
        <v>2808</v>
      </c>
      <c r="G1260" s="52" t="s">
        <v>60</v>
      </c>
      <c r="H1260" s="52" t="s">
        <v>2832</v>
      </c>
      <c r="I1260" s="52" t="s">
        <v>2833</v>
      </c>
      <c r="J1260" s="52" t="s">
        <v>2834</v>
      </c>
      <c r="K1260" s="52" t="s">
        <v>777</v>
      </c>
      <c r="L1260" s="52" t="s">
        <v>777</v>
      </c>
      <c r="M1260" s="52" t="s">
        <v>29</v>
      </c>
      <c r="N1260" s="53">
        <v>-2180.9</v>
      </c>
      <c r="O1260" s="53">
        <v>-2180.9</v>
      </c>
      <c r="P1260" s="52" t="s">
        <v>778</v>
      </c>
      <c r="Q1260" s="52" t="s">
        <v>2835</v>
      </c>
      <c r="R1260" s="52" t="s">
        <v>64</v>
      </c>
      <c r="S1260" s="52" t="s">
        <v>2839</v>
      </c>
    </row>
    <row r="1261" spans="2:19" hidden="1" outlineLevel="1" x14ac:dyDescent="0.45">
      <c r="B1261" s="52" t="s">
        <v>2784</v>
      </c>
      <c r="C1261" s="52" t="s">
        <v>774</v>
      </c>
      <c r="D1261" s="52" t="s">
        <v>775</v>
      </c>
      <c r="E1261" s="52" t="s">
        <v>2822</v>
      </c>
      <c r="F1261" s="52" t="s">
        <v>2840</v>
      </c>
      <c r="G1261" s="52" t="s">
        <v>60</v>
      </c>
      <c r="H1261" s="52"/>
      <c r="I1261" s="52" t="s">
        <v>2833</v>
      </c>
      <c r="J1261" s="52" t="s">
        <v>2841</v>
      </c>
      <c r="K1261" s="52"/>
      <c r="L1261" s="52"/>
      <c r="M1261" s="52" t="s">
        <v>29</v>
      </c>
      <c r="N1261" s="53">
        <v>-1697.01</v>
      </c>
      <c r="O1261" s="53">
        <v>-1697.01</v>
      </c>
      <c r="P1261" s="52"/>
      <c r="Q1261" s="52" t="s">
        <v>2824</v>
      </c>
      <c r="R1261" s="52" t="s">
        <v>64</v>
      </c>
      <c r="S1261" s="52"/>
    </row>
    <row r="1262" spans="2:19" hidden="1" outlineLevel="1" x14ac:dyDescent="0.45">
      <c r="B1262" s="52" t="s">
        <v>2784</v>
      </c>
      <c r="C1262" s="52" t="s">
        <v>774</v>
      </c>
      <c r="D1262" s="52" t="s">
        <v>775</v>
      </c>
      <c r="E1262" s="52" t="s">
        <v>2822</v>
      </c>
      <c r="F1262" s="52" t="s">
        <v>2840</v>
      </c>
      <c r="G1262" s="52" t="s">
        <v>60</v>
      </c>
      <c r="H1262" s="52"/>
      <c r="I1262" s="52" t="s">
        <v>2833</v>
      </c>
      <c r="J1262" s="52" t="s">
        <v>2841</v>
      </c>
      <c r="K1262" s="52"/>
      <c r="L1262" s="52"/>
      <c r="M1262" s="52" t="s">
        <v>29</v>
      </c>
      <c r="N1262" s="53">
        <v>-2359.19</v>
      </c>
      <c r="O1262" s="53">
        <v>-2359.19</v>
      </c>
      <c r="P1262" s="52"/>
      <c r="Q1262" s="52" t="s">
        <v>2824</v>
      </c>
      <c r="R1262" s="52" t="s">
        <v>64</v>
      </c>
      <c r="S1262" s="52"/>
    </row>
    <row r="1263" spans="2:19" hidden="1" outlineLevel="1" x14ac:dyDescent="0.45">
      <c r="B1263" s="52" t="s">
        <v>2784</v>
      </c>
      <c r="C1263" s="52" t="s">
        <v>774</v>
      </c>
      <c r="D1263" s="52" t="s">
        <v>775</v>
      </c>
      <c r="E1263" s="52" t="s">
        <v>2785</v>
      </c>
      <c r="F1263" s="52" t="s">
        <v>2842</v>
      </c>
      <c r="G1263" s="52" t="s">
        <v>60</v>
      </c>
      <c r="H1263" s="52" t="s">
        <v>2832</v>
      </c>
      <c r="I1263" s="52" t="s">
        <v>2833</v>
      </c>
      <c r="J1263" s="52" t="s">
        <v>2843</v>
      </c>
      <c r="K1263" s="52" t="s">
        <v>777</v>
      </c>
      <c r="L1263" s="52" t="s">
        <v>777</v>
      </c>
      <c r="M1263" s="52" t="s">
        <v>29</v>
      </c>
      <c r="N1263" s="53">
        <v>3000</v>
      </c>
      <c r="O1263" s="53">
        <v>3000</v>
      </c>
      <c r="P1263" s="52" t="s">
        <v>778</v>
      </c>
      <c r="Q1263" s="52" t="s">
        <v>2844</v>
      </c>
      <c r="R1263" s="52" t="s">
        <v>64</v>
      </c>
      <c r="S1263" s="52" t="s">
        <v>2839</v>
      </c>
    </row>
    <row r="1264" spans="2:19" hidden="1" outlineLevel="1" x14ac:dyDescent="0.45">
      <c r="B1264" s="52" t="s">
        <v>2784</v>
      </c>
      <c r="C1264" s="52" t="s">
        <v>774</v>
      </c>
      <c r="D1264" s="52" t="s">
        <v>775</v>
      </c>
      <c r="E1264" s="52" t="s">
        <v>2785</v>
      </c>
      <c r="F1264" s="52" t="s">
        <v>2848</v>
      </c>
      <c r="G1264" s="52" t="s">
        <v>60</v>
      </c>
      <c r="H1264" s="52" t="s">
        <v>2832</v>
      </c>
      <c r="I1264" s="52" t="s">
        <v>2833</v>
      </c>
      <c r="J1264" s="52" t="s">
        <v>2841</v>
      </c>
      <c r="K1264" s="52" t="s">
        <v>777</v>
      </c>
      <c r="L1264" s="52" t="s">
        <v>777</v>
      </c>
      <c r="M1264" s="52" t="s">
        <v>29</v>
      </c>
      <c r="N1264" s="53">
        <v>679.01</v>
      </c>
      <c r="O1264" s="53">
        <v>679.01</v>
      </c>
      <c r="P1264" s="52" t="s">
        <v>778</v>
      </c>
      <c r="Q1264" s="52" t="s">
        <v>2849</v>
      </c>
      <c r="R1264" s="52" t="s">
        <v>64</v>
      </c>
      <c r="S1264" s="52" t="s">
        <v>2839</v>
      </c>
    </row>
    <row r="1265" spans="1:19" hidden="1" outlineLevel="1" x14ac:dyDescent="0.45">
      <c r="B1265" s="52" t="s">
        <v>2784</v>
      </c>
      <c r="C1265" s="52" t="s">
        <v>774</v>
      </c>
      <c r="D1265" s="52" t="s">
        <v>775</v>
      </c>
      <c r="E1265" s="52" t="s">
        <v>2785</v>
      </c>
      <c r="F1265" s="52" t="s">
        <v>2848</v>
      </c>
      <c r="G1265" s="52" t="s">
        <v>60</v>
      </c>
      <c r="H1265" s="52" t="s">
        <v>2832</v>
      </c>
      <c r="I1265" s="52" t="s">
        <v>2833</v>
      </c>
      <c r="J1265" s="52" t="s">
        <v>2841</v>
      </c>
      <c r="K1265" s="52" t="s">
        <v>777</v>
      </c>
      <c r="L1265" s="52" t="s">
        <v>777</v>
      </c>
      <c r="M1265" s="52" t="s">
        <v>29</v>
      </c>
      <c r="N1265" s="53">
        <v>1320.99</v>
      </c>
      <c r="O1265" s="53">
        <v>1320.99</v>
      </c>
      <c r="P1265" s="52" t="s">
        <v>778</v>
      </c>
      <c r="Q1265" s="52" t="s">
        <v>2849</v>
      </c>
      <c r="R1265" s="52" t="s">
        <v>64</v>
      </c>
      <c r="S1265" s="52" t="s">
        <v>2839</v>
      </c>
    </row>
    <row r="1266" spans="1:19" hidden="1" outlineLevel="1" x14ac:dyDescent="0.45">
      <c r="B1266" s="52" t="s">
        <v>2784</v>
      </c>
      <c r="C1266" s="52" t="s">
        <v>774</v>
      </c>
      <c r="D1266" s="52" t="s">
        <v>775</v>
      </c>
      <c r="E1266" s="52" t="s">
        <v>2785</v>
      </c>
      <c r="F1266" s="52" t="s">
        <v>2850</v>
      </c>
      <c r="G1266" s="52" t="s">
        <v>60</v>
      </c>
      <c r="H1266" s="52" t="s">
        <v>2832</v>
      </c>
      <c r="I1266" s="52" t="s">
        <v>2833</v>
      </c>
      <c r="J1266" s="52" t="s">
        <v>2851</v>
      </c>
      <c r="K1266" s="52" t="s">
        <v>777</v>
      </c>
      <c r="L1266" s="52" t="s">
        <v>777</v>
      </c>
      <c r="M1266" s="52" t="s">
        <v>29</v>
      </c>
      <c r="N1266" s="53">
        <v>859.91</v>
      </c>
      <c r="O1266" s="53">
        <v>859.91</v>
      </c>
      <c r="P1266" s="52" t="s">
        <v>778</v>
      </c>
      <c r="Q1266" s="52" t="s">
        <v>2852</v>
      </c>
      <c r="R1266" s="52" t="s">
        <v>64</v>
      </c>
      <c r="S1266" s="52" t="s">
        <v>2839</v>
      </c>
    </row>
    <row r="1267" spans="1:19" hidden="1" outlineLevel="1" x14ac:dyDescent="0.45">
      <c r="B1267" s="52" t="s">
        <v>2784</v>
      </c>
      <c r="C1267" s="52" t="s">
        <v>774</v>
      </c>
      <c r="D1267" s="52" t="s">
        <v>775</v>
      </c>
      <c r="E1267" s="52" t="s">
        <v>2785</v>
      </c>
      <c r="F1267" s="52" t="s">
        <v>2853</v>
      </c>
      <c r="G1267" s="52" t="s">
        <v>60</v>
      </c>
      <c r="H1267" s="52" t="s">
        <v>2832</v>
      </c>
      <c r="I1267" s="52" t="s">
        <v>2833</v>
      </c>
      <c r="J1267" s="52" t="s">
        <v>2854</v>
      </c>
      <c r="K1267" s="52" t="s">
        <v>777</v>
      </c>
      <c r="L1267" s="52" t="s">
        <v>777</v>
      </c>
      <c r="M1267" s="52" t="s">
        <v>29</v>
      </c>
      <c r="N1267" s="53">
        <v>18</v>
      </c>
      <c r="O1267" s="53">
        <v>18</v>
      </c>
      <c r="P1267" s="52" t="s">
        <v>778</v>
      </c>
      <c r="Q1267" s="52" t="s">
        <v>2855</v>
      </c>
      <c r="R1267" s="52" t="s">
        <v>64</v>
      </c>
      <c r="S1267" s="52" t="s">
        <v>2839</v>
      </c>
    </row>
    <row r="1268" spans="1:19" collapsed="1" x14ac:dyDescent="0.45">
      <c r="A1268" s="52"/>
      <c r="B1268" s="52"/>
      <c r="C1268" s="52"/>
      <c r="D1268" s="52"/>
      <c r="E1268" s="52"/>
      <c r="F1268" s="52"/>
      <c r="G1268" s="52"/>
      <c r="H1268" s="52"/>
      <c r="I1268" s="52"/>
      <c r="J1268" s="52"/>
      <c r="K1268" s="52"/>
      <c r="L1268" s="52"/>
      <c r="M1268" s="52"/>
      <c r="N1268" s="84"/>
      <c r="O1268" s="86">
        <f>SUM(O1214:O1267)</f>
        <v>2000.0000000000045</v>
      </c>
      <c r="P1268" s="52"/>
      <c r="Q1268" s="52"/>
      <c r="R1268" s="52"/>
      <c r="S1268" s="52"/>
    </row>
    <row r="1270" spans="1:19" x14ac:dyDescent="0.45">
      <c r="O1270" s="68">
        <f>+O96+O679+O822+O995</f>
        <v>2075799.1700000002</v>
      </c>
    </row>
    <row r="1272" spans="1:19" x14ac:dyDescent="0.45">
      <c r="O1272" s="68">
        <f>+O631+O793+O958+O1147</f>
        <v>-5406179.8299999973</v>
      </c>
    </row>
  </sheetData>
  <autoFilter ref="A972:S1166" xr:uid="{4A05A590-54BE-46A9-A0A5-B354BDCBBBC5}">
    <sortState xmlns:xlrd2="http://schemas.microsoft.com/office/spreadsheetml/2017/richdata2" ref="A973:S1166">
      <sortCondition ref="A972:A1166"/>
    </sortState>
  </autoFilter>
  <pageMargins left="0.7" right="0.7" top="0.75" bottom="0.75" header="0.3" footer="0.3"/>
  <pageSetup orientation="portrait" horizontalDpi="0" verticalDpi="0" r:id="rId1"/>
  <ignoredErrors>
    <ignoredError sqref="C1215:C1228 C1229:C1239" numberStoredAsText="1"/>
  </ignoredError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71283-A93B-4CEB-86DF-729357411057}">
  <sheetPr filterMode="1"/>
  <dimension ref="A1:AZ789"/>
  <sheetViews>
    <sheetView workbookViewId="0">
      <pane ySplit="1" topLeftCell="A752" activePane="bottomLeft" state="frozen"/>
      <selection activeCell="A2" sqref="A2"/>
      <selection pane="bottomLeft" activeCell="A752" sqref="A752"/>
    </sheetView>
  </sheetViews>
  <sheetFormatPr baseColWidth="10" defaultColWidth="8.86328125" defaultRowHeight="14.25" outlineLevelRow="2" x14ac:dyDescent="0.45"/>
  <cols>
    <col min="1" max="1" width="9.6640625" customWidth="1"/>
    <col min="2" max="2" width="11.6640625" customWidth="1"/>
    <col min="3" max="3" width="14.1328125" customWidth="1"/>
    <col min="4" max="4" width="22" customWidth="1"/>
    <col min="5" max="5" width="17" hidden="1" customWidth="1"/>
    <col min="6" max="6" width="11.46484375" hidden="1" customWidth="1"/>
    <col min="7" max="8" width="9.796875" hidden="1" customWidth="1"/>
    <col min="9" max="9" width="17.19921875" hidden="1" customWidth="1"/>
    <col min="10" max="10" width="10" customWidth="1"/>
    <col min="11" max="11" width="14" customWidth="1"/>
    <col min="12" max="12" width="18.1328125" hidden="1" customWidth="1"/>
    <col min="13" max="13" width="3.6640625" customWidth="1"/>
    <col min="14" max="14" width="17.3984375" style="68" bestFit="1" customWidth="1"/>
    <col min="15" max="15" width="13.53125" style="68" customWidth="1"/>
    <col min="16" max="16" width="20.53125" customWidth="1"/>
    <col min="17" max="17" width="29.796875" customWidth="1"/>
    <col min="18" max="18" width="8" style="4" customWidth="1"/>
    <col min="19" max="19" width="13.1328125" customWidth="1"/>
  </cols>
  <sheetData>
    <row r="1" spans="1:19" x14ac:dyDescent="0.45">
      <c r="A1" s="44" t="s">
        <v>37</v>
      </c>
      <c r="B1" s="45" t="s">
        <v>38</v>
      </c>
      <c r="C1" s="46" t="s">
        <v>39</v>
      </c>
      <c r="D1" s="46" t="s">
        <v>40</v>
      </c>
      <c r="E1" s="46" t="s">
        <v>41</v>
      </c>
      <c r="F1" s="47" t="s">
        <v>42</v>
      </c>
      <c r="G1" s="47" t="s">
        <v>43</v>
      </c>
      <c r="H1" s="46" t="s">
        <v>44</v>
      </c>
      <c r="I1" s="47" t="s">
        <v>45</v>
      </c>
      <c r="J1" s="46" t="s">
        <v>46</v>
      </c>
      <c r="K1" s="47" t="s">
        <v>47</v>
      </c>
      <c r="L1" s="47" t="s">
        <v>48</v>
      </c>
      <c r="M1" s="45" t="s">
        <v>49</v>
      </c>
      <c r="N1" s="48" t="s">
        <v>50</v>
      </c>
      <c r="O1" s="48" t="s">
        <v>51</v>
      </c>
      <c r="P1" s="47" t="s">
        <v>52</v>
      </c>
      <c r="Q1" s="47" t="s">
        <v>53</v>
      </c>
      <c r="R1" s="49" t="s">
        <v>54</v>
      </c>
      <c r="S1" s="46" t="s">
        <v>55</v>
      </c>
    </row>
    <row r="2" spans="1:19" outlineLevel="2" x14ac:dyDescent="0.45">
      <c r="A2" t="s">
        <v>17</v>
      </c>
      <c r="B2" s="52" t="s">
        <v>57</v>
      </c>
      <c r="C2" s="52" t="s">
        <v>349</v>
      </c>
      <c r="D2" s="52" t="s">
        <v>350</v>
      </c>
      <c r="E2" s="52" t="s">
        <v>387</v>
      </c>
      <c r="F2" s="52" t="s">
        <v>553</v>
      </c>
      <c r="G2" s="52" t="s">
        <v>60</v>
      </c>
      <c r="H2" s="54">
        <v>46023</v>
      </c>
      <c r="I2" s="52" t="s">
        <v>74</v>
      </c>
      <c r="J2" s="52" t="s">
        <v>210</v>
      </c>
      <c r="K2" s="52" t="s">
        <v>554</v>
      </c>
      <c r="L2" s="52" t="s">
        <v>554</v>
      </c>
      <c r="M2" s="52" t="s">
        <v>29</v>
      </c>
      <c r="N2" s="53">
        <v>-1</v>
      </c>
      <c r="O2" s="96">
        <v>-1</v>
      </c>
      <c r="P2" s="52" t="s">
        <v>555</v>
      </c>
      <c r="Q2" s="52" t="s">
        <v>556</v>
      </c>
      <c r="R2" s="52" t="s">
        <v>64</v>
      </c>
      <c r="S2" s="52" t="s">
        <v>210</v>
      </c>
    </row>
    <row r="3" spans="1:19" outlineLevel="2" x14ac:dyDescent="0.45">
      <c r="A3" t="s">
        <v>17</v>
      </c>
      <c r="B3" s="52" t="s">
        <v>57</v>
      </c>
      <c r="C3" s="52" t="s">
        <v>349</v>
      </c>
      <c r="D3" s="52" t="s">
        <v>350</v>
      </c>
      <c r="E3" s="52" t="s">
        <v>387</v>
      </c>
      <c r="F3" s="52" t="s">
        <v>557</v>
      </c>
      <c r="G3" s="52" t="s">
        <v>60</v>
      </c>
      <c r="H3" s="54">
        <v>46023</v>
      </c>
      <c r="I3" s="52" t="s">
        <v>74</v>
      </c>
      <c r="J3" s="52" t="s">
        <v>210</v>
      </c>
      <c r="K3" s="52" t="s">
        <v>554</v>
      </c>
      <c r="L3" s="52" t="s">
        <v>554</v>
      </c>
      <c r="M3" s="52" t="s">
        <v>29</v>
      </c>
      <c r="N3" s="53">
        <v>-1</v>
      </c>
      <c r="O3" s="96">
        <v>-1</v>
      </c>
      <c r="P3" s="52" t="s">
        <v>555</v>
      </c>
      <c r="Q3" s="52" t="s">
        <v>556</v>
      </c>
      <c r="R3" s="52" t="s">
        <v>64</v>
      </c>
      <c r="S3" s="52" t="s">
        <v>210</v>
      </c>
    </row>
    <row r="4" spans="1:19" outlineLevel="2" x14ac:dyDescent="0.45">
      <c r="A4" t="s">
        <v>17</v>
      </c>
      <c r="B4" s="52" t="s">
        <v>57</v>
      </c>
      <c r="C4" s="52" t="s">
        <v>349</v>
      </c>
      <c r="D4" s="52" t="s">
        <v>350</v>
      </c>
      <c r="E4" s="52" t="s">
        <v>387</v>
      </c>
      <c r="F4" s="52" t="s">
        <v>558</v>
      </c>
      <c r="G4" s="52" t="s">
        <v>60</v>
      </c>
      <c r="H4" s="54">
        <v>46023</v>
      </c>
      <c r="I4" s="52" t="s">
        <v>74</v>
      </c>
      <c r="J4" s="52" t="s">
        <v>107</v>
      </c>
      <c r="K4" s="52" t="s">
        <v>554</v>
      </c>
      <c r="L4" s="52" t="s">
        <v>554</v>
      </c>
      <c r="M4" s="52" t="s">
        <v>29</v>
      </c>
      <c r="N4" s="53">
        <v>-3.5</v>
      </c>
      <c r="O4" s="96">
        <v>-3.5</v>
      </c>
      <c r="P4" s="52" t="s">
        <v>555</v>
      </c>
      <c r="Q4" s="52" t="s">
        <v>556</v>
      </c>
      <c r="R4" s="52" t="s">
        <v>64</v>
      </c>
      <c r="S4" s="52" t="s">
        <v>107</v>
      </c>
    </row>
    <row r="5" spans="1:19" outlineLevel="2" x14ac:dyDescent="0.45">
      <c r="A5" t="s">
        <v>17</v>
      </c>
      <c r="B5" s="52" t="s">
        <v>57</v>
      </c>
      <c r="C5" s="52" t="s">
        <v>349</v>
      </c>
      <c r="D5" s="52" t="s">
        <v>350</v>
      </c>
      <c r="E5" s="52" t="s">
        <v>387</v>
      </c>
      <c r="F5" s="52" t="s">
        <v>559</v>
      </c>
      <c r="G5" s="52" t="s">
        <v>60</v>
      </c>
      <c r="H5" s="54">
        <v>46023</v>
      </c>
      <c r="I5" s="52" t="s">
        <v>74</v>
      </c>
      <c r="J5" s="52" t="s">
        <v>107</v>
      </c>
      <c r="K5" s="52" t="s">
        <v>554</v>
      </c>
      <c r="L5" s="52" t="s">
        <v>554</v>
      </c>
      <c r="M5" s="52" t="s">
        <v>29</v>
      </c>
      <c r="N5" s="53">
        <v>-3.5</v>
      </c>
      <c r="O5" s="96">
        <v>-3.5</v>
      </c>
      <c r="P5" s="52" t="s">
        <v>555</v>
      </c>
      <c r="Q5" s="52" t="s">
        <v>556</v>
      </c>
      <c r="R5" s="52" t="s">
        <v>64</v>
      </c>
      <c r="S5" s="52" t="s">
        <v>107</v>
      </c>
    </row>
    <row r="6" spans="1:19" outlineLevel="2" x14ac:dyDescent="0.45">
      <c r="A6" t="s">
        <v>17</v>
      </c>
      <c r="B6" s="52" t="s">
        <v>57</v>
      </c>
      <c r="C6" s="52" t="s">
        <v>349</v>
      </c>
      <c r="D6" s="52" t="s">
        <v>350</v>
      </c>
      <c r="E6" s="52" t="s">
        <v>387</v>
      </c>
      <c r="F6" s="52" t="s">
        <v>560</v>
      </c>
      <c r="G6" s="52" t="s">
        <v>60</v>
      </c>
      <c r="H6" s="54">
        <v>46023</v>
      </c>
      <c r="I6" s="52" t="s">
        <v>74</v>
      </c>
      <c r="J6" s="52" t="s">
        <v>107</v>
      </c>
      <c r="K6" s="52" t="s">
        <v>554</v>
      </c>
      <c r="L6" s="52" t="s">
        <v>554</v>
      </c>
      <c r="M6" s="52" t="s">
        <v>29</v>
      </c>
      <c r="N6" s="53">
        <v>-3.5</v>
      </c>
      <c r="O6" s="96">
        <v>-3.5</v>
      </c>
      <c r="P6" s="52" t="s">
        <v>555</v>
      </c>
      <c r="Q6" s="52" t="s">
        <v>556</v>
      </c>
      <c r="R6" s="52" t="s">
        <v>64</v>
      </c>
      <c r="S6" s="52" t="s">
        <v>107</v>
      </c>
    </row>
    <row r="7" spans="1:19" outlineLevel="2" x14ac:dyDescent="0.45">
      <c r="A7" t="s">
        <v>17</v>
      </c>
      <c r="B7" s="52" t="s">
        <v>57</v>
      </c>
      <c r="C7" s="52" t="s">
        <v>349</v>
      </c>
      <c r="D7" s="52" t="s">
        <v>350</v>
      </c>
      <c r="E7" s="52" t="s">
        <v>387</v>
      </c>
      <c r="F7" s="52" t="s">
        <v>561</v>
      </c>
      <c r="G7" s="52" t="s">
        <v>60</v>
      </c>
      <c r="H7" s="54">
        <v>46023</v>
      </c>
      <c r="I7" s="52" t="s">
        <v>74</v>
      </c>
      <c r="J7" s="52" t="s">
        <v>107</v>
      </c>
      <c r="K7" s="52" t="s">
        <v>554</v>
      </c>
      <c r="L7" s="52" t="s">
        <v>554</v>
      </c>
      <c r="M7" s="52" t="s">
        <v>29</v>
      </c>
      <c r="N7" s="53">
        <v>-3.5</v>
      </c>
      <c r="O7" s="96">
        <v>-3.5</v>
      </c>
      <c r="P7" s="52" t="s">
        <v>555</v>
      </c>
      <c r="Q7" s="52" t="s">
        <v>556</v>
      </c>
      <c r="R7" s="52" t="s">
        <v>64</v>
      </c>
      <c r="S7" s="52" t="s">
        <v>107</v>
      </c>
    </row>
    <row r="8" spans="1:19" outlineLevel="2" x14ac:dyDescent="0.45">
      <c r="A8" t="s">
        <v>17</v>
      </c>
      <c r="B8" s="52" t="s">
        <v>57</v>
      </c>
      <c r="C8" s="52" t="s">
        <v>349</v>
      </c>
      <c r="D8" s="52" t="s">
        <v>350</v>
      </c>
      <c r="E8" s="52" t="s">
        <v>387</v>
      </c>
      <c r="F8" s="52" t="s">
        <v>562</v>
      </c>
      <c r="G8" s="52" t="s">
        <v>60</v>
      </c>
      <c r="H8" s="54">
        <v>46023</v>
      </c>
      <c r="I8" s="52" t="s">
        <v>74</v>
      </c>
      <c r="J8" s="52" t="s">
        <v>107</v>
      </c>
      <c r="K8" s="52" t="s">
        <v>554</v>
      </c>
      <c r="L8" s="52" t="s">
        <v>554</v>
      </c>
      <c r="M8" s="52" t="s">
        <v>29</v>
      </c>
      <c r="N8" s="53">
        <v>-3.5</v>
      </c>
      <c r="O8" s="96">
        <v>-3.5</v>
      </c>
      <c r="P8" s="52" t="s">
        <v>555</v>
      </c>
      <c r="Q8" s="52" t="s">
        <v>556</v>
      </c>
      <c r="R8" s="52" t="s">
        <v>64</v>
      </c>
      <c r="S8" s="52" t="s">
        <v>107</v>
      </c>
    </row>
    <row r="9" spans="1:19" outlineLevel="2" x14ac:dyDescent="0.45">
      <c r="A9" t="s">
        <v>17</v>
      </c>
      <c r="B9" s="52" t="s">
        <v>57</v>
      </c>
      <c r="C9" s="52" t="s">
        <v>349</v>
      </c>
      <c r="D9" s="52" t="s">
        <v>350</v>
      </c>
      <c r="E9" s="52" t="s">
        <v>387</v>
      </c>
      <c r="F9" s="52" t="s">
        <v>563</v>
      </c>
      <c r="G9" s="52" t="s">
        <v>60</v>
      </c>
      <c r="H9" s="54">
        <v>46023</v>
      </c>
      <c r="I9" s="52" t="s">
        <v>74</v>
      </c>
      <c r="J9" s="52" t="s">
        <v>107</v>
      </c>
      <c r="K9" s="52" t="s">
        <v>554</v>
      </c>
      <c r="L9" s="52" t="s">
        <v>554</v>
      </c>
      <c r="M9" s="52" t="s">
        <v>29</v>
      </c>
      <c r="N9" s="53">
        <v>-3.5</v>
      </c>
      <c r="O9" s="96">
        <v>-3.5</v>
      </c>
      <c r="P9" s="52" t="s">
        <v>555</v>
      </c>
      <c r="Q9" s="52" t="s">
        <v>556</v>
      </c>
      <c r="R9" s="52" t="s">
        <v>64</v>
      </c>
      <c r="S9" s="52" t="s">
        <v>107</v>
      </c>
    </row>
    <row r="10" spans="1:19" outlineLevel="2" x14ac:dyDescent="0.45">
      <c r="A10" t="s">
        <v>17</v>
      </c>
      <c r="B10" s="52" t="s">
        <v>57</v>
      </c>
      <c r="C10" s="52" t="s">
        <v>349</v>
      </c>
      <c r="D10" s="52" t="s">
        <v>350</v>
      </c>
      <c r="E10" s="52" t="s">
        <v>387</v>
      </c>
      <c r="F10" s="52" t="s">
        <v>564</v>
      </c>
      <c r="G10" s="52" t="s">
        <v>60</v>
      </c>
      <c r="H10" s="54">
        <v>46023</v>
      </c>
      <c r="I10" s="52" t="s">
        <v>74</v>
      </c>
      <c r="J10" s="52" t="s">
        <v>107</v>
      </c>
      <c r="K10" s="52" t="s">
        <v>554</v>
      </c>
      <c r="L10" s="52" t="s">
        <v>554</v>
      </c>
      <c r="M10" s="52" t="s">
        <v>29</v>
      </c>
      <c r="N10" s="53">
        <v>-3.5</v>
      </c>
      <c r="O10" s="96">
        <v>-3.5</v>
      </c>
      <c r="P10" s="52" t="s">
        <v>555</v>
      </c>
      <c r="Q10" s="52" t="s">
        <v>556</v>
      </c>
      <c r="R10" s="52" t="s">
        <v>64</v>
      </c>
      <c r="S10" s="52" t="s">
        <v>107</v>
      </c>
    </row>
    <row r="11" spans="1:19" outlineLevel="2" x14ac:dyDescent="0.45">
      <c r="A11" t="s">
        <v>17</v>
      </c>
      <c r="B11" s="52" t="s">
        <v>57</v>
      </c>
      <c r="C11" s="52" t="s">
        <v>349</v>
      </c>
      <c r="D11" s="52" t="s">
        <v>350</v>
      </c>
      <c r="E11" s="52" t="s">
        <v>387</v>
      </c>
      <c r="F11" s="52" t="s">
        <v>565</v>
      </c>
      <c r="G11" s="52" t="s">
        <v>60</v>
      </c>
      <c r="H11" s="54">
        <v>46023</v>
      </c>
      <c r="I11" s="52" t="s">
        <v>74</v>
      </c>
      <c r="J11" s="52" t="s">
        <v>107</v>
      </c>
      <c r="K11" s="52" t="s">
        <v>554</v>
      </c>
      <c r="L11" s="52" t="s">
        <v>554</v>
      </c>
      <c r="M11" s="52" t="s">
        <v>29</v>
      </c>
      <c r="N11" s="53">
        <v>-3.5</v>
      </c>
      <c r="O11" s="96">
        <v>-3.5</v>
      </c>
      <c r="P11" s="52" t="s">
        <v>555</v>
      </c>
      <c r="Q11" s="52" t="s">
        <v>556</v>
      </c>
      <c r="R11" s="52" t="s">
        <v>64</v>
      </c>
      <c r="S11" s="52" t="s">
        <v>107</v>
      </c>
    </row>
    <row r="12" spans="1:19" outlineLevel="2" x14ac:dyDescent="0.45">
      <c r="A12" t="s">
        <v>17</v>
      </c>
      <c r="B12" s="52" t="s">
        <v>57</v>
      </c>
      <c r="C12" s="52" t="s">
        <v>349</v>
      </c>
      <c r="D12" s="52" t="s">
        <v>350</v>
      </c>
      <c r="E12" s="52" t="s">
        <v>387</v>
      </c>
      <c r="F12" s="52" t="s">
        <v>566</v>
      </c>
      <c r="G12" s="52" t="s">
        <v>60</v>
      </c>
      <c r="H12" s="54">
        <v>46023</v>
      </c>
      <c r="I12" s="52" t="s">
        <v>74</v>
      </c>
      <c r="J12" s="52" t="s">
        <v>107</v>
      </c>
      <c r="K12" s="52" t="s">
        <v>554</v>
      </c>
      <c r="L12" s="52" t="s">
        <v>554</v>
      </c>
      <c r="M12" s="52" t="s">
        <v>29</v>
      </c>
      <c r="N12" s="53">
        <v>-3.5</v>
      </c>
      <c r="O12" s="96">
        <v>-3.5</v>
      </c>
      <c r="P12" s="52" t="s">
        <v>555</v>
      </c>
      <c r="Q12" s="52" t="s">
        <v>556</v>
      </c>
      <c r="R12" s="52" t="s">
        <v>64</v>
      </c>
      <c r="S12" s="52" t="s">
        <v>107</v>
      </c>
    </row>
    <row r="13" spans="1:19" outlineLevel="2" x14ac:dyDescent="0.45">
      <c r="A13" t="s">
        <v>17</v>
      </c>
      <c r="B13" s="52" t="s">
        <v>57</v>
      </c>
      <c r="C13" s="52" t="s">
        <v>349</v>
      </c>
      <c r="D13" s="52" t="s">
        <v>350</v>
      </c>
      <c r="E13" s="52" t="s">
        <v>387</v>
      </c>
      <c r="F13" s="52" t="s">
        <v>567</v>
      </c>
      <c r="G13" s="52" t="s">
        <v>60</v>
      </c>
      <c r="H13" s="54">
        <v>46023</v>
      </c>
      <c r="I13" s="52" t="s">
        <v>74</v>
      </c>
      <c r="J13" s="52" t="s">
        <v>107</v>
      </c>
      <c r="K13" s="52" t="s">
        <v>554</v>
      </c>
      <c r="L13" s="52" t="s">
        <v>554</v>
      </c>
      <c r="M13" s="52" t="s">
        <v>29</v>
      </c>
      <c r="N13" s="53">
        <v>-3.5</v>
      </c>
      <c r="O13" s="96">
        <v>-3.5</v>
      </c>
      <c r="P13" s="52" t="s">
        <v>555</v>
      </c>
      <c r="Q13" s="52" t="s">
        <v>556</v>
      </c>
      <c r="R13" s="52" t="s">
        <v>64</v>
      </c>
      <c r="S13" s="52" t="s">
        <v>107</v>
      </c>
    </row>
    <row r="14" spans="1:19" outlineLevel="2" x14ac:dyDescent="0.45">
      <c r="A14" t="s">
        <v>17</v>
      </c>
      <c r="B14" s="52" t="s">
        <v>57</v>
      </c>
      <c r="C14" s="52" t="s">
        <v>349</v>
      </c>
      <c r="D14" s="52" t="s">
        <v>350</v>
      </c>
      <c r="E14" s="52" t="s">
        <v>387</v>
      </c>
      <c r="F14" s="52" t="s">
        <v>568</v>
      </c>
      <c r="G14" s="52" t="s">
        <v>60</v>
      </c>
      <c r="H14" s="54">
        <v>46023</v>
      </c>
      <c r="I14" s="52" t="s">
        <v>74</v>
      </c>
      <c r="J14" s="52" t="s">
        <v>107</v>
      </c>
      <c r="K14" s="52" t="s">
        <v>554</v>
      </c>
      <c r="L14" s="52" t="s">
        <v>554</v>
      </c>
      <c r="M14" s="52" t="s">
        <v>29</v>
      </c>
      <c r="N14" s="53">
        <v>-3.5</v>
      </c>
      <c r="O14" s="96">
        <v>-3.5</v>
      </c>
      <c r="P14" s="52" t="s">
        <v>555</v>
      </c>
      <c r="Q14" s="52" t="s">
        <v>556</v>
      </c>
      <c r="R14" s="52" t="s">
        <v>64</v>
      </c>
      <c r="S14" s="52" t="s">
        <v>107</v>
      </c>
    </row>
    <row r="15" spans="1:19" outlineLevel="2" x14ac:dyDescent="0.45">
      <c r="A15" t="s">
        <v>17</v>
      </c>
      <c r="B15" s="52" t="s">
        <v>57</v>
      </c>
      <c r="C15" s="52" t="s">
        <v>349</v>
      </c>
      <c r="D15" s="52" t="s">
        <v>350</v>
      </c>
      <c r="E15" s="52" t="s">
        <v>387</v>
      </c>
      <c r="F15" s="52" t="s">
        <v>569</v>
      </c>
      <c r="G15" s="52" t="s">
        <v>60</v>
      </c>
      <c r="H15" s="54">
        <v>46023</v>
      </c>
      <c r="I15" s="52" t="s">
        <v>74</v>
      </c>
      <c r="J15" s="52" t="s">
        <v>107</v>
      </c>
      <c r="K15" s="52" t="s">
        <v>554</v>
      </c>
      <c r="L15" s="52" t="s">
        <v>554</v>
      </c>
      <c r="M15" s="52" t="s">
        <v>29</v>
      </c>
      <c r="N15" s="53">
        <v>-3.5</v>
      </c>
      <c r="O15" s="96">
        <v>-3.5</v>
      </c>
      <c r="P15" s="52" t="s">
        <v>555</v>
      </c>
      <c r="Q15" s="52" t="s">
        <v>556</v>
      </c>
      <c r="R15" s="52" t="s">
        <v>64</v>
      </c>
      <c r="S15" s="52" t="s">
        <v>107</v>
      </c>
    </row>
    <row r="16" spans="1:19" outlineLevel="2" x14ac:dyDescent="0.45">
      <c r="A16" t="s">
        <v>17</v>
      </c>
      <c r="B16" s="52" t="s">
        <v>57</v>
      </c>
      <c r="C16" s="52" t="s">
        <v>349</v>
      </c>
      <c r="D16" s="52" t="s">
        <v>350</v>
      </c>
      <c r="E16" s="52" t="s">
        <v>387</v>
      </c>
      <c r="F16" s="52" t="s">
        <v>570</v>
      </c>
      <c r="G16" s="52" t="s">
        <v>60</v>
      </c>
      <c r="H16" s="54">
        <v>46023</v>
      </c>
      <c r="I16" s="52" t="s">
        <v>74</v>
      </c>
      <c r="J16" s="52" t="s">
        <v>210</v>
      </c>
      <c r="K16" s="52" t="s">
        <v>554</v>
      </c>
      <c r="L16" s="52" t="s">
        <v>554</v>
      </c>
      <c r="M16" s="52" t="s">
        <v>29</v>
      </c>
      <c r="N16" s="53">
        <v>-3.5</v>
      </c>
      <c r="O16" s="96">
        <v>-3.5</v>
      </c>
      <c r="P16" s="52" t="s">
        <v>555</v>
      </c>
      <c r="Q16" s="52" t="s">
        <v>556</v>
      </c>
      <c r="R16" s="52" t="s">
        <v>64</v>
      </c>
      <c r="S16" s="52" t="s">
        <v>210</v>
      </c>
    </row>
    <row r="17" spans="1:19" outlineLevel="2" x14ac:dyDescent="0.45">
      <c r="A17" t="s">
        <v>17</v>
      </c>
      <c r="B17" s="52" t="s">
        <v>57</v>
      </c>
      <c r="C17" s="52" t="s">
        <v>349</v>
      </c>
      <c r="D17" s="52" t="s">
        <v>350</v>
      </c>
      <c r="E17" s="52" t="s">
        <v>387</v>
      </c>
      <c r="F17" s="52" t="s">
        <v>571</v>
      </c>
      <c r="G17" s="52" t="s">
        <v>60</v>
      </c>
      <c r="H17" s="54">
        <v>46023</v>
      </c>
      <c r="I17" s="52" t="s">
        <v>74</v>
      </c>
      <c r="J17" s="52" t="s">
        <v>99</v>
      </c>
      <c r="K17" s="52" t="s">
        <v>554</v>
      </c>
      <c r="L17" s="52" t="s">
        <v>554</v>
      </c>
      <c r="M17" s="52" t="s">
        <v>29</v>
      </c>
      <c r="N17" s="53">
        <v>-4.3</v>
      </c>
      <c r="O17" s="96">
        <v>-4.3</v>
      </c>
      <c r="P17" s="52" t="s">
        <v>555</v>
      </c>
      <c r="Q17" s="52" t="s">
        <v>556</v>
      </c>
      <c r="R17" s="52" t="s">
        <v>64</v>
      </c>
      <c r="S17" s="52" t="s">
        <v>99</v>
      </c>
    </row>
    <row r="18" spans="1:19" outlineLevel="2" x14ac:dyDescent="0.45">
      <c r="A18" t="s">
        <v>17</v>
      </c>
      <c r="B18" s="52" t="s">
        <v>57</v>
      </c>
      <c r="C18" s="52" t="s">
        <v>349</v>
      </c>
      <c r="D18" s="52" t="s">
        <v>350</v>
      </c>
      <c r="E18" s="52" t="s">
        <v>387</v>
      </c>
      <c r="F18" s="52" t="s">
        <v>572</v>
      </c>
      <c r="G18" s="52" t="s">
        <v>60</v>
      </c>
      <c r="H18" s="54">
        <v>46023</v>
      </c>
      <c r="I18" s="52" t="s">
        <v>74</v>
      </c>
      <c r="J18" s="52" t="s">
        <v>210</v>
      </c>
      <c r="K18" s="52" t="s">
        <v>554</v>
      </c>
      <c r="L18" s="52" t="s">
        <v>554</v>
      </c>
      <c r="M18" s="52" t="s">
        <v>29</v>
      </c>
      <c r="N18" s="53">
        <v>-4.3</v>
      </c>
      <c r="O18" s="96">
        <v>-4.3</v>
      </c>
      <c r="P18" s="52" t="s">
        <v>555</v>
      </c>
      <c r="Q18" s="52" t="s">
        <v>556</v>
      </c>
      <c r="R18" s="52" t="s">
        <v>64</v>
      </c>
      <c r="S18" s="52" t="s">
        <v>210</v>
      </c>
    </row>
    <row r="19" spans="1:19" outlineLevel="2" x14ac:dyDescent="0.45">
      <c r="A19" t="s">
        <v>17</v>
      </c>
      <c r="B19" s="52" t="s">
        <v>57</v>
      </c>
      <c r="C19" s="52" t="s">
        <v>349</v>
      </c>
      <c r="D19" s="52" t="s">
        <v>350</v>
      </c>
      <c r="E19" s="52" t="s">
        <v>387</v>
      </c>
      <c r="F19" s="52" t="s">
        <v>573</v>
      </c>
      <c r="G19" s="52" t="s">
        <v>60</v>
      </c>
      <c r="H19" s="54">
        <v>46023</v>
      </c>
      <c r="I19" s="52" t="s">
        <v>74</v>
      </c>
      <c r="J19" s="52" t="s">
        <v>210</v>
      </c>
      <c r="K19" s="52" t="s">
        <v>554</v>
      </c>
      <c r="L19" s="52" t="s">
        <v>554</v>
      </c>
      <c r="M19" s="52" t="s">
        <v>29</v>
      </c>
      <c r="N19" s="53">
        <v>-4.3</v>
      </c>
      <c r="O19" s="96">
        <v>-4.3</v>
      </c>
      <c r="P19" s="52" t="s">
        <v>555</v>
      </c>
      <c r="Q19" s="52" t="s">
        <v>556</v>
      </c>
      <c r="R19" s="52" t="s">
        <v>64</v>
      </c>
      <c r="S19" s="52" t="s">
        <v>210</v>
      </c>
    </row>
    <row r="20" spans="1:19" outlineLevel="2" x14ac:dyDescent="0.45">
      <c r="A20" t="s">
        <v>17</v>
      </c>
      <c r="B20" s="52" t="s">
        <v>57</v>
      </c>
      <c r="C20" s="52" t="s">
        <v>349</v>
      </c>
      <c r="D20" s="52" t="s">
        <v>350</v>
      </c>
      <c r="E20" s="52" t="s">
        <v>387</v>
      </c>
      <c r="F20" s="52" t="s">
        <v>574</v>
      </c>
      <c r="G20" s="52" t="s">
        <v>60</v>
      </c>
      <c r="H20" s="54">
        <v>46023</v>
      </c>
      <c r="I20" s="52" t="s">
        <v>74</v>
      </c>
      <c r="J20" s="52" t="s">
        <v>210</v>
      </c>
      <c r="K20" s="52" t="s">
        <v>554</v>
      </c>
      <c r="L20" s="52" t="s">
        <v>554</v>
      </c>
      <c r="M20" s="52" t="s">
        <v>29</v>
      </c>
      <c r="N20" s="53">
        <v>-4.3</v>
      </c>
      <c r="O20" s="96">
        <v>-4.3</v>
      </c>
      <c r="P20" s="52" t="s">
        <v>555</v>
      </c>
      <c r="Q20" s="52" t="s">
        <v>556</v>
      </c>
      <c r="R20" s="52" t="s">
        <v>64</v>
      </c>
      <c r="S20" s="52" t="s">
        <v>210</v>
      </c>
    </row>
    <row r="21" spans="1:19" outlineLevel="2" x14ac:dyDescent="0.45">
      <c r="A21" t="s">
        <v>17</v>
      </c>
      <c r="B21" s="52" t="s">
        <v>57</v>
      </c>
      <c r="C21" s="52" t="s">
        <v>349</v>
      </c>
      <c r="D21" s="52" t="s">
        <v>350</v>
      </c>
      <c r="E21" s="52" t="s">
        <v>387</v>
      </c>
      <c r="F21" s="52" t="s">
        <v>575</v>
      </c>
      <c r="G21" s="52" t="s">
        <v>60</v>
      </c>
      <c r="H21" s="54">
        <v>46023</v>
      </c>
      <c r="I21" s="52" t="s">
        <v>74</v>
      </c>
      <c r="J21" s="52" t="s">
        <v>210</v>
      </c>
      <c r="K21" s="52" t="s">
        <v>554</v>
      </c>
      <c r="L21" s="52" t="s">
        <v>554</v>
      </c>
      <c r="M21" s="52" t="s">
        <v>29</v>
      </c>
      <c r="N21" s="53">
        <v>-4.3</v>
      </c>
      <c r="O21" s="96">
        <v>-4.3</v>
      </c>
      <c r="P21" s="52" t="s">
        <v>555</v>
      </c>
      <c r="Q21" s="52" t="s">
        <v>556</v>
      </c>
      <c r="R21" s="52" t="s">
        <v>64</v>
      </c>
      <c r="S21" s="52" t="s">
        <v>210</v>
      </c>
    </row>
    <row r="22" spans="1:19" outlineLevel="2" x14ac:dyDescent="0.45">
      <c r="A22" t="s">
        <v>17</v>
      </c>
      <c r="B22" s="52" t="s">
        <v>57</v>
      </c>
      <c r="C22" s="52" t="s">
        <v>349</v>
      </c>
      <c r="D22" s="52" t="s">
        <v>350</v>
      </c>
      <c r="E22" s="52" t="s">
        <v>387</v>
      </c>
      <c r="F22" s="52" t="s">
        <v>576</v>
      </c>
      <c r="G22" s="52" t="s">
        <v>60</v>
      </c>
      <c r="H22" s="54">
        <v>46023</v>
      </c>
      <c r="I22" s="52" t="s">
        <v>74</v>
      </c>
      <c r="J22" s="52" t="s">
        <v>210</v>
      </c>
      <c r="K22" s="52" t="s">
        <v>554</v>
      </c>
      <c r="L22" s="52" t="s">
        <v>554</v>
      </c>
      <c r="M22" s="52" t="s">
        <v>29</v>
      </c>
      <c r="N22" s="53">
        <v>-4.3</v>
      </c>
      <c r="O22" s="96">
        <v>-4.3</v>
      </c>
      <c r="P22" s="52" t="s">
        <v>555</v>
      </c>
      <c r="Q22" s="52" t="s">
        <v>556</v>
      </c>
      <c r="R22" s="52" t="s">
        <v>64</v>
      </c>
      <c r="S22" s="52" t="s">
        <v>210</v>
      </c>
    </row>
    <row r="23" spans="1:19" outlineLevel="2" x14ac:dyDescent="0.45">
      <c r="A23" t="s">
        <v>17</v>
      </c>
      <c r="B23" s="52" t="s">
        <v>57</v>
      </c>
      <c r="C23" s="52" t="s">
        <v>349</v>
      </c>
      <c r="D23" s="52" t="s">
        <v>350</v>
      </c>
      <c r="E23" s="52" t="s">
        <v>387</v>
      </c>
      <c r="F23" s="52" t="s">
        <v>577</v>
      </c>
      <c r="G23" s="52" t="s">
        <v>60</v>
      </c>
      <c r="H23" s="54">
        <v>46023</v>
      </c>
      <c r="I23" s="52" t="s">
        <v>74</v>
      </c>
      <c r="J23" s="52" t="s">
        <v>210</v>
      </c>
      <c r="K23" s="52" t="s">
        <v>554</v>
      </c>
      <c r="L23" s="52" t="s">
        <v>554</v>
      </c>
      <c r="M23" s="52" t="s">
        <v>29</v>
      </c>
      <c r="N23" s="53">
        <v>-4.3</v>
      </c>
      <c r="O23" s="96">
        <v>-4.3</v>
      </c>
      <c r="P23" s="52" t="s">
        <v>555</v>
      </c>
      <c r="Q23" s="52" t="s">
        <v>556</v>
      </c>
      <c r="R23" s="52" t="s">
        <v>64</v>
      </c>
      <c r="S23" s="52" t="s">
        <v>210</v>
      </c>
    </row>
    <row r="24" spans="1:19" outlineLevel="2" x14ac:dyDescent="0.45">
      <c r="A24" t="s">
        <v>17</v>
      </c>
      <c r="B24" s="52" t="s">
        <v>57</v>
      </c>
      <c r="C24" s="52" t="s">
        <v>349</v>
      </c>
      <c r="D24" s="52" t="s">
        <v>350</v>
      </c>
      <c r="E24" s="52" t="s">
        <v>387</v>
      </c>
      <c r="F24" s="52" t="s">
        <v>578</v>
      </c>
      <c r="G24" s="52" t="s">
        <v>60</v>
      </c>
      <c r="H24" s="54">
        <v>46023</v>
      </c>
      <c r="I24" s="52" t="s">
        <v>74</v>
      </c>
      <c r="J24" s="52" t="s">
        <v>210</v>
      </c>
      <c r="K24" s="52" t="s">
        <v>554</v>
      </c>
      <c r="L24" s="52" t="s">
        <v>554</v>
      </c>
      <c r="M24" s="52" t="s">
        <v>29</v>
      </c>
      <c r="N24" s="53">
        <v>-4.3</v>
      </c>
      <c r="O24" s="96">
        <v>-4.3</v>
      </c>
      <c r="P24" s="52" t="s">
        <v>555</v>
      </c>
      <c r="Q24" s="52" t="s">
        <v>556</v>
      </c>
      <c r="R24" s="52" t="s">
        <v>64</v>
      </c>
      <c r="S24" s="52" t="s">
        <v>210</v>
      </c>
    </row>
    <row r="25" spans="1:19" outlineLevel="2" x14ac:dyDescent="0.45">
      <c r="A25" t="s">
        <v>17</v>
      </c>
      <c r="B25" s="52" t="s">
        <v>57</v>
      </c>
      <c r="C25" s="52" t="s">
        <v>349</v>
      </c>
      <c r="D25" s="52" t="s">
        <v>350</v>
      </c>
      <c r="E25" s="52" t="s">
        <v>387</v>
      </c>
      <c r="F25" s="52" t="s">
        <v>579</v>
      </c>
      <c r="G25" s="52" t="s">
        <v>60</v>
      </c>
      <c r="H25" s="54">
        <v>46023</v>
      </c>
      <c r="I25" s="52" t="s">
        <v>74</v>
      </c>
      <c r="J25" s="52" t="s">
        <v>210</v>
      </c>
      <c r="K25" s="52" t="s">
        <v>554</v>
      </c>
      <c r="L25" s="52" t="s">
        <v>554</v>
      </c>
      <c r="M25" s="52" t="s">
        <v>29</v>
      </c>
      <c r="N25" s="53">
        <v>-4.3</v>
      </c>
      <c r="O25" s="96">
        <v>-4.3</v>
      </c>
      <c r="P25" s="52" t="s">
        <v>555</v>
      </c>
      <c r="Q25" s="52" t="s">
        <v>556</v>
      </c>
      <c r="R25" s="52" t="s">
        <v>64</v>
      </c>
      <c r="S25" s="52" t="s">
        <v>210</v>
      </c>
    </row>
    <row r="26" spans="1:19" outlineLevel="2" x14ac:dyDescent="0.45">
      <c r="A26" t="s">
        <v>17</v>
      </c>
      <c r="B26" s="52" t="s">
        <v>57</v>
      </c>
      <c r="C26" s="52" t="s">
        <v>349</v>
      </c>
      <c r="D26" s="52" t="s">
        <v>350</v>
      </c>
      <c r="E26" s="52" t="s">
        <v>387</v>
      </c>
      <c r="F26" s="52" t="s">
        <v>580</v>
      </c>
      <c r="G26" s="52" t="s">
        <v>60</v>
      </c>
      <c r="H26" s="54">
        <v>46023</v>
      </c>
      <c r="I26" s="52" t="s">
        <v>74</v>
      </c>
      <c r="J26" s="52" t="s">
        <v>210</v>
      </c>
      <c r="K26" s="52" t="s">
        <v>554</v>
      </c>
      <c r="L26" s="52" t="s">
        <v>554</v>
      </c>
      <c r="M26" s="52" t="s">
        <v>29</v>
      </c>
      <c r="N26" s="53">
        <v>-4.3</v>
      </c>
      <c r="O26" s="96">
        <v>-4.3</v>
      </c>
      <c r="P26" s="52" t="s">
        <v>555</v>
      </c>
      <c r="Q26" s="52" t="s">
        <v>556</v>
      </c>
      <c r="R26" s="52" t="s">
        <v>64</v>
      </c>
      <c r="S26" s="52" t="s">
        <v>210</v>
      </c>
    </row>
    <row r="27" spans="1:19" outlineLevel="2" x14ac:dyDescent="0.45">
      <c r="A27" t="s">
        <v>17</v>
      </c>
      <c r="B27" s="52" t="s">
        <v>57</v>
      </c>
      <c r="C27" s="52" t="s">
        <v>349</v>
      </c>
      <c r="D27" s="52" t="s">
        <v>350</v>
      </c>
      <c r="E27" s="52" t="s">
        <v>387</v>
      </c>
      <c r="F27" s="52" t="s">
        <v>581</v>
      </c>
      <c r="G27" s="52" t="s">
        <v>60</v>
      </c>
      <c r="H27" s="54">
        <v>46023</v>
      </c>
      <c r="I27" s="52" t="s">
        <v>74</v>
      </c>
      <c r="J27" s="52" t="s">
        <v>210</v>
      </c>
      <c r="K27" s="52" t="s">
        <v>554</v>
      </c>
      <c r="L27" s="52" t="s">
        <v>554</v>
      </c>
      <c r="M27" s="52" t="s">
        <v>29</v>
      </c>
      <c r="N27" s="53">
        <v>-4.3</v>
      </c>
      <c r="O27" s="96">
        <v>-4.3</v>
      </c>
      <c r="P27" s="52" t="s">
        <v>555</v>
      </c>
      <c r="Q27" s="52" t="s">
        <v>556</v>
      </c>
      <c r="R27" s="52" t="s">
        <v>64</v>
      </c>
      <c r="S27" s="52" t="s">
        <v>210</v>
      </c>
    </row>
    <row r="28" spans="1:19" outlineLevel="2" x14ac:dyDescent="0.45">
      <c r="A28" t="s">
        <v>17</v>
      </c>
      <c r="B28" s="52" t="s">
        <v>57</v>
      </c>
      <c r="C28" s="52" t="s">
        <v>349</v>
      </c>
      <c r="D28" s="52" t="s">
        <v>350</v>
      </c>
      <c r="E28" s="52" t="s">
        <v>387</v>
      </c>
      <c r="F28" s="52" t="s">
        <v>582</v>
      </c>
      <c r="G28" s="52" t="s">
        <v>60</v>
      </c>
      <c r="H28" s="54">
        <v>46023</v>
      </c>
      <c r="I28" s="52" t="s">
        <v>74</v>
      </c>
      <c r="J28" s="52" t="s">
        <v>210</v>
      </c>
      <c r="K28" s="52" t="s">
        <v>554</v>
      </c>
      <c r="L28" s="52" t="s">
        <v>554</v>
      </c>
      <c r="M28" s="52" t="s">
        <v>29</v>
      </c>
      <c r="N28" s="53">
        <v>-4.3</v>
      </c>
      <c r="O28" s="96">
        <v>-4.3</v>
      </c>
      <c r="P28" s="52" t="s">
        <v>555</v>
      </c>
      <c r="Q28" s="52" t="s">
        <v>556</v>
      </c>
      <c r="R28" s="52" t="s">
        <v>64</v>
      </c>
      <c r="S28" s="52" t="s">
        <v>210</v>
      </c>
    </row>
    <row r="29" spans="1:19" outlineLevel="2" x14ac:dyDescent="0.45">
      <c r="A29" t="s">
        <v>17</v>
      </c>
      <c r="B29" s="52" t="s">
        <v>57</v>
      </c>
      <c r="C29" s="52" t="s">
        <v>349</v>
      </c>
      <c r="D29" s="52" t="s">
        <v>350</v>
      </c>
      <c r="E29" s="52" t="s">
        <v>387</v>
      </c>
      <c r="F29" s="52" t="s">
        <v>583</v>
      </c>
      <c r="G29" s="52" t="s">
        <v>60</v>
      </c>
      <c r="H29" s="54">
        <v>46023</v>
      </c>
      <c r="I29" s="52" t="s">
        <v>74</v>
      </c>
      <c r="J29" s="52" t="s">
        <v>210</v>
      </c>
      <c r="K29" s="52" t="s">
        <v>554</v>
      </c>
      <c r="L29" s="52" t="s">
        <v>554</v>
      </c>
      <c r="M29" s="52" t="s">
        <v>29</v>
      </c>
      <c r="N29" s="53">
        <v>-4.3</v>
      </c>
      <c r="O29" s="96">
        <v>-4.3</v>
      </c>
      <c r="P29" s="52" t="s">
        <v>555</v>
      </c>
      <c r="Q29" s="52" t="s">
        <v>556</v>
      </c>
      <c r="R29" s="52" t="s">
        <v>64</v>
      </c>
      <c r="S29" s="52" t="s">
        <v>210</v>
      </c>
    </row>
    <row r="30" spans="1:19" outlineLevel="2" x14ac:dyDescent="0.45">
      <c r="A30" t="s">
        <v>17</v>
      </c>
      <c r="B30" s="52" t="s">
        <v>57</v>
      </c>
      <c r="C30" s="52" t="s">
        <v>349</v>
      </c>
      <c r="D30" s="52" t="s">
        <v>350</v>
      </c>
      <c r="E30" s="52" t="s">
        <v>387</v>
      </c>
      <c r="F30" s="52" t="s">
        <v>584</v>
      </c>
      <c r="G30" s="52" t="s">
        <v>60</v>
      </c>
      <c r="H30" s="54">
        <v>46023</v>
      </c>
      <c r="I30" s="52" t="s">
        <v>74</v>
      </c>
      <c r="J30" s="52" t="s">
        <v>210</v>
      </c>
      <c r="K30" s="52" t="s">
        <v>554</v>
      </c>
      <c r="L30" s="52" t="s">
        <v>554</v>
      </c>
      <c r="M30" s="52" t="s">
        <v>29</v>
      </c>
      <c r="N30" s="53">
        <v>-4.3</v>
      </c>
      <c r="O30" s="96">
        <v>-4.3</v>
      </c>
      <c r="P30" s="52" t="s">
        <v>555</v>
      </c>
      <c r="Q30" s="52" t="s">
        <v>556</v>
      </c>
      <c r="R30" s="52" t="s">
        <v>64</v>
      </c>
      <c r="S30" s="52" t="s">
        <v>210</v>
      </c>
    </row>
    <row r="31" spans="1:19" outlineLevel="2" x14ac:dyDescent="0.45">
      <c r="A31" t="s">
        <v>17</v>
      </c>
      <c r="B31" s="52" t="s">
        <v>57</v>
      </c>
      <c r="C31" s="52" t="s">
        <v>349</v>
      </c>
      <c r="D31" s="52" t="s">
        <v>350</v>
      </c>
      <c r="E31" s="52" t="s">
        <v>387</v>
      </c>
      <c r="F31" s="52" t="s">
        <v>585</v>
      </c>
      <c r="G31" s="52" t="s">
        <v>60</v>
      </c>
      <c r="H31" s="54">
        <v>46023</v>
      </c>
      <c r="I31" s="52" t="s">
        <v>74</v>
      </c>
      <c r="J31" s="52" t="s">
        <v>210</v>
      </c>
      <c r="K31" s="52" t="s">
        <v>554</v>
      </c>
      <c r="L31" s="52" t="s">
        <v>554</v>
      </c>
      <c r="M31" s="52" t="s">
        <v>29</v>
      </c>
      <c r="N31" s="53">
        <v>-4.3</v>
      </c>
      <c r="O31" s="96">
        <v>-4.3</v>
      </c>
      <c r="P31" s="52" t="s">
        <v>555</v>
      </c>
      <c r="Q31" s="52" t="s">
        <v>556</v>
      </c>
      <c r="R31" s="52" t="s">
        <v>64</v>
      </c>
      <c r="S31" s="52" t="s">
        <v>210</v>
      </c>
    </row>
    <row r="32" spans="1:19" outlineLevel="2" x14ac:dyDescent="0.45">
      <c r="A32" t="s">
        <v>17</v>
      </c>
      <c r="B32" s="52" t="s">
        <v>57</v>
      </c>
      <c r="C32" s="52" t="s">
        <v>349</v>
      </c>
      <c r="D32" s="52" t="s">
        <v>350</v>
      </c>
      <c r="E32" s="52" t="s">
        <v>387</v>
      </c>
      <c r="F32" s="52" t="s">
        <v>586</v>
      </c>
      <c r="G32" s="52" t="s">
        <v>60</v>
      </c>
      <c r="H32" s="54">
        <v>46023</v>
      </c>
      <c r="I32" s="52" t="s">
        <v>74</v>
      </c>
      <c r="J32" s="52" t="s">
        <v>210</v>
      </c>
      <c r="K32" s="52" t="s">
        <v>554</v>
      </c>
      <c r="L32" s="52" t="s">
        <v>554</v>
      </c>
      <c r="M32" s="52" t="s">
        <v>29</v>
      </c>
      <c r="N32" s="53">
        <v>-4.3</v>
      </c>
      <c r="O32" s="96">
        <v>-4.3</v>
      </c>
      <c r="P32" s="52" t="s">
        <v>555</v>
      </c>
      <c r="Q32" s="52" t="s">
        <v>556</v>
      </c>
      <c r="R32" s="52" t="s">
        <v>64</v>
      </c>
      <c r="S32" s="52" t="s">
        <v>210</v>
      </c>
    </row>
    <row r="33" spans="1:19" outlineLevel="2" x14ac:dyDescent="0.45">
      <c r="A33" t="s">
        <v>17</v>
      </c>
      <c r="B33" s="52" t="s">
        <v>57</v>
      </c>
      <c r="C33" s="52" t="s">
        <v>349</v>
      </c>
      <c r="D33" s="52" t="s">
        <v>350</v>
      </c>
      <c r="E33" s="52" t="s">
        <v>387</v>
      </c>
      <c r="F33" s="52" t="s">
        <v>587</v>
      </c>
      <c r="G33" s="52" t="s">
        <v>60</v>
      </c>
      <c r="H33" s="54">
        <v>46023</v>
      </c>
      <c r="I33" s="52" t="s">
        <v>74</v>
      </c>
      <c r="J33" s="52" t="s">
        <v>210</v>
      </c>
      <c r="K33" s="52" t="s">
        <v>554</v>
      </c>
      <c r="L33" s="52" t="s">
        <v>554</v>
      </c>
      <c r="M33" s="52" t="s">
        <v>29</v>
      </c>
      <c r="N33" s="53">
        <v>-4.3</v>
      </c>
      <c r="O33" s="96">
        <v>-4.3</v>
      </c>
      <c r="P33" s="52" t="s">
        <v>555</v>
      </c>
      <c r="Q33" s="52" t="s">
        <v>556</v>
      </c>
      <c r="R33" s="52" t="s">
        <v>64</v>
      </c>
      <c r="S33" s="52" t="s">
        <v>210</v>
      </c>
    </row>
    <row r="34" spans="1:19" outlineLevel="2" x14ac:dyDescent="0.45">
      <c r="A34" t="s">
        <v>17</v>
      </c>
      <c r="B34" s="52" t="s">
        <v>57</v>
      </c>
      <c r="C34" s="52" t="s">
        <v>349</v>
      </c>
      <c r="D34" s="52" t="s">
        <v>350</v>
      </c>
      <c r="E34" s="52" t="s">
        <v>387</v>
      </c>
      <c r="F34" s="52" t="s">
        <v>588</v>
      </c>
      <c r="G34" s="52" t="s">
        <v>60</v>
      </c>
      <c r="H34" s="54">
        <v>46023</v>
      </c>
      <c r="I34" s="52" t="s">
        <v>74</v>
      </c>
      <c r="J34" s="52" t="s">
        <v>210</v>
      </c>
      <c r="K34" s="52" t="s">
        <v>554</v>
      </c>
      <c r="L34" s="52" t="s">
        <v>554</v>
      </c>
      <c r="M34" s="52" t="s">
        <v>29</v>
      </c>
      <c r="N34" s="53">
        <v>-7.5</v>
      </c>
      <c r="O34" s="96">
        <v>-7.5</v>
      </c>
      <c r="P34" s="52" t="s">
        <v>555</v>
      </c>
      <c r="Q34" s="52" t="s">
        <v>556</v>
      </c>
      <c r="R34" s="52" t="s">
        <v>64</v>
      </c>
      <c r="S34" s="52" t="s">
        <v>210</v>
      </c>
    </row>
    <row r="35" spans="1:19" outlineLevel="2" x14ac:dyDescent="0.45">
      <c r="A35" t="s">
        <v>17</v>
      </c>
      <c r="B35" s="52" t="s">
        <v>57</v>
      </c>
      <c r="C35" s="52" t="s">
        <v>349</v>
      </c>
      <c r="D35" s="52" t="s">
        <v>350</v>
      </c>
      <c r="E35" s="52" t="s">
        <v>387</v>
      </c>
      <c r="F35" s="52" t="s">
        <v>589</v>
      </c>
      <c r="G35" s="52" t="s">
        <v>60</v>
      </c>
      <c r="H35" s="54">
        <v>46023</v>
      </c>
      <c r="I35" s="52" t="s">
        <v>74</v>
      </c>
      <c r="J35" s="52" t="s">
        <v>210</v>
      </c>
      <c r="K35" s="52" t="s">
        <v>554</v>
      </c>
      <c r="L35" s="52" t="s">
        <v>554</v>
      </c>
      <c r="M35" s="52" t="s">
        <v>29</v>
      </c>
      <c r="N35" s="53">
        <v>-8</v>
      </c>
      <c r="O35" s="96">
        <v>-8</v>
      </c>
      <c r="P35" s="52" t="s">
        <v>555</v>
      </c>
      <c r="Q35" s="52" t="s">
        <v>556</v>
      </c>
      <c r="R35" s="52" t="s">
        <v>64</v>
      </c>
      <c r="S35" s="52" t="s">
        <v>210</v>
      </c>
    </row>
    <row r="36" spans="1:19" outlineLevel="2" x14ac:dyDescent="0.45">
      <c r="A36" t="s">
        <v>17</v>
      </c>
      <c r="B36" s="52" t="s">
        <v>57</v>
      </c>
      <c r="C36" s="52" t="s">
        <v>349</v>
      </c>
      <c r="D36" s="52" t="s">
        <v>350</v>
      </c>
      <c r="E36" s="52" t="s">
        <v>387</v>
      </c>
      <c r="F36" s="52" t="s">
        <v>590</v>
      </c>
      <c r="G36" s="52" t="s">
        <v>60</v>
      </c>
      <c r="H36" s="54">
        <v>46023</v>
      </c>
      <c r="I36" s="52" t="s">
        <v>74</v>
      </c>
      <c r="J36" s="52" t="s">
        <v>210</v>
      </c>
      <c r="K36" s="52" t="s">
        <v>554</v>
      </c>
      <c r="L36" s="52" t="s">
        <v>554</v>
      </c>
      <c r="M36" s="52" t="s">
        <v>29</v>
      </c>
      <c r="N36" s="53">
        <v>-22</v>
      </c>
      <c r="O36" s="96">
        <v>-22</v>
      </c>
      <c r="P36" s="52" t="s">
        <v>555</v>
      </c>
      <c r="Q36" s="52" t="s">
        <v>556</v>
      </c>
      <c r="R36" s="52" t="s">
        <v>64</v>
      </c>
      <c r="S36" s="52" t="s">
        <v>210</v>
      </c>
    </row>
    <row r="37" spans="1:19" outlineLevel="2" x14ac:dyDescent="0.45">
      <c r="A37" t="s">
        <v>17</v>
      </c>
      <c r="B37" s="52" t="s">
        <v>57</v>
      </c>
      <c r="C37" s="52" t="s">
        <v>349</v>
      </c>
      <c r="D37" s="52" t="s">
        <v>350</v>
      </c>
      <c r="E37" s="52" t="s">
        <v>387</v>
      </c>
      <c r="F37" s="52" t="s">
        <v>591</v>
      </c>
      <c r="G37" s="52" t="s">
        <v>60</v>
      </c>
      <c r="H37" s="54">
        <v>46023</v>
      </c>
      <c r="I37" s="52" t="s">
        <v>74</v>
      </c>
      <c r="J37" s="52" t="s">
        <v>210</v>
      </c>
      <c r="K37" s="52" t="s">
        <v>554</v>
      </c>
      <c r="L37" s="52" t="s">
        <v>554</v>
      </c>
      <c r="M37" s="52" t="s">
        <v>29</v>
      </c>
      <c r="N37" s="53">
        <v>-24</v>
      </c>
      <c r="O37" s="96">
        <v>-24</v>
      </c>
      <c r="P37" s="52" t="s">
        <v>555</v>
      </c>
      <c r="Q37" s="52" t="s">
        <v>556</v>
      </c>
      <c r="R37" s="52" t="s">
        <v>64</v>
      </c>
      <c r="S37" s="52" t="s">
        <v>210</v>
      </c>
    </row>
    <row r="38" spans="1:19" outlineLevel="2" x14ac:dyDescent="0.45">
      <c r="A38" t="s">
        <v>17</v>
      </c>
      <c r="B38" s="52" t="s">
        <v>57</v>
      </c>
      <c r="C38" s="52" t="s">
        <v>349</v>
      </c>
      <c r="D38" s="52" t="s">
        <v>350</v>
      </c>
      <c r="E38" s="52" t="s">
        <v>387</v>
      </c>
      <c r="F38" s="52" t="s">
        <v>592</v>
      </c>
      <c r="G38" s="52" t="s">
        <v>60</v>
      </c>
      <c r="H38" s="54">
        <v>46023</v>
      </c>
      <c r="I38" s="52" t="s">
        <v>74</v>
      </c>
      <c r="J38" s="52" t="s">
        <v>87</v>
      </c>
      <c r="K38" s="52" t="s">
        <v>554</v>
      </c>
      <c r="L38" s="52" t="s">
        <v>554</v>
      </c>
      <c r="M38" s="52" t="s">
        <v>29</v>
      </c>
      <c r="N38" s="53">
        <v>-40</v>
      </c>
      <c r="O38" s="96">
        <v>-40</v>
      </c>
      <c r="P38" s="52" t="s">
        <v>555</v>
      </c>
      <c r="Q38" s="52" t="s">
        <v>556</v>
      </c>
      <c r="R38" s="52" t="s">
        <v>64</v>
      </c>
      <c r="S38" s="52" t="s">
        <v>87</v>
      </c>
    </row>
    <row r="39" spans="1:19" outlineLevel="2" x14ac:dyDescent="0.45">
      <c r="A39" t="s">
        <v>17</v>
      </c>
      <c r="B39" s="52" t="s">
        <v>57</v>
      </c>
      <c r="C39" s="52" t="s">
        <v>349</v>
      </c>
      <c r="D39" s="52" t="s">
        <v>350</v>
      </c>
      <c r="E39" s="52" t="s">
        <v>387</v>
      </c>
      <c r="F39" s="52" t="s">
        <v>593</v>
      </c>
      <c r="G39" s="52" t="s">
        <v>60</v>
      </c>
      <c r="H39" s="54">
        <v>46023</v>
      </c>
      <c r="I39" s="52" t="s">
        <v>74</v>
      </c>
      <c r="J39" s="52" t="s">
        <v>210</v>
      </c>
      <c r="K39" s="52" t="s">
        <v>554</v>
      </c>
      <c r="L39" s="52" t="s">
        <v>554</v>
      </c>
      <c r="M39" s="52" t="s">
        <v>29</v>
      </c>
      <c r="N39" s="53">
        <v>-40</v>
      </c>
      <c r="O39" s="96">
        <v>-40</v>
      </c>
      <c r="P39" s="52" t="s">
        <v>555</v>
      </c>
      <c r="Q39" s="52" t="s">
        <v>556</v>
      </c>
      <c r="R39" s="52" t="s">
        <v>64</v>
      </c>
      <c r="S39" s="52" t="s">
        <v>210</v>
      </c>
    </row>
    <row r="40" spans="1:19" outlineLevel="2" x14ac:dyDescent="0.45">
      <c r="A40" t="s">
        <v>17</v>
      </c>
      <c r="B40" s="52" t="s">
        <v>57</v>
      </c>
      <c r="C40" s="52" t="s">
        <v>349</v>
      </c>
      <c r="D40" s="52" t="s">
        <v>350</v>
      </c>
      <c r="E40" s="52" t="s">
        <v>387</v>
      </c>
      <c r="F40" s="52" t="s">
        <v>594</v>
      </c>
      <c r="G40" s="52" t="s">
        <v>60</v>
      </c>
      <c r="H40" s="54">
        <v>46023</v>
      </c>
      <c r="I40" s="52" t="s">
        <v>74</v>
      </c>
      <c r="J40" s="52" t="s">
        <v>210</v>
      </c>
      <c r="K40" s="52" t="s">
        <v>554</v>
      </c>
      <c r="L40" s="52" t="s">
        <v>554</v>
      </c>
      <c r="M40" s="52" t="s">
        <v>29</v>
      </c>
      <c r="N40" s="53">
        <v>-48</v>
      </c>
      <c r="O40" s="96">
        <v>-48</v>
      </c>
      <c r="P40" s="52" t="s">
        <v>555</v>
      </c>
      <c r="Q40" s="52" t="s">
        <v>556</v>
      </c>
      <c r="R40" s="52" t="s">
        <v>64</v>
      </c>
      <c r="S40" s="52" t="s">
        <v>210</v>
      </c>
    </row>
    <row r="41" spans="1:19" outlineLevel="2" x14ac:dyDescent="0.45">
      <c r="A41" t="s">
        <v>17</v>
      </c>
      <c r="B41" s="52" t="s">
        <v>66</v>
      </c>
      <c r="C41" s="52" t="s">
        <v>349</v>
      </c>
      <c r="D41" s="52" t="s">
        <v>350</v>
      </c>
      <c r="E41" s="52" t="s">
        <v>387</v>
      </c>
      <c r="F41" s="52" t="s">
        <v>595</v>
      </c>
      <c r="G41" s="52" t="s">
        <v>60</v>
      </c>
      <c r="H41" s="54">
        <v>46023</v>
      </c>
      <c r="I41" s="52" t="s">
        <v>74</v>
      </c>
      <c r="J41" s="52" t="s">
        <v>210</v>
      </c>
      <c r="K41" s="52" t="s">
        <v>596</v>
      </c>
      <c r="L41" s="52" t="s">
        <v>596</v>
      </c>
      <c r="M41" s="52" t="s">
        <v>67</v>
      </c>
      <c r="N41" s="53">
        <v>-1.3</v>
      </c>
      <c r="O41" s="96">
        <v>-4.3499999999999996</v>
      </c>
      <c r="P41" s="52" t="s">
        <v>597</v>
      </c>
      <c r="Q41" s="52" t="s">
        <v>598</v>
      </c>
      <c r="R41" s="52" t="s">
        <v>64</v>
      </c>
      <c r="S41" s="52" t="s">
        <v>210</v>
      </c>
    </row>
    <row r="42" spans="1:19" outlineLevel="2" x14ac:dyDescent="0.45">
      <c r="A42" t="s">
        <v>17</v>
      </c>
      <c r="B42" s="52" t="s">
        <v>66</v>
      </c>
      <c r="C42" s="52" t="s">
        <v>349</v>
      </c>
      <c r="D42" s="52" t="s">
        <v>350</v>
      </c>
      <c r="E42" s="52" t="s">
        <v>387</v>
      </c>
      <c r="F42" s="52" t="s">
        <v>599</v>
      </c>
      <c r="G42" s="52" t="s">
        <v>60</v>
      </c>
      <c r="H42" s="54">
        <v>46023</v>
      </c>
      <c r="I42" s="52" t="s">
        <v>74</v>
      </c>
      <c r="J42" s="52" t="s">
        <v>210</v>
      </c>
      <c r="K42" s="52" t="s">
        <v>596</v>
      </c>
      <c r="L42" s="52" t="s">
        <v>596</v>
      </c>
      <c r="M42" s="52" t="s">
        <v>67</v>
      </c>
      <c r="N42" s="53">
        <v>-1.53</v>
      </c>
      <c r="O42" s="96">
        <v>-5.12</v>
      </c>
      <c r="P42" s="52" t="s">
        <v>597</v>
      </c>
      <c r="Q42" s="52" t="s">
        <v>598</v>
      </c>
      <c r="R42" s="52" t="s">
        <v>64</v>
      </c>
      <c r="S42" s="52" t="s">
        <v>210</v>
      </c>
    </row>
    <row r="43" spans="1:19" outlineLevel="2" x14ac:dyDescent="0.45">
      <c r="A43" t="s">
        <v>17</v>
      </c>
      <c r="B43" s="52" t="s">
        <v>66</v>
      </c>
      <c r="C43" s="52" t="s">
        <v>349</v>
      </c>
      <c r="D43" s="52" t="s">
        <v>350</v>
      </c>
      <c r="E43" s="52" t="s">
        <v>387</v>
      </c>
      <c r="F43" s="52" t="s">
        <v>600</v>
      </c>
      <c r="G43" s="52" t="s">
        <v>60</v>
      </c>
      <c r="H43" s="54">
        <v>46023</v>
      </c>
      <c r="I43" s="52" t="s">
        <v>74</v>
      </c>
      <c r="J43" s="52" t="s">
        <v>210</v>
      </c>
      <c r="K43" s="52" t="s">
        <v>596</v>
      </c>
      <c r="L43" s="52" t="s">
        <v>596</v>
      </c>
      <c r="M43" s="52" t="s">
        <v>67</v>
      </c>
      <c r="N43" s="53">
        <v>-1.53</v>
      </c>
      <c r="O43" s="96">
        <v>-5.12</v>
      </c>
      <c r="P43" s="52" t="s">
        <v>597</v>
      </c>
      <c r="Q43" s="52" t="s">
        <v>598</v>
      </c>
      <c r="R43" s="52" t="s">
        <v>64</v>
      </c>
      <c r="S43" s="52" t="s">
        <v>210</v>
      </c>
    </row>
    <row r="44" spans="1:19" outlineLevel="2" x14ac:dyDescent="0.45">
      <c r="A44" t="s">
        <v>17</v>
      </c>
      <c r="B44" s="52" t="s">
        <v>66</v>
      </c>
      <c r="C44" s="52" t="s">
        <v>349</v>
      </c>
      <c r="D44" s="52" t="s">
        <v>350</v>
      </c>
      <c r="E44" s="52" t="s">
        <v>387</v>
      </c>
      <c r="F44" s="52" t="s">
        <v>601</v>
      </c>
      <c r="G44" s="52" t="s">
        <v>60</v>
      </c>
      <c r="H44" s="54">
        <v>46023</v>
      </c>
      <c r="I44" s="52" t="s">
        <v>74</v>
      </c>
      <c r="J44" s="52" t="s">
        <v>210</v>
      </c>
      <c r="K44" s="52" t="s">
        <v>596</v>
      </c>
      <c r="L44" s="52" t="s">
        <v>596</v>
      </c>
      <c r="M44" s="52" t="s">
        <v>67</v>
      </c>
      <c r="N44" s="53">
        <v>-1.53</v>
      </c>
      <c r="O44" s="96">
        <v>-5.12</v>
      </c>
      <c r="P44" s="52" t="s">
        <v>597</v>
      </c>
      <c r="Q44" s="52" t="s">
        <v>598</v>
      </c>
      <c r="R44" s="52" t="s">
        <v>64</v>
      </c>
      <c r="S44" s="52" t="s">
        <v>210</v>
      </c>
    </row>
    <row r="45" spans="1:19" outlineLevel="2" x14ac:dyDescent="0.45">
      <c r="A45" t="s">
        <v>17</v>
      </c>
      <c r="B45" s="52" t="s">
        <v>66</v>
      </c>
      <c r="C45" s="52" t="s">
        <v>349</v>
      </c>
      <c r="D45" s="52" t="s">
        <v>350</v>
      </c>
      <c r="E45" s="52" t="s">
        <v>387</v>
      </c>
      <c r="F45" s="52" t="s">
        <v>602</v>
      </c>
      <c r="G45" s="52" t="s">
        <v>60</v>
      </c>
      <c r="H45" s="54">
        <v>46023</v>
      </c>
      <c r="I45" s="52" t="s">
        <v>74</v>
      </c>
      <c r="J45" s="52" t="s">
        <v>210</v>
      </c>
      <c r="K45" s="52" t="s">
        <v>596</v>
      </c>
      <c r="L45" s="52" t="s">
        <v>596</v>
      </c>
      <c r="M45" s="52" t="s">
        <v>67</v>
      </c>
      <c r="N45" s="53">
        <v>-1.53</v>
      </c>
      <c r="O45" s="96">
        <v>-5.12</v>
      </c>
      <c r="P45" s="52" t="s">
        <v>597</v>
      </c>
      <c r="Q45" s="52" t="s">
        <v>598</v>
      </c>
      <c r="R45" s="52" t="s">
        <v>64</v>
      </c>
      <c r="S45" s="52" t="s">
        <v>210</v>
      </c>
    </row>
    <row r="46" spans="1:19" outlineLevel="2" x14ac:dyDescent="0.45">
      <c r="A46" t="s">
        <v>17</v>
      </c>
      <c r="B46" s="52" t="s">
        <v>66</v>
      </c>
      <c r="C46" s="52" t="s">
        <v>349</v>
      </c>
      <c r="D46" s="52" t="s">
        <v>350</v>
      </c>
      <c r="E46" s="52" t="s">
        <v>387</v>
      </c>
      <c r="F46" s="52" t="s">
        <v>603</v>
      </c>
      <c r="G46" s="52" t="s">
        <v>60</v>
      </c>
      <c r="H46" s="54">
        <v>46023</v>
      </c>
      <c r="I46" s="52" t="s">
        <v>74</v>
      </c>
      <c r="J46" s="52" t="s">
        <v>210</v>
      </c>
      <c r="K46" s="52" t="s">
        <v>596</v>
      </c>
      <c r="L46" s="52" t="s">
        <v>596</v>
      </c>
      <c r="M46" s="52" t="s">
        <v>67</v>
      </c>
      <c r="N46" s="53">
        <v>-1.53</v>
      </c>
      <c r="O46" s="96">
        <v>-5.12</v>
      </c>
      <c r="P46" s="52" t="s">
        <v>597</v>
      </c>
      <c r="Q46" s="52" t="s">
        <v>598</v>
      </c>
      <c r="R46" s="52" t="s">
        <v>64</v>
      </c>
      <c r="S46" s="52" t="s">
        <v>210</v>
      </c>
    </row>
    <row r="47" spans="1:19" outlineLevel="2" x14ac:dyDescent="0.45">
      <c r="A47" t="s">
        <v>17</v>
      </c>
      <c r="B47" s="52" t="s">
        <v>66</v>
      </c>
      <c r="C47" s="52" t="s">
        <v>349</v>
      </c>
      <c r="D47" s="52" t="s">
        <v>350</v>
      </c>
      <c r="E47" s="52" t="s">
        <v>387</v>
      </c>
      <c r="F47" s="52" t="s">
        <v>604</v>
      </c>
      <c r="G47" s="52" t="s">
        <v>60</v>
      </c>
      <c r="H47" s="54">
        <v>46023</v>
      </c>
      <c r="I47" s="52" t="s">
        <v>74</v>
      </c>
      <c r="J47" s="52" t="s">
        <v>87</v>
      </c>
      <c r="K47" s="52" t="s">
        <v>596</v>
      </c>
      <c r="L47" s="52" t="s">
        <v>596</v>
      </c>
      <c r="M47" s="52" t="s">
        <v>67</v>
      </c>
      <c r="N47" s="53">
        <v>-1.53</v>
      </c>
      <c r="O47" s="96">
        <v>-5.15</v>
      </c>
      <c r="P47" s="52" t="s">
        <v>597</v>
      </c>
      <c r="Q47" s="52" t="s">
        <v>605</v>
      </c>
      <c r="R47" s="52" t="s">
        <v>64</v>
      </c>
      <c r="S47" s="52" t="s">
        <v>87</v>
      </c>
    </row>
    <row r="48" spans="1:19" outlineLevel="2" x14ac:dyDescent="0.45">
      <c r="A48" t="s">
        <v>17</v>
      </c>
      <c r="B48" s="52" t="s">
        <v>66</v>
      </c>
      <c r="C48" s="52" t="s">
        <v>349</v>
      </c>
      <c r="D48" s="52" t="s">
        <v>350</v>
      </c>
      <c r="E48" s="52" t="s">
        <v>387</v>
      </c>
      <c r="F48" s="52" t="s">
        <v>606</v>
      </c>
      <c r="G48" s="52" t="s">
        <v>60</v>
      </c>
      <c r="H48" s="54">
        <v>46023</v>
      </c>
      <c r="I48" s="52" t="s">
        <v>74</v>
      </c>
      <c r="J48" s="52" t="s">
        <v>210</v>
      </c>
      <c r="K48" s="52" t="s">
        <v>596</v>
      </c>
      <c r="L48" s="52" t="s">
        <v>596</v>
      </c>
      <c r="M48" s="52" t="s">
        <v>67</v>
      </c>
      <c r="N48" s="53">
        <v>-14</v>
      </c>
      <c r="O48" s="96">
        <v>-46.83</v>
      </c>
      <c r="P48" s="52" t="s">
        <v>597</v>
      </c>
      <c r="Q48" s="52" t="s">
        <v>598</v>
      </c>
      <c r="R48" s="52" t="s">
        <v>64</v>
      </c>
      <c r="S48" s="52" t="s">
        <v>210</v>
      </c>
    </row>
    <row r="49" spans="1:19" outlineLevel="2" x14ac:dyDescent="0.45">
      <c r="A49" t="s">
        <v>17</v>
      </c>
      <c r="B49" s="52" t="s">
        <v>66</v>
      </c>
      <c r="C49" s="52" t="s">
        <v>349</v>
      </c>
      <c r="D49" s="52" t="s">
        <v>350</v>
      </c>
      <c r="E49" s="52" t="s">
        <v>387</v>
      </c>
      <c r="F49" s="52" t="s">
        <v>607</v>
      </c>
      <c r="G49" s="52" t="s">
        <v>60</v>
      </c>
      <c r="H49" s="54">
        <v>46023</v>
      </c>
      <c r="I49" s="52" t="s">
        <v>74</v>
      </c>
      <c r="J49" s="52" t="s">
        <v>210</v>
      </c>
      <c r="K49" s="52" t="s">
        <v>608</v>
      </c>
      <c r="L49" s="52" t="s">
        <v>608</v>
      </c>
      <c r="M49" s="52" t="s">
        <v>67</v>
      </c>
      <c r="N49" s="53">
        <v>-11.35</v>
      </c>
      <c r="O49" s="96">
        <v>-37.97</v>
      </c>
      <c r="P49" s="52" t="s">
        <v>609</v>
      </c>
      <c r="Q49" s="52" t="s">
        <v>598</v>
      </c>
      <c r="R49" s="52" t="s">
        <v>64</v>
      </c>
      <c r="S49" s="52" t="s">
        <v>210</v>
      </c>
    </row>
    <row r="50" spans="1:19" hidden="1" outlineLevel="2" x14ac:dyDescent="0.45">
      <c r="A50" t="s">
        <v>17</v>
      </c>
      <c r="B50" s="52" t="s">
        <v>66</v>
      </c>
      <c r="C50" s="52"/>
      <c r="D50" s="52" t="s">
        <v>610</v>
      </c>
      <c r="E50" s="52" t="s">
        <v>387</v>
      </c>
      <c r="F50" s="52" t="s">
        <v>611</v>
      </c>
      <c r="G50" s="52" t="s">
        <v>60</v>
      </c>
      <c r="H50" s="54">
        <v>46023</v>
      </c>
      <c r="I50" s="52" t="s">
        <v>74</v>
      </c>
      <c r="J50" s="52" t="s">
        <v>340</v>
      </c>
      <c r="K50" s="52" t="s">
        <v>612</v>
      </c>
      <c r="L50" s="52" t="s">
        <v>612</v>
      </c>
      <c r="M50" s="52" t="s">
        <v>67</v>
      </c>
      <c r="N50" s="53">
        <v>-90000</v>
      </c>
      <c r="O50" s="94">
        <v>-302310</v>
      </c>
      <c r="P50" s="52" t="s">
        <v>613</v>
      </c>
      <c r="Q50" s="52" t="s">
        <v>614</v>
      </c>
      <c r="R50" s="55" t="s">
        <v>64</v>
      </c>
      <c r="S50" s="52" t="s">
        <v>340</v>
      </c>
    </row>
    <row r="51" spans="1:19" hidden="1" outlineLevel="2" x14ac:dyDescent="0.45">
      <c r="A51" t="s">
        <v>17</v>
      </c>
      <c r="B51" s="52" t="s">
        <v>57</v>
      </c>
      <c r="C51" s="52"/>
      <c r="D51" s="52" t="s">
        <v>338</v>
      </c>
      <c r="E51" s="52" t="s">
        <v>387</v>
      </c>
      <c r="F51" s="52" t="s">
        <v>615</v>
      </c>
      <c r="G51" s="52" t="s">
        <v>60</v>
      </c>
      <c r="H51" s="54">
        <v>46023</v>
      </c>
      <c r="I51" s="52" t="s">
        <v>74</v>
      </c>
      <c r="J51" s="52" t="s">
        <v>616</v>
      </c>
      <c r="K51" s="52" t="s">
        <v>617</v>
      </c>
      <c r="L51" s="52" t="s">
        <v>617</v>
      </c>
      <c r="M51" s="52" t="s">
        <v>29</v>
      </c>
      <c r="N51" s="53">
        <v>-210000</v>
      </c>
      <c r="O51" s="95">
        <v>-210000</v>
      </c>
      <c r="P51" s="52" t="s">
        <v>618</v>
      </c>
      <c r="Q51" s="52" t="s">
        <v>619</v>
      </c>
      <c r="R51" s="55" t="s">
        <v>64</v>
      </c>
      <c r="S51" s="52" t="s">
        <v>616</v>
      </c>
    </row>
    <row r="52" spans="1:19" outlineLevel="2" x14ac:dyDescent="0.45">
      <c r="A52" t="s">
        <v>17</v>
      </c>
      <c r="B52" s="52" t="s">
        <v>57</v>
      </c>
      <c r="C52" s="52" t="s">
        <v>620</v>
      </c>
      <c r="D52" s="52" t="s">
        <v>621</v>
      </c>
      <c r="E52" s="52" t="s">
        <v>387</v>
      </c>
      <c r="F52" s="52" t="s">
        <v>622</v>
      </c>
      <c r="G52" s="52" t="s">
        <v>60</v>
      </c>
      <c r="H52" s="54">
        <v>46023</v>
      </c>
      <c r="I52" s="52" t="s">
        <v>74</v>
      </c>
      <c r="J52" s="52" t="s">
        <v>210</v>
      </c>
      <c r="K52" s="52" t="s">
        <v>623</v>
      </c>
      <c r="L52" s="52" t="s">
        <v>623</v>
      </c>
      <c r="M52" s="52" t="s">
        <v>29</v>
      </c>
      <c r="N52" s="53">
        <v>-78735.899999999994</v>
      </c>
      <c r="O52" s="96">
        <v>-78735.899999999994</v>
      </c>
      <c r="P52" s="52" t="s">
        <v>624</v>
      </c>
      <c r="Q52" s="52" t="s">
        <v>625</v>
      </c>
      <c r="R52" s="55" t="s">
        <v>64</v>
      </c>
      <c r="S52" s="52" t="s">
        <v>210</v>
      </c>
    </row>
    <row r="53" spans="1:19" hidden="1" outlineLevel="2" x14ac:dyDescent="0.45">
      <c r="A53" t="s">
        <v>17</v>
      </c>
      <c r="B53" s="52" t="s">
        <v>66</v>
      </c>
      <c r="C53" s="52" t="s">
        <v>376</v>
      </c>
      <c r="D53" s="52" t="s">
        <v>377</v>
      </c>
      <c r="E53" s="52" t="s">
        <v>387</v>
      </c>
      <c r="F53" s="52" t="s">
        <v>626</v>
      </c>
      <c r="G53" s="52" t="s">
        <v>60</v>
      </c>
      <c r="H53" s="54">
        <v>46023</v>
      </c>
      <c r="I53" s="52" t="s">
        <v>74</v>
      </c>
      <c r="J53" s="52" t="s">
        <v>210</v>
      </c>
      <c r="K53" s="52" t="s">
        <v>627</v>
      </c>
      <c r="L53" s="52" t="s">
        <v>627</v>
      </c>
      <c r="M53" s="52" t="s">
        <v>67</v>
      </c>
      <c r="N53" s="53">
        <v>-15000</v>
      </c>
      <c r="O53" s="97">
        <v>-50175</v>
      </c>
      <c r="P53" s="52" t="s">
        <v>628</v>
      </c>
      <c r="Q53" s="52" t="s">
        <v>629</v>
      </c>
      <c r="R53" s="55" t="s">
        <v>64</v>
      </c>
      <c r="S53" s="52" t="s">
        <v>210</v>
      </c>
    </row>
    <row r="54" spans="1:19" outlineLevel="2" x14ac:dyDescent="0.45">
      <c r="A54" t="s">
        <v>17</v>
      </c>
      <c r="B54" s="52" t="s">
        <v>57</v>
      </c>
      <c r="C54" s="52" t="s">
        <v>630</v>
      </c>
      <c r="D54" s="52" t="s">
        <v>631</v>
      </c>
      <c r="E54" s="52" t="s">
        <v>387</v>
      </c>
      <c r="F54" s="52" t="s">
        <v>632</v>
      </c>
      <c r="G54" s="52" t="s">
        <v>60</v>
      </c>
      <c r="H54" s="54">
        <v>46023</v>
      </c>
      <c r="I54" s="52" t="s">
        <v>74</v>
      </c>
      <c r="J54" s="52" t="s">
        <v>208</v>
      </c>
      <c r="K54" s="52" t="s">
        <v>633</v>
      </c>
      <c r="L54" s="52" t="s">
        <v>633</v>
      </c>
      <c r="M54" s="52" t="s">
        <v>29</v>
      </c>
      <c r="N54" s="53">
        <v>-45000</v>
      </c>
      <c r="O54" s="98">
        <v>-45000</v>
      </c>
      <c r="P54" s="52" t="s">
        <v>634</v>
      </c>
      <c r="Q54" s="52" t="s">
        <v>635</v>
      </c>
      <c r="R54" s="55" t="s">
        <v>64</v>
      </c>
      <c r="S54" s="52" t="s">
        <v>208</v>
      </c>
    </row>
    <row r="55" spans="1:19" hidden="1" outlineLevel="2" x14ac:dyDescent="0.45">
      <c r="A55" t="s">
        <v>17</v>
      </c>
      <c r="B55" s="52" t="s">
        <v>66</v>
      </c>
      <c r="C55" s="52" t="s">
        <v>376</v>
      </c>
      <c r="D55" s="52" t="s">
        <v>377</v>
      </c>
      <c r="E55" s="52" t="s">
        <v>387</v>
      </c>
      <c r="F55" s="52" t="s">
        <v>636</v>
      </c>
      <c r="G55" s="52" t="s">
        <v>60</v>
      </c>
      <c r="H55" s="54">
        <v>46023</v>
      </c>
      <c r="I55" s="52" t="s">
        <v>74</v>
      </c>
      <c r="J55" s="52" t="s">
        <v>210</v>
      </c>
      <c r="K55" s="52" t="s">
        <v>637</v>
      </c>
      <c r="L55" s="52" t="s">
        <v>637</v>
      </c>
      <c r="M55" s="52" t="s">
        <v>67</v>
      </c>
      <c r="N55" s="53">
        <v>-11800</v>
      </c>
      <c r="O55" s="97">
        <v>-39471</v>
      </c>
      <c r="P55" s="52" t="s">
        <v>638</v>
      </c>
      <c r="Q55" s="52" t="s">
        <v>639</v>
      </c>
      <c r="R55" s="55" t="s">
        <v>64</v>
      </c>
      <c r="S55" s="52" t="s">
        <v>210</v>
      </c>
    </row>
    <row r="56" spans="1:19" hidden="1" outlineLevel="2" x14ac:dyDescent="0.45">
      <c r="A56" t="s">
        <v>17</v>
      </c>
      <c r="B56" s="52" t="s">
        <v>57</v>
      </c>
      <c r="C56" s="52" t="s">
        <v>376</v>
      </c>
      <c r="D56" s="52" t="s">
        <v>377</v>
      </c>
      <c r="E56" s="52" t="s">
        <v>387</v>
      </c>
      <c r="F56" s="52" t="s">
        <v>640</v>
      </c>
      <c r="G56" s="52" t="s">
        <v>60</v>
      </c>
      <c r="H56" s="54">
        <v>46023</v>
      </c>
      <c r="I56" s="52" t="s">
        <v>74</v>
      </c>
      <c r="J56" s="52" t="s">
        <v>210</v>
      </c>
      <c r="K56" s="52" t="s">
        <v>641</v>
      </c>
      <c r="L56" s="52" t="s">
        <v>641</v>
      </c>
      <c r="M56" s="52" t="s">
        <v>29</v>
      </c>
      <c r="N56" s="53">
        <v>-27652.11</v>
      </c>
      <c r="O56" s="97">
        <v>-27652.11</v>
      </c>
      <c r="P56" s="52" t="s">
        <v>642</v>
      </c>
      <c r="Q56" s="52" t="s">
        <v>643</v>
      </c>
      <c r="R56" s="55" t="s">
        <v>64</v>
      </c>
      <c r="S56" s="52" t="s">
        <v>210</v>
      </c>
    </row>
    <row r="57" spans="1:19" hidden="1" outlineLevel="2" x14ac:dyDescent="0.45">
      <c r="A57" t="s">
        <v>17</v>
      </c>
      <c r="B57" s="52" t="s">
        <v>57</v>
      </c>
      <c r="C57" s="52" t="s">
        <v>376</v>
      </c>
      <c r="D57" s="52" t="s">
        <v>377</v>
      </c>
      <c r="E57" s="52" t="s">
        <v>387</v>
      </c>
      <c r="F57" s="52" t="s">
        <v>644</v>
      </c>
      <c r="G57" s="52" t="s">
        <v>60</v>
      </c>
      <c r="H57" s="54">
        <v>46023</v>
      </c>
      <c r="I57" s="52" t="s">
        <v>74</v>
      </c>
      <c r="J57" s="52" t="s">
        <v>210</v>
      </c>
      <c r="K57" s="52" t="s">
        <v>645</v>
      </c>
      <c r="L57" s="52" t="s">
        <v>645</v>
      </c>
      <c r="M57" s="52" t="s">
        <v>29</v>
      </c>
      <c r="N57" s="53">
        <v>-25000</v>
      </c>
      <c r="O57" s="97">
        <v>-25000</v>
      </c>
      <c r="P57" s="52" t="s">
        <v>646</v>
      </c>
      <c r="Q57" s="52" t="s">
        <v>647</v>
      </c>
      <c r="R57" s="55" t="s">
        <v>64</v>
      </c>
      <c r="S57" s="52" t="s">
        <v>210</v>
      </c>
    </row>
    <row r="58" spans="1:19" hidden="1" outlineLevel="2" x14ac:dyDescent="0.45">
      <c r="A58" t="s">
        <v>17</v>
      </c>
      <c r="B58" s="52" t="s">
        <v>57</v>
      </c>
      <c r="C58" s="52" t="s">
        <v>376</v>
      </c>
      <c r="D58" s="52" t="s">
        <v>377</v>
      </c>
      <c r="E58" s="52" t="s">
        <v>387</v>
      </c>
      <c r="F58" s="52" t="s">
        <v>648</v>
      </c>
      <c r="G58" s="52" t="s">
        <v>60</v>
      </c>
      <c r="H58" s="54">
        <v>46023</v>
      </c>
      <c r="I58" s="52" t="s">
        <v>74</v>
      </c>
      <c r="J58" s="52" t="s">
        <v>649</v>
      </c>
      <c r="K58" s="52" t="s">
        <v>650</v>
      </c>
      <c r="L58" s="52" t="s">
        <v>650</v>
      </c>
      <c r="M58" s="52" t="s">
        <v>29</v>
      </c>
      <c r="N58" s="53">
        <v>-20000</v>
      </c>
      <c r="O58" s="97">
        <v>-20000</v>
      </c>
      <c r="P58" s="52" t="s">
        <v>651</v>
      </c>
      <c r="Q58" s="52" t="s">
        <v>652</v>
      </c>
      <c r="R58" s="55" t="s">
        <v>64</v>
      </c>
      <c r="S58" s="52" t="s">
        <v>649</v>
      </c>
    </row>
    <row r="59" spans="1:19" hidden="1" outlineLevel="2" x14ac:dyDescent="0.45">
      <c r="A59" t="s">
        <v>17</v>
      </c>
      <c r="B59" s="52" t="s">
        <v>57</v>
      </c>
      <c r="C59" s="52" t="s">
        <v>376</v>
      </c>
      <c r="D59" s="52" t="s">
        <v>377</v>
      </c>
      <c r="E59" s="52" t="s">
        <v>387</v>
      </c>
      <c r="F59" s="52" t="s">
        <v>653</v>
      </c>
      <c r="G59" s="52" t="s">
        <v>60</v>
      </c>
      <c r="H59" s="54">
        <v>46023</v>
      </c>
      <c r="I59" s="52" t="s">
        <v>74</v>
      </c>
      <c r="J59" s="52" t="s">
        <v>210</v>
      </c>
      <c r="K59" s="52" t="s">
        <v>645</v>
      </c>
      <c r="L59" s="52" t="s">
        <v>645</v>
      </c>
      <c r="M59" s="52" t="s">
        <v>29</v>
      </c>
      <c r="N59" s="53">
        <v>-20000</v>
      </c>
      <c r="O59" s="97">
        <v>-20000</v>
      </c>
      <c r="P59" s="52" t="s">
        <v>646</v>
      </c>
      <c r="Q59" s="52" t="s">
        <v>647</v>
      </c>
      <c r="R59" s="55" t="s">
        <v>64</v>
      </c>
      <c r="S59" s="52" t="s">
        <v>210</v>
      </c>
    </row>
    <row r="60" spans="1:19" hidden="1" outlineLevel="2" x14ac:dyDescent="0.45">
      <c r="A60" t="s">
        <v>17</v>
      </c>
      <c r="B60" s="52" t="s">
        <v>57</v>
      </c>
      <c r="C60" s="52" t="s">
        <v>376</v>
      </c>
      <c r="D60" s="52" t="s">
        <v>377</v>
      </c>
      <c r="E60" s="52" t="s">
        <v>387</v>
      </c>
      <c r="F60" s="52" t="s">
        <v>654</v>
      </c>
      <c r="G60" s="52" t="s">
        <v>60</v>
      </c>
      <c r="H60" s="54">
        <v>46023</v>
      </c>
      <c r="I60" s="52" t="s">
        <v>74</v>
      </c>
      <c r="J60" s="52" t="s">
        <v>210</v>
      </c>
      <c r="K60" s="52" t="s">
        <v>645</v>
      </c>
      <c r="L60" s="52" t="s">
        <v>645</v>
      </c>
      <c r="M60" s="52" t="s">
        <v>29</v>
      </c>
      <c r="N60" s="53">
        <v>-20000</v>
      </c>
      <c r="O60" s="97">
        <v>-20000</v>
      </c>
      <c r="P60" s="52" t="s">
        <v>646</v>
      </c>
      <c r="Q60" s="52" t="s">
        <v>647</v>
      </c>
      <c r="R60" s="55" t="s">
        <v>64</v>
      </c>
      <c r="S60" s="52" t="s">
        <v>210</v>
      </c>
    </row>
    <row r="61" spans="1:19" hidden="1" outlineLevel="2" x14ac:dyDescent="0.45">
      <c r="A61" t="s">
        <v>17</v>
      </c>
      <c r="B61" s="52" t="s">
        <v>57</v>
      </c>
      <c r="C61" s="52" t="s">
        <v>376</v>
      </c>
      <c r="D61" s="52" t="s">
        <v>377</v>
      </c>
      <c r="E61" s="52" t="s">
        <v>387</v>
      </c>
      <c r="F61" s="52" t="s">
        <v>655</v>
      </c>
      <c r="G61" s="52" t="s">
        <v>60</v>
      </c>
      <c r="H61" s="54">
        <v>46023</v>
      </c>
      <c r="I61" s="52" t="s">
        <v>74</v>
      </c>
      <c r="J61" s="52" t="s">
        <v>210</v>
      </c>
      <c r="K61" s="52" t="s">
        <v>645</v>
      </c>
      <c r="L61" s="52" t="s">
        <v>645</v>
      </c>
      <c r="M61" s="52" t="s">
        <v>29</v>
      </c>
      <c r="N61" s="53">
        <v>-20000</v>
      </c>
      <c r="O61" s="97">
        <v>-20000</v>
      </c>
      <c r="P61" s="52" t="s">
        <v>646</v>
      </c>
      <c r="Q61" s="52" t="s">
        <v>647</v>
      </c>
      <c r="R61" s="55" t="s">
        <v>64</v>
      </c>
      <c r="S61" s="52" t="s">
        <v>210</v>
      </c>
    </row>
    <row r="62" spans="1:19" outlineLevel="2" x14ac:dyDescent="0.45">
      <c r="A62" t="s">
        <v>17</v>
      </c>
      <c r="B62" s="52" t="s">
        <v>57</v>
      </c>
      <c r="C62" s="52" t="s">
        <v>656</v>
      </c>
      <c r="D62" s="52" t="s">
        <v>657</v>
      </c>
      <c r="E62" s="52" t="s">
        <v>387</v>
      </c>
      <c r="F62" s="52" t="s">
        <v>658</v>
      </c>
      <c r="G62" s="52" t="s">
        <v>60</v>
      </c>
      <c r="H62" s="54">
        <v>46023</v>
      </c>
      <c r="I62" s="52" t="s">
        <v>74</v>
      </c>
      <c r="J62" s="52" t="s">
        <v>210</v>
      </c>
      <c r="K62" s="52" t="s">
        <v>659</v>
      </c>
      <c r="L62" s="52" t="s">
        <v>659</v>
      </c>
      <c r="M62" s="52" t="s">
        <v>29</v>
      </c>
      <c r="N62" s="53">
        <v>-18563.68</v>
      </c>
      <c r="O62" s="96">
        <v>-18563.68</v>
      </c>
      <c r="P62" s="52" t="s">
        <v>660</v>
      </c>
      <c r="Q62" s="52" t="s">
        <v>625</v>
      </c>
      <c r="R62" s="55" t="s">
        <v>64</v>
      </c>
      <c r="S62" s="52" t="s">
        <v>210</v>
      </c>
    </row>
    <row r="63" spans="1:19" hidden="1" outlineLevel="2" x14ac:dyDescent="0.45">
      <c r="A63" t="s">
        <v>17</v>
      </c>
      <c r="B63" s="52" t="s">
        <v>57</v>
      </c>
      <c r="C63" s="52" t="s">
        <v>376</v>
      </c>
      <c r="D63" s="52" t="s">
        <v>377</v>
      </c>
      <c r="E63" s="52" t="s">
        <v>387</v>
      </c>
      <c r="F63" s="52" t="s">
        <v>661</v>
      </c>
      <c r="G63" s="52" t="s">
        <v>60</v>
      </c>
      <c r="H63" s="54">
        <v>46023</v>
      </c>
      <c r="I63" s="52" t="s">
        <v>74</v>
      </c>
      <c r="J63" s="52" t="s">
        <v>210</v>
      </c>
      <c r="K63" s="52" t="s">
        <v>645</v>
      </c>
      <c r="L63" s="52" t="s">
        <v>645</v>
      </c>
      <c r="M63" s="52" t="s">
        <v>29</v>
      </c>
      <c r="N63" s="53">
        <v>-16875</v>
      </c>
      <c r="O63" s="99">
        <v>-16875</v>
      </c>
      <c r="P63" s="52" t="s">
        <v>646</v>
      </c>
      <c r="Q63" s="52" t="s">
        <v>647</v>
      </c>
      <c r="R63" s="55" t="s">
        <v>64</v>
      </c>
      <c r="S63" s="52" t="s">
        <v>210</v>
      </c>
    </row>
    <row r="64" spans="1:19" hidden="1" outlineLevel="2" x14ac:dyDescent="0.45">
      <c r="A64" t="s">
        <v>17</v>
      </c>
      <c r="B64" s="52" t="s">
        <v>57</v>
      </c>
      <c r="C64" s="52" t="s">
        <v>376</v>
      </c>
      <c r="D64" s="52" t="s">
        <v>377</v>
      </c>
      <c r="E64" s="52" t="s">
        <v>387</v>
      </c>
      <c r="F64" s="52" t="s">
        <v>662</v>
      </c>
      <c r="G64" s="52" t="s">
        <v>60</v>
      </c>
      <c r="H64" s="54">
        <v>46023</v>
      </c>
      <c r="I64" s="52" t="s">
        <v>74</v>
      </c>
      <c r="J64" s="52" t="s">
        <v>649</v>
      </c>
      <c r="K64" s="52" t="s">
        <v>650</v>
      </c>
      <c r="L64" s="52" t="s">
        <v>650</v>
      </c>
      <c r="M64" s="52" t="s">
        <v>29</v>
      </c>
      <c r="N64" s="53">
        <v>-16681</v>
      </c>
      <c r="O64" s="99">
        <v>-16681</v>
      </c>
      <c r="P64" s="52" t="s">
        <v>651</v>
      </c>
      <c r="Q64" s="52" t="s">
        <v>652</v>
      </c>
      <c r="R64" s="55" t="s">
        <v>64</v>
      </c>
      <c r="S64" s="52" t="s">
        <v>649</v>
      </c>
    </row>
    <row r="65" spans="1:19" outlineLevel="2" x14ac:dyDescent="0.45">
      <c r="A65" t="s">
        <v>17</v>
      </c>
      <c r="B65" s="52" t="s">
        <v>66</v>
      </c>
      <c r="C65" s="52" t="s">
        <v>663</v>
      </c>
      <c r="D65" s="52" t="s">
        <v>664</v>
      </c>
      <c r="E65" s="52" t="s">
        <v>387</v>
      </c>
      <c r="F65" s="52" t="s">
        <v>665</v>
      </c>
      <c r="G65" s="52" t="s">
        <v>60</v>
      </c>
      <c r="H65" s="54">
        <v>46023</v>
      </c>
      <c r="I65" s="52" t="s">
        <v>74</v>
      </c>
      <c r="J65" s="52" t="s">
        <v>210</v>
      </c>
      <c r="K65" s="52" t="s">
        <v>666</v>
      </c>
      <c r="L65" s="52" t="s">
        <v>666</v>
      </c>
      <c r="M65" s="52" t="s">
        <v>67</v>
      </c>
      <c r="N65" s="53">
        <v>-4672.8</v>
      </c>
      <c r="O65" s="96">
        <v>-15630.52</v>
      </c>
      <c r="P65" s="52" t="s">
        <v>667</v>
      </c>
      <c r="Q65" s="52" t="s">
        <v>668</v>
      </c>
      <c r="R65" s="55" t="s">
        <v>64</v>
      </c>
      <c r="S65" s="52" t="s">
        <v>210</v>
      </c>
    </row>
    <row r="66" spans="1:19" outlineLevel="2" x14ac:dyDescent="0.45">
      <c r="A66" t="s">
        <v>17</v>
      </c>
      <c r="B66" s="52" t="s">
        <v>66</v>
      </c>
      <c r="C66" s="52" t="s">
        <v>669</v>
      </c>
      <c r="D66" s="52" t="s">
        <v>670</v>
      </c>
      <c r="E66" s="52" t="s">
        <v>387</v>
      </c>
      <c r="F66" s="52" t="s">
        <v>671</v>
      </c>
      <c r="G66" s="52" t="s">
        <v>60</v>
      </c>
      <c r="H66" s="54">
        <v>46023</v>
      </c>
      <c r="I66" s="52" t="s">
        <v>74</v>
      </c>
      <c r="J66" s="52" t="s">
        <v>87</v>
      </c>
      <c r="K66" s="52" t="s">
        <v>672</v>
      </c>
      <c r="L66" s="52" t="s">
        <v>672</v>
      </c>
      <c r="M66" s="52" t="s">
        <v>67</v>
      </c>
      <c r="N66" s="53">
        <v>-4159.5</v>
      </c>
      <c r="O66" s="96">
        <v>-14009.2</v>
      </c>
      <c r="P66" s="52" t="s">
        <v>673</v>
      </c>
      <c r="Q66" s="52" t="s">
        <v>674</v>
      </c>
      <c r="R66" s="55" t="s">
        <v>64</v>
      </c>
      <c r="S66" s="52" t="s">
        <v>87</v>
      </c>
    </row>
    <row r="67" spans="1:19" outlineLevel="2" x14ac:dyDescent="0.45">
      <c r="A67" t="s">
        <v>17</v>
      </c>
      <c r="B67" s="52" t="s">
        <v>57</v>
      </c>
      <c r="C67" s="52" t="s">
        <v>630</v>
      </c>
      <c r="D67" s="52" t="s">
        <v>631</v>
      </c>
      <c r="E67" s="52" t="s">
        <v>387</v>
      </c>
      <c r="F67" s="52" t="s">
        <v>677</v>
      </c>
      <c r="G67" s="52" t="s">
        <v>60</v>
      </c>
      <c r="H67" s="54">
        <v>46023</v>
      </c>
      <c r="I67" s="52" t="s">
        <v>74</v>
      </c>
      <c r="J67" s="52" t="s">
        <v>210</v>
      </c>
      <c r="K67" s="52" t="s">
        <v>678</v>
      </c>
      <c r="L67" s="52" t="s">
        <v>678</v>
      </c>
      <c r="M67" s="52" t="s">
        <v>29</v>
      </c>
      <c r="N67" s="53">
        <v>-13431</v>
      </c>
      <c r="O67" s="100">
        <v>-13431</v>
      </c>
      <c r="P67" s="52" t="s">
        <v>679</v>
      </c>
      <c r="Q67" s="52" t="s">
        <v>680</v>
      </c>
      <c r="R67" s="55" t="s">
        <v>64</v>
      </c>
      <c r="S67" s="52" t="s">
        <v>210</v>
      </c>
    </row>
    <row r="68" spans="1:19" hidden="1" outlineLevel="2" x14ac:dyDescent="0.45">
      <c r="A68" t="s">
        <v>17</v>
      </c>
      <c r="B68" s="52" t="s">
        <v>57</v>
      </c>
      <c r="C68" s="52" t="s">
        <v>376</v>
      </c>
      <c r="D68" s="52" t="s">
        <v>377</v>
      </c>
      <c r="E68" s="52" t="s">
        <v>387</v>
      </c>
      <c r="F68" s="52" t="s">
        <v>681</v>
      </c>
      <c r="G68" s="52" t="s">
        <v>60</v>
      </c>
      <c r="H68" s="54">
        <v>46023</v>
      </c>
      <c r="I68" s="52" t="s">
        <v>74</v>
      </c>
      <c r="J68" s="52" t="s">
        <v>210</v>
      </c>
      <c r="K68" s="52" t="s">
        <v>641</v>
      </c>
      <c r="L68" s="52" t="s">
        <v>641</v>
      </c>
      <c r="M68" s="52" t="s">
        <v>29</v>
      </c>
      <c r="N68" s="53">
        <v>-11110.63</v>
      </c>
      <c r="O68" s="97">
        <v>-11110.63</v>
      </c>
      <c r="P68" s="52" t="s">
        <v>642</v>
      </c>
      <c r="Q68" s="52" t="s">
        <v>643</v>
      </c>
      <c r="R68" s="55" t="s">
        <v>64</v>
      </c>
      <c r="S68" s="52" t="s">
        <v>210</v>
      </c>
    </row>
    <row r="69" spans="1:19" outlineLevel="2" x14ac:dyDescent="0.45">
      <c r="A69" t="s">
        <v>17</v>
      </c>
      <c r="B69" s="52" t="s">
        <v>66</v>
      </c>
      <c r="C69" s="52" t="s">
        <v>682</v>
      </c>
      <c r="D69" s="52" t="s">
        <v>683</v>
      </c>
      <c r="E69" s="52" t="s">
        <v>387</v>
      </c>
      <c r="F69" s="52" t="s">
        <v>684</v>
      </c>
      <c r="G69" s="52" t="s">
        <v>60</v>
      </c>
      <c r="H69" s="54">
        <v>46023</v>
      </c>
      <c r="I69" s="52" t="s">
        <v>74</v>
      </c>
      <c r="J69" s="52" t="s">
        <v>210</v>
      </c>
      <c r="K69" s="52" t="s">
        <v>685</v>
      </c>
      <c r="L69" s="52" t="s">
        <v>685</v>
      </c>
      <c r="M69" s="52" t="s">
        <v>67</v>
      </c>
      <c r="N69" s="53">
        <v>-3115.2</v>
      </c>
      <c r="O69" s="96">
        <v>-10420.34</v>
      </c>
      <c r="P69" s="52" t="s">
        <v>686</v>
      </c>
      <c r="Q69" s="52" t="s">
        <v>687</v>
      </c>
      <c r="R69" s="55" t="s">
        <v>64</v>
      </c>
      <c r="S69" s="52" t="s">
        <v>210</v>
      </c>
    </row>
    <row r="70" spans="1:19" hidden="1" outlineLevel="2" x14ac:dyDescent="0.45">
      <c r="A70" t="s">
        <v>17</v>
      </c>
      <c r="B70" s="52" t="s">
        <v>57</v>
      </c>
      <c r="C70" s="52" t="s">
        <v>376</v>
      </c>
      <c r="D70" s="52" t="s">
        <v>377</v>
      </c>
      <c r="E70" s="52" t="s">
        <v>387</v>
      </c>
      <c r="F70" s="52" t="s">
        <v>688</v>
      </c>
      <c r="G70" s="52" t="s">
        <v>60</v>
      </c>
      <c r="H70" s="54">
        <v>46023</v>
      </c>
      <c r="I70" s="52" t="s">
        <v>74</v>
      </c>
      <c r="J70" s="52" t="s">
        <v>210</v>
      </c>
      <c r="K70" s="52" t="s">
        <v>645</v>
      </c>
      <c r="L70" s="52" t="s">
        <v>645</v>
      </c>
      <c r="M70" s="52" t="s">
        <v>29</v>
      </c>
      <c r="N70" s="53">
        <v>-10005</v>
      </c>
      <c r="O70" s="97">
        <v>-10005</v>
      </c>
      <c r="P70" s="52" t="s">
        <v>646</v>
      </c>
      <c r="Q70" s="52" t="s">
        <v>647</v>
      </c>
      <c r="R70" s="55" t="s">
        <v>64</v>
      </c>
      <c r="S70" s="52" t="s">
        <v>210</v>
      </c>
    </row>
    <row r="71" spans="1:19" hidden="1" outlineLevel="2" x14ac:dyDescent="0.45">
      <c r="A71" s="59" t="s">
        <v>17</v>
      </c>
      <c r="B71" s="60" t="s">
        <v>57</v>
      </c>
      <c r="C71" s="52" t="s">
        <v>376</v>
      </c>
      <c r="D71" s="60" t="s">
        <v>377</v>
      </c>
      <c r="E71" s="52" t="s">
        <v>387</v>
      </c>
      <c r="F71" s="52" t="s">
        <v>689</v>
      </c>
      <c r="G71" s="52" t="s">
        <v>60</v>
      </c>
      <c r="H71" s="54">
        <v>46023</v>
      </c>
      <c r="I71" s="52" t="s">
        <v>74</v>
      </c>
      <c r="J71" s="60" t="s">
        <v>210</v>
      </c>
      <c r="K71" s="52" t="s">
        <v>690</v>
      </c>
      <c r="L71" s="52" t="s">
        <v>690</v>
      </c>
      <c r="M71" s="60" t="s">
        <v>29</v>
      </c>
      <c r="N71" s="61">
        <v>-10000</v>
      </c>
      <c r="O71" s="101">
        <v>-10000</v>
      </c>
      <c r="P71" s="60" t="s">
        <v>691</v>
      </c>
      <c r="Q71" s="60" t="s">
        <v>692</v>
      </c>
      <c r="R71" s="62" t="s">
        <v>64</v>
      </c>
      <c r="S71" s="60" t="s">
        <v>210</v>
      </c>
    </row>
    <row r="72" spans="1:19" hidden="1" outlineLevel="2" x14ac:dyDescent="0.45">
      <c r="A72" t="s">
        <v>17</v>
      </c>
      <c r="B72" s="52" t="s">
        <v>57</v>
      </c>
      <c r="C72" s="52" t="s">
        <v>376</v>
      </c>
      <c r="D72" s="52" t="s">
        <v>377</v>
      </c>
      <c r="E72" s="52" t="s">
        <v>387</v>
      </c>
      <c r="F72" s="52" t="s">
        <v>693</v>
      </c>
      <c r="G72" s="52" t="s">
        <v>60</v>
      </c>
      <c r="H72" s="54">
        <v>46023</v>
      </c>
      <c r="I72" s="52" t="s">
        <v>74</v>
      </c>
      <c r="J72" s="52" t="s">
        <v>210</v>
      </c>
      <c r="K72" s="52" t="s">
        <v>645</v>
      </c>
      <c r="L72" s="52" t="s">
        <v>645</v>
      </c>
      <c r="M72" s="52" t="s">
        <v>29</v>
      </c>
      <c r="N72" s="53">
        <v>-10000</v>
      </c>
      <c r="O72" s="97">
        <v>-10000</v>
      </c>
      <c r="P72" s="52" t="s">
        <v>646</v>
      </c>
      <c r="Q72" s="52" t="s">
        <v>647</v>
      </c>
      <c r="R72" s="55" t="s">
        <v>64</v>
      </c>
      <c r="S72" s="52" t="s">
        <v>210</v>
      </c>
    </row>
    <row r="73" spans="1:19" hidden="1" outlineLevel="2" x14ac:dyDescent="0.45">
      <c r="A73" s="59" t="s">
        <v>17</v>
      </c>
      <c r="B73" s="60" t="s">
        <v>57</v>
      </c>
      <c r="C73" s="52" t="s">
        <v>376</v>
      </c>
      <c r="D73" s="60" t="s">
        <v>377</v>
      </c>
      <c r="E73" s="52" t="s">
        <v>71</v>
      </c>
      <c r="F73" s="52" t="s">
        <v>694</v>
      </c>
      <c r="G73" s="52" t="s">
        <v>73</v>
      </c>
      <c r="H73" s="54">
        <v>46023</v>
      </c>
      <c r="I73" s="52" t="s">
        <v>74</v>
      </c>
      <c r="J73" s="60" t="s">
        <v>210</v>
      </c>
      <c r="K73" s="52" t="s">
        <v>695</v>
      </c>
      <c r="L73" s="52" t="s">
        <v>695</v>
      </c>
      <c r="M73" s="60" t="s">
        <v>29</v>
      </c>
      <c r="N73" s="61">
        <v>10000</v>
      </c>
      <c r="O73" s="101">
        <v>10000</v>
      </c>
      <c r="P73" s="60" t="s">
        <v>696</v>
      </c>
      <c r="Q73" s="60" t="s">
        <v>118</v>
      </c>
      <c r="R73" s="62" t="s">
        <v>64</v>
      </c>
      <c r="S73" s="60" t="s">
        <v>210</v>
      </c>
    </row>
    <row r="74" spans="1:19" outlineLevel="2" x14ac:dyDescent="0.45">
      <c r="A74" t="s">
        <v>17</v>
      </c>
      <c r="B74" s="52" t="s">
        <v>57</v>
      </c>
      <c r="C74" s="52" t="s">
        <v>697</v>
      </c>
      <c r="D74" s="52" t="s">
        <v>698</v>
      </c>
      <c r="E74" s="52" t="s">
        <v>387</v>
      </c>
      <c r="F74" s="52" t="s">
        <v>699</v>
      </c>
      <c r="G74" s="52" t="s">
        <v>60</v>
      </c>
      <c r="H74" s="54">
        <v>46023</v>
      </c>
      <c r="I74" s="52" t="s">
        <v>74</v>
      </c>
      <c r="J74" s="52" t="s">
        <v>107</v>
      </c>
      <c r="K74" s="52" t="s">
        <v>700</v>
      </c>
      <c r="L74" s="52" t="s">
        <v>701</v>
      </c>
      <c r="M74" s="52" t="s">
        <v>29</v>
      </c>
      <c r="N74" s="53">
        <v>-8890.7900000000009</v>
      </c>
      <c r="O74" s="96">
        <v>-8890.7900000000009</v>
      </c>
      <c r="P74" s="52" t="s">
        <v>702</v>
      </c>
      <c r="Q74" s="52" t="s">
        <v>703</v>
      </c>
      <c r="R74" s="55" t="s">
        <v>64</v>
      </c>
      <c r="S74" s="52" t="s">
        <v>107</v>
      </c>
    </row>
    <row r="75" spans="1:19" hidden="1" outlineLevel="2" x14ac:dyDescent="0.45">
      <c r="A75" t="s">
        <v>17</v>
      </c>
      <c r="B75" s="52" t="s">
        <v>57</v>
      </c>
      <c r="C75" s="52" t="s">
        <v>376</v>
      </c>
      <c r="D75" s="52" t="s">
        <v>377</v>
      </c>
      <c r="E75" s="52" t="s">
        <v>387</v>
      </c>
      <c r="F75" s="52" t="s">
        <v>704</v>
      </c>
      <c r="G75" s="52" t="s">
        <v>60</v>
      </c>
      <c r="H75" s="54">
        <v>46023</v>
      </c>
      <c r="I75" s="52" t="s">
        <v>74</v>
      </c>
      <c r="J75" s="52" t="s">
        <v>210</v>
      </c>
      <c r="K75" s="52" t="s">
        <v>645</v>
      </c>
      <c r="L75" s="52" t="s">
        <v>645</v>
      </c>
      <c r="M75" s="52" t="s">
        <v>29</v>
      </c>
      <c r="N75" s="53">
        <v>-8817</v>
      </c>
      <c r="O75" s="97">
        <v>-8817</v>
      </c>
      <c r="P75" s="52" t="s">
        <v>646</v>
      </c>
      <c r="Q75" s="52" t="s">
        <v>647</v>
      </c>
      <c r="R75" s="55" t="s">
        <v>64</v>
      </c>
      <c r="S75" s="52" t="s">
        <v>210</v>
      </c>
    </row>
    <row r="76" spans="1:19" hidden="1" outlineLevel="2" x14ac:dyDescent="0.45">
      <c r="A76" t="s">
        <v>17</v>
      </c>
      <c r="B76" s="52" t="s">
        <v>57</v>
      </c>
      <c r="C76" s="52" t="s">
        <v>376</v>
      </c>
      <c r="D76" s="52" t="s">
        <v>377</v>
      </c>
      <c r="E76" s="52" t="s">
        <v>387</v>
      </c>
      <c r="F76" s="52" t="s">
        <v>705</v>
      </c>
      <c r="G76" s="52" t="s">
        <v>60</v>
      </c>
      <c r="H76" s="54">
        <v>46023</v>
      </c>
      <c r="I76" s="52" t="s">
        <v>74</v>
      </c>
      <c r="J76" s="52" t="s">
        <v>210</v>
      </c>
      <c r="K76" s="52" t="s">
        <v>645</v>
      </c>
      <c r="L76" s="52" t="s">
        <v>645</v>
      </c>
      <c r="M76" s="52" t="s">
        <v>29</v>
      </c>
      <c r="N76" s="53">
        <v>-8260</v>
      </c>
      <c r="O76" s="97">
        <v>-8260</v>
      </c>
      <c r="P76" s="52" t="s">
        <v>646</v>
      </c>
      <c r="Q76" s="52" t="s">
        <v>647</v>
      </c>
      <c r="R76" s="55" t="s">
        <v>64</v>
      </c>
      <c r="S76" s="52" t="s">
        <v>210</v>
      </c>
    </row>
    <row r="77" spans="1:19" hidden="1" outlineLevel="2" x14ac:dyDescent="0.45">
      <c r="A77" t="s">
        <v>17</v>
      </c>
      <c r="B77" s="52" t="s">
        <v>57</v>
      </c>
      <c r="C77" s="52" t="s">
        <v>376</v>
      </c>
      <c r="D77" s="52" t="s">
        <v>377</v>
      </c>
      <c r="E77" s="52" t="s">
        <v>387</v>
      </c>
      <c r="F77" s="52" t="s">
        <v>706</v>
      </c>
      <c r="G77" s="52" t="s">
        <v>60</v>
      </c>
      <c r="H77" s="54">
        <v>46023</v>
      </c>
      <c r="I77" s="52" t="s">
        <v>74</v>
      </c>
      <c r="J77" s="52" t="s">
        <v>210</v>
      </c>
      <c r="K77" s="52" t="s">
        <v>645</v>
      </c>
      <c r="L77" s="52" t="s">
        <v>645</v>
      </c>
      <c r="M77" s="52" t="s">
        <v>29</v>
      </c>
      <c r="N77" s="53">
        <v>-8000</v>
      </c>
      <c r="O77" s="97">
        <v>-8000</v>
      </c>
      <c r="P77" s="52" t="s">
        <v>646</v>
      </c>
      <c r="Q77" s="52" t="s">
        <v>647</v>
      </c>
      <c r="R77" s="55" t="s">
        <v>64</v>
      </c>
      <c r="S77" s="52" t="s">
        <v>210</v>
      </c>
    </row>
    <row r="78" spans="1:19" outlineLevel="2" x14ac:dyDescent="0.45">
      <c r="A78" t="s">
        <v>17</v>
      </c>
      <c r="B78" s="52" t="s">
        <v>57</v>
      </c>
      <c r="C78" s="52" t="s">
        <v>707</v>
      </c>
      <c r="D78" s="52" t="s">
        <v>708</v>
      </c>
      <c r="E78" s="52" t="s">
        <v>387</v>
      </c>
      <c r="F78" s="52" t="s">
        <v>709</v>
      </c>
      <c r="G78" s="52" t="s">
        <v>60</v>
      </c>
      <c r="H78" s="54">
        <v>46023</v>
      </c>
      <c r="I78" s="52" t="s">
        <v>74</v>
      </c>
      <c r="J78" s="52" t="s">
        <v>107</v>
      </c>
      <c r="K78" s="52" t="s">
        <v>710</v>
      </c>
      <c r="L78" s="52" t="s">
        <v>711</v>
      </c>
      <c r="M78" s="52" t="s">
        <v>29</v>
      </c>
      <c r="N78" s="53">
        <v>-7481.76</v>
      </c>
      <c r="O78" s="96">
        <v>-7481.76</v>
      </c>
      <c r="P78" s="52" t="s">
        <v>712</v>
      </c>
      <c r="Q78" s="52" t="s">
        <v>713</v>
      </c>
      <c r="R78" s="55" t="s">
        <v>64</v>
      </c>
      <c r="S78" s="52" t="s">
        <v>107</v>
      </c>
    </row>
    <row r="79" spans="1:19" hidden="1" outlineLevel="2" x14ac:dyDescent="0.45">
      <c r="A79" t="s">
        <v>17</v>
      </c>
      <c r="B79" s="52" t="s">
        <v>66</v>
      </c>
      <c r="C79" s="52" t="s">
        <v>376</v>
      </c>
      <c r="D79" s="52" t="s">
        <v>377</v>
      </c>
      <c r="E79" s="52" t="s">
        <v>387</v>
      </c>
      <c r="F79" s="52" t="s">
        <v>714</v>
      </c>
      <c r="G79" s="52" t="s">
        <v>60</v>
      </c>
      <c r="H79" s="54">
        <v>46023</v>
      </c>
      <c r="I79" s="52" t="s">
        <v>74</v>
      </c>
      <c r="J79" s="52" t="s">
        <v>210</v>
      </c>
      <c r="K79" s="52" t="s">
        <v>715</v>
      </c>
      <c r="L79" s="52" t="s">
        <v>715</v>
      </c>
      <c r="M79" s="52" t="s">
        <v>67</v>
      </c>
      <c r="N79" s="53">
        <v>-2000</v>
      </c>
      <c r="O79" s="97">
        <v>-6690</v>
      </c>
      <c r="P79" s="52" t="s">
        <v>716</v>
      </c>
      <c r="Q79" s="52" t="s">
        <v>717</v>
      </c>
      <c r="R79" s="55" t="s">
        <v>64</v>
      </c>
      <c r="S79" s="52" t="s">
        <v>210</v>
      </c>
    </row>
    <row r="80" spans="1:19" hidden="1" outlineLevel="2" x14ac:dyDescent="0.45">
      <c r="A80" t="s">
        <v>17</v>
      </c>
      <c r="B80" s="52" t="s">
        <v>57</v>
      </c>
      <c r="C80" s="52" t="s">
        <v>376</v>
      </c>
      <c r="D80" s="52" t="s">
        <v>377</v>
      </c>
      <c r="E80" s="52" t="s">
        <v>387</v>
      </c>
      <c r="F80" s="52" t="s">
        <v>723</v>
      </c>
      <c r="G80" s="52" t="s">
        <v>60</v>
      </c>
      <c r="H80" s="54">
        <v>46023</v>
      </c>
      <c r="I80" s="52" t="s">
        <v>74</v>
      </c>
      <c r="J80" s="52" t="s">
        <v>649</v>
      </c>
      <c r="K80" s="52" t="s">
        <v>650</v>
      </c>
      <c r="L80" s="52" t="s">
        <v>650</v>
      </c>
      <c r="M80" s="52" t="s">
        <v>29</v>
      </c>
      <c r="N80" s="53">
        <v>-5385.81</v>
      </c>
      <c r="O80" s="97">
        <v>-5385.81</v>
      </c>
      <c r="P80" s="52" t="s">
        <v>651</v>
      </c>
      <c r="Q80" s="52" t="s">
        <v>652</v>
      </c>
      <c r="R80" s="55" t="s">
        <v>64</v>
      </c>
      <c r="S80" s="52" t="s">
        <v>649</v>
      </c>
    </row>
    <row r="81" spans="1:19" hidden="1" outlineLevel="2" x14ac:dyDescent="0.45">
      <c r="A81" t="s">
        <v>17</v>
      </c>
      <c r="B81" s="52" t="s">
        <v>57</v>
      </c>
      <c r="C81" s="52" t="s">
        <v>376</v>
      </c>
      <c r="D81" s="52" t="s">
        <v>377</v>
      </c>
      <c r="E81" s="52" t="s">
        <v>387</v>
      </c>
      <c r="F81" s="52" t="s">
        <v>724</v>
      </c>
      <c r="G81" s="52" t="s">
        <v>60</v>
      </c>
      <c r="H81" s="54">
        <v>46023</v>
      </c>
      <c r="I81" s="52" t="s">
        <v>74</v>
      </c>
      <c r="J81" s="52" t="s">
        <v>649</v>
      </c>
      <c r="K81" s="52" t="s">
        <v>650</v>
      </c>
      <c r="L81" s="52" t="s">
        <v>650</v>
      </c>
      <c r="M81" s="52" t="s">
        <v>29</v>
      </c>
      <c r="N81" s="53">
        <v>-5237</v>
      </c>
      <c r="O81" s="97">
        <v>-5237</v>
      </c>
      <c r="P81" s="52" t="s">
        <v>651</v>
      </c>
      <c r="Q81" s="52" t="s">
        <v>652</v>
      </c>
      <c r="R81" s="55" t="s">
        <v>64</v>
      </c>
      <c r="S81" s="52" t="s">
        <v>649</v>
      </c>
    </row>
    <row r="82" spans="1:19" outlineLevel="2" x14ac:dyDescent="0.45">
      <c r="A82" t="s">
        <v>17</v>
      </c>
      <c r="B82" s="52" t="s">
        <v>57</v>
      </c>
      <c r="C82" s="52" t="s">
        <v>725</v>
      </c>
      <c r="D82" s="52" t="s">
        <v>726</v>
      </c>
      <c r="E82" s="52" t="s">
        <v>387</v>
      </c>
      <c r="F82" s="52" t="s">
        <v>727</v>
      </c>
      <c r="G82" s="52" t="s">
        <v>60</v>
      </c>
      <c r="H82" s="54">
        <v>46023</v>
      </c>
      <c r="I82" s="52" t="s">
        <v>74</v>
      </c>
      <c r="J82" s="52" t="s">
        <v>107</v>
      </c>
      <c r="K82" s="52" t="s">
        <v>728</v>
      </c>
      <c r="L82" s="52" t="s">
        <v>728</v>
      </c>
      <c r="M82" s="52" t="s">
        <v>29</v>
      </c>
      <c r="N82" s="53">
        <v>-4956</v>
      </c>
      <c r="O82" s="96">
        <v>-4956</v>
      </c>
      <c r="P82" s="52" t="s">
        <v>729</v>
      </c>
      <c r="Q82" s="52" t="s">
        <v>730</v>
      </c>
      <c r="R82" s="55" t="s">
        <v>64</v>
      </c>
      <c r="S82" s="52" t="s">
        <v>107</v>
      </c>
    </row>
    <row r="83" spans="1:19" hidden="1" outlineLevel="2" x14ac:dyDescent="0.45">
      <c r="A83" t="s">
        <v>17</v>
      </c>
      <c r="B83" s="52" t="s">
        <v>57</v>
      </c>
      <c r="C83" s="52" t="s">
        <v>376</v>
      </c>
      <c r="D83" s="52" t="s">
        <v>377</v>
      </c>
      <c r="E83" s="52" t="s">
        <v>387</v>
      </c>
      <c r="F83" s="52" t="s">
        <v>731</v>
      </c>
      <c r="G83" s="52" t="s">
        <v>60</v>
      </c>
      <c r="H83" s="54">
        <v>46023</v>
      </c>
      <c r="I83" s="52" t="s">
        <v>74</v>
      </c>
      <c r="J83" s="52" t="s">
        <v>210</v>
      </c>
      <c r="K83" s="52" t="s">
        <v>645</v>
      </c>
      <c r="L83" s="52" t="s">
        <v>645</v>
      </c>
      <c r="M83" s="52" t="s">
        <v>29</v>
      </c>
      <c r="N83" s="53">
        <v>-4935.22</v>
      </c>
      <c r="O83" s="97">
        <v>-4935.22</v>
      </c>
      <c r="P83" s="52" t="s">
        <v>646</v>
      </c>
      <c r="Q83" s="52" t="s">
        <v>647</v>
      </c>
      <c r="R83" s="55" t="s">
        <v>64</v>
      </c>
      <c r="S83" s="52" t="s">
        <v>210</v>
      </c>
    </row>
    <row r="84" spans="1:19" hidden="1" outlineLevel="2" x14ac:dyDescent="0.45">
      <c r="A84" t="s">
        <v>17</v>
      </c>
      <c r="B84" s="52" t="s">
        <v>57</v>
      </c>
      <c r="C84" s="52" t="s">
        <v>376</v>
      </c>
      <c r="D84" s="52" t="s">
        <v>377</v>
      </c>
      <c r="E84" s="52" t="s">
        <v>387</v>
      </c>
      <c r="F84" s="52" t="s">
        <v>732</v>
      </c>
      <c r="G84" s="52" t="s">
        <v>60</v>
      </c>
      <c r="H84" s="54">
        <v>46023</v>
      </c>
      <c r="I84" s="52" t="s">
        <v>74</v>
      </c>
      <c r="J84" s="52" t="s">
        <v>210</v>
      </c>
      <c r="K84" s="52" t="s">
        <v>641</v>
      </c>
      <c r="L84" s="52" t="s">
        <v>641</v>
      </c>
      <c r="M84" s="52" t="s">
        <v>29</v>
      </c>
      <c r="N84" s="53">
        <v>-4466.32</v>
      </c>
      <c r="O84" s="97">
        <v>-4466.32</v>
      </c>
      <c r="P84" s="52" t="s">
        <v>642</v>
      </c>
      <c r="Q84" s="52" t="s">
        <v>643</v>
      </c>
      <c r="R84" s="55" t="s">
        <v>64</v>
      </c>
      <c r="S84" s="52" t="s">
        <v>210</v>
      </c>
    </row>
    <row r="85" spans="1:19" hidden="1" outlineLevel="2" x14ac:dyDescent="0.45">
      <c r="A85" t="s">
        <v>17</v>
      </c>
      <c r="B85" s="52" t="s">
        <v>57</v>
      </c>
      <c r="C85" s="52" t="s">
        <v>376</v>
      </c>
      <c r="D85" s="52" t="s">
        <v>377</v>
      </c>
      <c r="E85" s="52" t="s">
        <v>387</v>
      </c>
      <c r="F85" s="52" t="s">
        <v>733</v>
      </c>
      <c r="G85" s="52" t="s">
        <v>60</v>
      </c>
      <c r="H85" s="54">
        <v>46023</v>
      </c>
      <c r="I85" s="52" t="s">
        <v>74</v>
      </c>
      <c r="J85" s="52" t="s">
        <v>210</v>
      </c>
      <c r="K85" s="52" t="s">
        <v>645</v>
      </c>
      <c r="L85" s="52" t="s">
        <v>645</v>
      </c>
      <c r="M85" s="52" t="s">
        <v>29</v>
      </c>
      <c r="N85" s="53">
        <v>-4000</v>
      </c>
      <c r="O85" s="97">
        <v>-4000</v>
      </c>
      <c r="P85" s="52" t="s">
        <v>646</v>
      </c>
      <c r="Q85" s="52" t="s">
        <v>647</v>
      </c>
      <c r="R85" s="55" t="s">
        <v>64</v>
      </c>
      <c r="S85" s="52" t="s">
        <v>210</v>
      </c>
    </row>
    <row r="86" spans="1:19" outlineLevel="2" x14ac:dyDescent="0.45">
      <c r="A86" t="s">
        <v>17</v>
      </c>
      <c r="B86" s="52" t="s">
        <v>57</v>
      </c>
      <c r="C86" s="52" t="s">
        <v>734</v>
      </c>
      <c r="D86" s="52" t="s">
        <v>735</v>
      </c>
      <c r="E86" s="52" t="s">
        <v>387</v>
      </c>
      <c r="F86" s="52" t="s">
        <v>736</v>
      </c>
      <c r="G86" s="52" t="s">
        <v>60</v>
      </c>
      <c r="H86" s="54">
        <v>46023</v>
      </c>
      <c r="I86" s="52" t="s">
        <v>74</v>
      </c>
      <c r="J86" s="52" t="s">
        <v>107</v>
      </c>
      <c r="K86" s="52" t="s">
        <v>737</v>
      </c>
      <c r="L86" s="52" t="s">
        <v>738</v>
      </c>
      <c r="M86" s="52" t="s">
        <v>29</v>
      </c>
      <c r="N86" s="53">
        <v>-3853.82</v>
      </c>
      <c r="O86" s="96">
        <v>-3853.82</v>
      </c>
      <c r="P86" s="52" t="s">
        <v>739</v>
      </c>
      <c r="Q86" s="52" t="s">
        <v>740</v>
      </c>
      <c r="R86" s="55" t="s">
        <v>64</v>
      </c>
      <c r="S86" s="52" t="s">
        <v>107</v>
      </c>
    </row>
    <row r="87" spans="1:19" hidden="1" outlineLevel="2" x14ac:dyDescent="0.45">
      <c r="A87" t="s">
        <v>17</v>
      </c>
      <c r="B87" s="52" t="s">
        <v>57</v>
      </c>
      <c r="C87" s="52" t="s">
        <v>376</v>
      </c>
      <c r="D87" s="52" t="s">
        <v>377</v>
      </c>
      <c r="E87" s="52" t="s">
        <v>387</v>
      </c>
      <c r="F87" s="52" t="s">
        <v>741</v>
      </c>
      <c r="G87" s="52" t="s">
        <v>60</v>
      </c>
      <c r="H87" s="54">
        <v>46023</v>
      </c>
      <c r="I87" s="52" t="s">
        <v>74</v>
      </c>
      <c r="J87" s="52" t="s">
        <v>210</v>
      </c>
      <c r="K87" s="52" t="s">
        <v>645</v>
      </c>
      <c r="L87" s="52" t="s">
        <v>645</v>
      </c>
      <c r="M87" s="52" t="s">
        <v>29</v>
      </c>
      <c r="N87" s="53">
        <v>-3500</v>
      </c>
      <c r="O87" s="97">
        <v>-3500</v>
      </c>
      <c r="P87" s="52" t="s">
        <v>646</v>
      </c>
      <c r="Q87" s="52" t="s">
        <v>647</v>
      </c>
      <c r="R87" s="55" t="s">
        <v>64</v>
      </c>
      <c r="S87" s="52" t="s">
        <v>210</v>
      </c>
    </row>
    <row r="88" spans="1:19" hidden="1" outlineLevel="2" x14ac:dyDescent="0.45">
      <c r="A88" t="s">
        <v>17</v>
      </c>
      <c r="B88" s="52" t="s">
        <v>66</v>
      </c>
      <c r="C88" s="52" t="s">
        <v>376</v>
      </c>
      <c r="D88" s="52" t="s">
        <v>377</v>
      </c>
      <c r="E88" s="52" t="s">
        <v>387</v>
      </c>
      <c r="F88" s="52" t="s">
        <v>742</v>
      </c>
      <c r="G88" s="52" t="s">
        <v>60</v>
      </c>
      <c r="H88" s="54">
        <v>46023</v>
      </c>
      <c r="I88" s="52" t="s">
        <v>74</v>
      </c>
      <c r="J88" s="52" t="s">
        <v>210</v>
      </c>
      <c r="K88" s="52" t="s">
        <v>743</v>
      </c>
      <c r="L88" s="52" t="s">
        <v>743</v>
      </c>
      <c r="M88" s="52" t="s">
        <v>67</v>
      </c>
      <c r="N88" s="53">
        <v>-1000</v>
      </c>
      <c r="O88" s="97">
        <v>-3345</v>
      </c>
      <c r="P88" s="52" t="s">
        <v>744</v>
      </c>
      <c r="Q88" s="52" t="s">
        <v>745</v>
      </c>
      <c r="R88" s="55" t="s">
        <v>64</v>
      </c>
      <c r="S88" s="52" t="s">
        <v>210</v>
      </c>
    </row>
    <row r="89" spans="1:19" hidden="1" outlineLevel="2" x14ac:dyDescent="0.45">
      <c r="A89" t="s">
        <v>17</v>
      </c>
      <c r="B89" s="52" t="s">
        <v>57</v>
      </c>
      <c r="C89" s="52" t="s">
        <v>376</v>
      </c>
      <c r="D89" s="52" t="s">
        <v>377</v>
      </c>
      <c r="E89" s="52" t="s">
        <v>387</v>
      </c>
      <c r="F89" s="52" t="s">
        <v>746</v>
      </c>
      <c r="G89" s="52" t="s">
        <v>60</v>
      </c>
      <c r="H89" s="54">
        <v>46023</v>
      </c>
      <c r="I89" s="52" t="s">
        <v>74</v>
      </c>
      <c r="J89" s="52" t="s">
        <v>210</v>
      </c>
      <c r="K89" s="52" t="s">
        <v>641</v>
      </c>
      <c r="L89" s="52" t="s">
        <v>641</v>
      </c>
      <c r="M89" s="52" t="s">
        <v>29</v>
      </c>
      <c r="N89" s="53">
        <v>-3297.06</v>
      </c>
      <c r="O89" s="97">
        <v>-3297.06</v>
      </c>
      <c r="P89" s="52" t="s">
        <v>642</v>
      </c>
      <c r="Q89" s="52" t="s">
        <v>643</v>
      </c>
      <c r="R89" s="55" t="s">
        <v>64</v>
      </c>
      <c r="S89" s="52" t="s">
        <v>210</v>
      </c>
    </row>
    <row r="90" spans="1:19" outlineLevel="2" x14ac:dyDescent="0.45">
      <c r="A90" t="s">
        <v>17</v>
      </c>
      <c r="B90" s="52" t="s">
        <v>57</v>
      </c>
      <c r="C90" s="52" t="s">
        <v>747</v>
      </c>
      <c r="D90" s="52" t="s">
        <v>748</v>
      </c>
      <c r="E90" s="52" t="s">
        <v>387</v>
      </c>
      <c r="F90" s="52" t="s">
        <v>749</v>
      </c>
      <c r="G90" s="52" t="s">
        <v>60</v>
      </c>
      <c r="H90" s="54">
        <v>46023</v>
      </c>
      <c r="I90" s="52" t="s">
        <v>74</v>
      </c>
      <c r="J90" s="52" t="s">
        <v>210</v>
      </c>
      <c r="K90" s="52" t="s">
        <v>750</v>
      </c>
      <c r="L90" s="52" t="s">
        <v>750</v>
      </c>
      <c r="M90" s="52" t="s">
        <v>29</v>
      </c>
      <c r="N90" s="53">
        <v>-3175.44</v>
      </c>
      <c r="O90" s="96">
        <v>-3175.44</v>
      </c>
      <c r="P90" s="52" t="s">
        <v>751</v>
      </c>
      <c r="Q90" s="52" t="s">
        <v>625</v>
      </c>
      <c r="R90" s="55" t="s">
        <v>64</v>
      </c>
      <c r="S90" s="52" t="s">
        <v>210</v>
      </c>
    </row>
    <row r="91" spans="1:19" outlineLevel="2" x14ac:dyDescent="0.45">
      <c r="A91" t="s">
        <v>17</v>
      </c>
      <c r="B91" s="52" t="s">
        <v>57</v>
      </c>
      <c r="C91" s="52" t="s">
        <v>752</v>
      </c>
      <c r="D91" s="52" t="s">
        <v>753</v>
      </c>
      <c r="E91" s="52" t="s">
        <v>387</v>
      </c>
      <c r="F91" s="52" t="s">
        <v>754</v>
      </c>
      <c r="G91" s="52" t="s">
        <v>60</v>
      </c>
      <c r="H91" s="54">
        <v>46023</v>
      </c>
      <c r="I91" s="52" t="s">
        <v>74</v>
      </c>
      <c r="J91" s="52" t="s">
        <v>210</v>
      </c>
      <c r="K91" s="52" t="s">
        <v>755</v>
      </c>
      <c r="L91" s="52" t="s">
        <v>755</v>
      </c>
      <c r="M91" s="52" t="s">
        <v>29</v>
      </c>
      <c r="N91" s="53">
        <v>-3115</v>
      </c>
      <c r="O91" s="96">
        <v>-3115</v>
      </c>
      <c r="P91" s="52" t="s">
        <v>756</v>
      </c>
      <c r="Q91" s="52" t="s">
        <v>625</v>
      </c>
      <c r="R91" s="55" t="s">
        <v>64</v>
      </c>
      <c r="S91" s="52" t="s">
        <v>210</v>
      </c>
    </row>
    <row r="92" spans="1:19" hidden="1" outlineLevel="2" x14ac:dyDescent="0.45">
      <c r="A92" t="s">
        <v>17</v>
      </c>
      <c r="B92" s="52" t="s">
        <v>57</v>
      </c>
      <c r="C92" s="52" t="s">
        <v>376</v>
      </c>
      <c r="D92" s="52" t="s">
        <v>377</v>
      </c>
      <c r="E92" s="52" t="s">
        <v>387</v>
      </c>
      <c r="F92" s="52" t="s">
        <v>757</v>
      </c>
      <c r="G92" s="52" t="s">
        <v>60</v>
      </c>
      <c r="H92" s="54">
        <v>46023</v>
      </c>
      <c r="I92" s="52" t="s">
        <v>74</v>
      </c>
      <c r="J92" s="52" t="s">
        <v>649</v>
      </c>
      <c r="K92" s="52" t="s">
        <v>650</v>
      </c>
      <c r="L92" s="52" t="s">
        <v>650</v>
      </c>
      <c r="M92" s="52" t="s">
        <v>29</v>
      </c>
      <c r="N92" s="53">
        <v>-3007</v>
      </c>
      <c r="O92" s="97">
        <v>-3007</v>
      </c>
      <c r="P92" s="52" t="s">
        <v>651</v>
      </c>
      <c r="Q92" s="52" t="s">
        <v>652</v>
      </c>
      <c r="R92" s="55" t="s">
        <v>64</v>
      </c>
      <c r="S92" s="52" t="s">
        <v>649</v>
      </c>
    </row>
    <row r="93" spans="1:19" outlineLevel="2" x14ac:dyDescent="0.45">
      <c r="A93" t="s">
        <v>17</v>
      </c>
      <c r="B93" s="52" t="s">
        <v>57</v>
      </c>
      <c r="C93" s="52" t="s">
        <v>758</v>
      </c>
      <c r="D93" s="52" t="s">
        <v>759</v>
      </c>
      <c r="E93" s="52" t="s">
        <v>387</v>
      </c>
      <c r="F93" s="52" t="s">
        <v>760</v>
      </c>
      <c r="G93" s="52" t="s">
        <v>60</v>
      </c>
      <c r="H93" s="54">
        <v>46023</v>
      </c>
      <c r="I93" s="52" t="s">
        <v>74</v>
      </c>
      <c r="J93" s="52" t="s">
        <v>99</v>
      </c>
      <c r="K93" s="52" t="s">
        <v>761</v>
      </c>
      <c r="L93" s="52" t="s">
        <v>761</v>
      </c>
      <c r="M93" s="52" t="s">
        <v>29</v>
      </c>
      <c r="N93" s="53">
        <v>-2632.06</v>
      </c>
      <c r="O93" s="96">
        <v>-2632.06</v>
      </c>
      <c r="P93" s="52" t="s">
        <v>762</v>
      </c>
      <c r="Q93" s="52" t="s">
        <v>763</v>
      </c>
      <c r="R93" s="55" t="s">
        <v>64</v>
      </c>
      <c r="S93" s="52" t="s">
        <v>99</v>
      </c>
    </row>
    <row r="94" spans="1:19" hidden="1" outlineLevel="2" x14ac:dyDescent="0.45">
      <c r="A94" t="s">
        <v>17</v>
      </c>
      <c r="B94" s="52" t="s">
        <v>57</v>
      </c>
      <c r="C94" s="52" t="s">
        <v>376</v>
      </c>
      <c r="D94" s="52" t="s">
        <v>377</v>
      </c>
      <c r="E94" s="52" t="s">
        <v>387</v>
      </c>
      <c r="F94" s="52" t="s">
        <v>764</v>
      </c>
      <c r="G94" s="52" t="s">
        <v>60</v>
      </c>
      <c r="H94" s="54">
        <v>46023</v>
      </c>
      <c r="I94" s="52" t="s">
        <v>74</v>
      </c>
      <c r="J94" s="52" t="s">
        <v>649</v>
      </c>
      <c r="K94" s="52" t="s">
        <v>650</v>
      </c>
      <c r="L94" s="52" t="s">
        <v>650</v>
      </c>
      <c r="M94" s="52" t="s">
        <v>29</v>
      </c>
      <c r="N94" s="53">
        <v>-2611.7199999999998</v>
      </c>
      <c r="O94" s="96">
        <v>-2611.7199999999998</v>
      </c>
      <c r="P94" s="52" t="s">
        <v>651</v>
      </c>
      <c r="Q94" s="52" t="s">
        <v>652</v>
      </c>
      <c r="R94" s="55" t="s">
        <v>64</v>
      </c>
      <c r="S94" s="52" t="s">
        <v>649</v>
      </c>
    </row>
    <row r="95" spans="1:19" outlineLevel="2" x14ac:dyDescent="0.45">
      <c r="A95" t="s">
        <v>17</v>
      </c>
      <c r="B95" s="52" t="s">
        <v>57</v>
      </c>
      <c r="C95" s="52" t="s">
        <v>725</v>
      </c>
      <c r="D95" s="52" t="s">
        <v>726</v>
      </c>
      <c r="E95" s="52" t="s">
        <v>387</v>
      </c>
      <c r="F95" s="52" t="s">
        <v>765</v>
      </c>
      <c r="G95" s="52" t="s">
        <v>60</v>
      </c>
      <c r="H95" s="54">
        <v>46023</v>
      </c>
      <c r="I95" s="52" t="s">
        <v>74</v>
      </c>
      <c r="J95" s="52" t="s">
        <v>107</v>
      </c>
      <c r="K95" s="52" t="s">
        <v>766</v>
      </c>
      <c r="L95" s="52" t="s">
        <v>766</v>
      </c>
      <c r="M95" s="52" t="s">
        <v>29</v>
      </c>
      <c r="N95" s="53">
        <v>-2478</v>
      </c>
      <c r="O95" s="96">
        <v>-2478</v>
      </c>
      <c r="P95" s="52" t="s">
        <v>767</v>
      </c>
      <c r="Q95" s="52" t="s">
        <v>768</v>
      </c>
      <c r="R95" s="55" t="s">
        <v>64</v>
      </c>
      <c r="S95" s="52" t="s">
        <v>107</v>
      </c>
    </row>
    <row r="96" spans="1:19" outlineLevel="2" x14ac:dyDescent="0.45">
      <c r="A96" t="s">
        <v>17</v>
      </c>
      <c r="B96" s="52" t="s">
        <v>57</v>
      </c>
      <c r="C96" s="52" t="s">
        <v>725</v>
      </c>
      <c r="D96" s="52" t="s">
        <v>726</v>
      </c>
      <c r="E96" s="52" t="s">
        <v>387</v>
      </c>
      <c r="F96" s="52" t="s">
        <v>769</v>
      </c>
      <c r="G96" s="52" t="s">
        <v>60</v>
      </c>
      <c r="H96" s="54">
        <v>46023</v>
      </c>
      <c r="I96" s="52" t="s">
        <v>74</v>
      </c>
      <c r="J96" s="52" t="s">
        <v>107</v>
      </c>
      <c r="K96" s="52" t="s">
        <v>770</v>
      </c>
      <c r="L96" s="52" t="s">
        <v>770</v>
      </c>
      <c r="M96" s="52" t="s">
        <v>29</v>
      </c>
      <c r="N96" s="53">
        <v>-2478</v>
      </c>
      <c r="O96" s="96">
        <v>-2478</v>
      </c>
      <c r="P96" s="52" t="s">
        <v>767</v>
      </c>
      <c r="Q96" s="52" t="s">
        <v>771</v>
      </c>
      <c r="R96" s="55" t="s">
        <v>64</v>
      </c>
      <c r="S96" s="52" t="s">
        <v>107</v>
      </c>
    </row>
    <row r="97" spans="1:19" outlineLevel="2" x14ac:dyDescent="0.45">
      <c r="A97" t="s">
        <v>17</v>
      </c>
      <c r="B97" s="52" t="s">
        <v>57</v>
      </c>
      <c r="C97" s="52" t="s">
        <v>747</v>
      </c>
      <c r="D97" s="52" t="s">
        <v>748</v>
      </c>
      <c r="E97" s="52" t="s">
        <v>387</v>
      </c>
      <c r="F97" s="52" t="s">
        <v>749</v>
      </c>
      <c r="G97" s="52" t="s">
        <v>60</v>
      </c>
      <c r="H97" s="54">
        <v>46023</v>
      </c>
      <c r="I97" s="52" t="s">
        <v>74</v>
      </c>
      <c r="J97" s="52" t="s">
        <v>210</v>
      </c>
      <c r="K97" s="52" t="s">
        <v>772</v>
      </c>
      <c r="L97" s="52" t="s">
        <v>772</v>
      </c>
      <c r="M97" s="52" t="s">
        <v>29</v>
      </c>
      <c r="N97" s="53">
        <v>-2400.54</v>
      </c>
      <c r="O97" s="96">
        <v>-2400.54</v>
      </c>
      <c r="P97" s="52" t="s">
        <v>773</v>
      </c>
      <c r="Q97" s="52" t="s">
        <v>625</v>
      </c>
      <c r="R97" s="55" t="s">
        <v>64</v>
      </c>
      <c r="S97" s="52" t="s">
        <v>210</v>
      </c>
    </row>
    <row r="98" spans="1:19" outlineLevel="2" x14ac:dyDescent="0.45">
      <c r="A98" t="s">
        <v>17</v>
      </c>
      <c r="B98" s="52" t="s">
        <v>57</v>
      </c>
      <c r="C98" s="52" t="s">
        <v>774</v>
      </c>
      <c r="D98" s="52" t="s">
        <v>775</v>
      </c>
      <c r="E98" s="52" t="s">
        <v>387</v>
      </c>
      <c r="F98" s="52" t="s">
        <v>776</v>
      </c>
      <c r="G98" s="52" t="s">
        <v>60</v>
      </c>
      <c r="H98" s="54">
        <v>46023</v>
      </c>
      <c r="I98" s="52" t="s">
        <v>74</v>
      </c>
      <c r="J98" s="52" t="s">
        <v>99</v>
      </c>
      <c r="K98" s="52" t="s">
        <v>777</v>
      </c>
      <c r="L98" s="52" t="s">
        <v>777</v>
      </c>
      <c r="M98" s="52" t="s">
        <v>29</v>
      </c>
      <c r="N98" s="53">
        <v>-2375.67</v>
      </c>
      <c r="O98" s="96">
        <v>-2375.67</v>
      </c>
      <c r="P98" s="52" t="s">
        <v>778</v>
      </c>
      <c r="Q98" s="52" t="s">
        <v>779</v>
      </c>
      <c r="R98" s="55" t="s">
        <v>64</v>
      </c>
      <c r="S98" s="52" t="s">
        <v>99</v>
      </c>
    </row>
    <row r="99" spans="1:19" outlineLevel="2" x14ac:dyDescent="0.45">
      <c r="A99" t="s">
        <v>17</v>
      </c>
      <c r="B99" s="52" t="s">
        <v>57</v>
      </c>
      <c r="C99" s="52" t="s">
        <v>780</v>
      </c>
      <c r="D99" s="52" t="s">
        <v>781</v>
      </c>
      <c r="E99" s="52" t="s">
        <v>387</v>
      </c>
      <c r="F99" s="52" t="s">
        <v>782</v>
      </c>
      <c r="G99" s="52" t="s">
        <v>60</v>
      </c>
      <c r="H99" s="54">
        <v>46023</v>
      </c>
      <c r="I99" s="52" t="s">
        <v>74</v>
      </c>
      <c r="J99" s="52" t="s">
        <v>210</v>
      </c>
      <c r="K99" s="52" t="s">
        <v>783</v>
      </c>
      <c r="L99" s="52" t="s">
        <v>783</v>
      </c>
      <c r="M99" s="52" t="s">
        <v>29</v>
      </c>
      <c r="N99" s="53">
        <v>-2253.1999999999998</v>
      </c>
      <c r="O99" s="96">
        <v>-2253.1999999999998</v>
      </c>
      <c r="P99" s="52" t="s">
        <v>784</v>
      </c>
      <c r="Q99" s="52" t="s">
        <v>625</v>
      </c>
      <c r="R99" s="55" t="s">
        <v>64</v>
      </c>
      <c r="S99" s="52" t="s">
        <v>210</v>
      </c>
    </row>
    <row r="100" spans="1:19" outlineLevel="2" x14ac:dyDescent="0.45">
      <c r="A100" t="s">
        <v>17</v>
      </c>
      <c r="B100" s="52" t="s">
        <v>57</v>
      </c>
      <c r="C100" s="52" t="s">
        <v>785</v>
      </c>
      <c r="D100" s="52" t="s">
        <v>786</v>
      </c>
      <c r="E100" s="52" t="s">
        <v>387</v>
      </c>
      <c r="F100" s="52" t="s">
        <v>787</v>
      </c>
      <c r="G100" s="52" t="s">
        <v>60</v>
      </c>
      <c r="H100" s="54">
        <v>46023</v>
      </c>
      <c r="I100" s="52" t="s">
        <v>74</v>
      </c>
      <c r="J100" s="52" t="s">
        <v>115</v>
      </c>
      <c r="K100" s="52" t="s">
        <v>788</v>
      </c>
      <c r="L100" s="52" t="s">
        <v>788</v>
      </c>
      <c r="M100" s="52" t="s">
        <v>29</v>
      </c>
      <c r="N100" s="53">
        <v>-2232.56</v>
      </c>
      <c r="O100" s="96">
        <v>-2232.56</v>
      </c>
      <c r="P100" s="52" t="s">
        <v>789</v>
      </c>
      <c r="Q100" s="52" t="s">
        <v>790</v>
      </c>
      <c r="R100" s="55" t="s">
        <v>64</v>
      </c>
      <c r="S100" s="52" t="s">
        <v>115</v>
      </c>
    </row>
    <row r="101" spans="1:19" outlineLevel="2" x14ac:dyDescent="0.45">
      <c r="A101" t="s">
        <v>17</v>
      </c>
      <c r="B101" s="52" t="s">
        <v>57</v>
      </c>
      <c r="C101" s="52" t="s">
        <v>785</v>
      </c>
      <c r="D101" s="52" t="s">
        <v>786</v>
      </c>
      <c r="E101" s="52" t="s">
        <v>387</v>
      </c>
      <c r="F101" s="52" t="s">
        <v>791</v>
      </c>
      <c r="G101" s="52" t="s">
        <v>60</v>
      </c>
      <c r="H101" s="54">
        <v>46023</v>
      </c>
      <c r="I101" s="52" t="s">
        <v>74</v>
      </c>
      <c r="J101" s="52" t="s">
        <v>210</v>
      </c>
      <c r="K101" s="52" t="s">
        <v>792</v>
      </c>
      <c r="L101" s="52" t="s">
        <v>792</v>
      </c>
      <c r="M101" s="52" t="s">
        <v>29</v>
      </c>
      <c r="N101" s="53">
        <v>-2232.56</v>
      </c>
      <c r="O101" s="96">
        <v>-2232.56</v>
      </c>
      <c r="P101" s="52" t="s">
        <v>793</v>
      </c>
      <c r="Q101" s="52" t="s">
        <v>625</v>
      </c>
      <c r="R101" s="55" t="s">
        <v>64</v>
      </c>
      <c r="S101" s="52" t="s">
        <v>210</v>
      </c>
    </row>
    <row r="102" spans="1:19" outlineLevel="2" x14ac:dyDescent="0.45">
      <c r="A102" t="s">
        <v>17</v>
      </c>
      <c r="B102" s="52" t="s">
        <v>57</v>
      </c>
      <c r="C102" s="52" t="s">
        <v>774</v>
      </c>
      <c r="D102" s="52" t="s">
        <v>775</v>
      </c>
      <c r="E102" s="52" t="s">
        <v>387</v>
      </c>
      <c r="F102" s="52" t="s">
        <v>794</v>
      </c>
      <c r="G102" s="52" t="s">
        <v>60</v>
      </c>
      <c r="H102" s="54">
        <v>46023</v>
      </c>
      <c r="I102" s="52" t="s">
        <v>74</v>
      </c>
      <c r="J102" s="52" t="s">
        <v>87</v>
      </c>
      <c r="K102" s="52" t="s">
        <v>777</v>
      </c>
      <c r="L102" s="52" t="s">
        <v>777</v>
      </c>
      <c r="M102" s="52" t="s">
        <v>29</v>
      </c>
      <c r="N102" s="53">
        <v>-2219.29</v>
      </c>
      <c r="O102" s="96">
        <v>-2219.29</v>
      </c>
      <c r="P102" s="52" t="s">
        <v>778</v>
      </c>
      <c r="Q102" s="52" t="s">
        <v>795</v>
      </c>
      <c r="R102" s="55" t="s">
        <v>64</v>
      </c>
      <c r="S102" s="52" t="s">
        <v>87</v>
      </c>
    </row>
    <row r="103" spans="1:19" outlineLevel="2" x14ac:dyDescent="0.45">
      <c r="A103" t="s">
        <v>17</v>
      </c>
      <c r="B103" s="52" t="s">
        <v>57</v>
      </c>
      <c r="C103" s="52" t="s">
        <v>774</v>
      </c>
      <c r="D103" s="52" t="s">
        <v>775</v>
      </c>
      <c r="E103" s="52" t="s">
        <v>387</v>
      </c>
      <c r="F103" s="52" t="s">
        <v>796</v>
      </c>
      <c r="G103" s="52" t="s">
        <v>60</v>
      </c>
      <c r="H103" s="54">
        <v>46023</v>
      </c>
      <c r="I103" s="52" t="s">
        <v>74</v>
      </c>
      <c r="J103" s="52" t="s">
        <v>210</v>
      </c>
      <c r="K103" s="52" t="s">
        <v>777</v>
      </c>
      <c r="L103" s="52" t="s">
        <v>777</v>
      </c>
      <c r="M103" s="52" t="s">
        <v>29</v>
      </c>
      <c r="N103" s="53">
        <v>-2160.6</v>
      </c>
      <c r="O103" s="96">
        <v>-2160.6</v>
      </c>
      <c r="P103" s="52" t="s">
        <v>778</v>
      </c>
      <c r="Q103" s="52" t="s">
        <v>797</v>
      </c>
      <c r="R103" s="55" t="s">
        <v>64</v>
      </c>
      <c r="S103" s="52" t="s">
        <v>210</v>
      </c>
    </row>
    <row r="104" spans="1:19" outlineLevel="2" x14ac:dyDescent="0.45">
      <c r="A104" t="s">
        <v>17</v>
      </c>
      <c r="B104" s="52" t="s">
        <v>57</v>
      </c>
      <c r="C104" s="52" t="s">
        <v>630</v>
      </c>
      <c r="D104" s="52" t="s">
        <v>631</v>
      </c>
      <c r="E104" s="52" t="s">
        <v>387</v>
      </c>
      <c r="F104" s="52" t="s">
        <v>798</v>
      </c>
      <c r="G104" s="52" t="s">
        <v>60</v>
      </c>
      <c r="H104" s="54">
        <v>46023</v>
      </c>
      <c r="I104" s="52" t="s">
        <v>74</v>
      </c>
      <c r="J104" s="52" t="s">
        <v>210</v>
      </c>
      <c r="K104" s="52" t="s">
        <v>799</v>
      </c>
      <c r="L104" s="52" t="s">
        <v>799</v>
      </c>
      <c r="M104" s="52" t="s">
        <v>29</v>
      </c>
      <c r="N104" s="53">
        <v>-2000</v>
      </c>
      <c r="O104" s="100">
        <v>-2000</v>
      </c>
      <c r="P104" s="52" t="s">
        <v>800</v>
      </c>
      <c r="Q104" s="52" t="s">
        <v>680</v>
      </c>
      <c r="R104" s="55" t="s">
        <v>64</v>
      </c>
      <c r="S104" s="52" t="s">
        <v>210</v>
      </c>
    </row>
    <row r="105" spans="1:19" hidden="1" outlineLevel="2" x14ac:dyDescent="0.45">
      <c r="A105" t="s">
        <v>17</v>
      </c>
      <c r="B105" s="52" t="s">
        <v>57</v>
      </c>
      <c r="C105" s="52" t="s">
        <v>376</v>
      </c>
      <c r="D105" s="52" t="s">
        <v>377</v>
      </c>
      <c r="E105" s="52" t="s">
        <v>387</v>
      </c>
      <c r="F105" s="52" t="s">
        <v>801</v>
      </c>
      <c r="G105" s="52" t="s">
        <v>60</v>
      </c>
      <c r="H105" s="54">
        <v>46023</v>
      </c>
      <c r="I105" s="52" t="s">
        <v>74</v>
      </c>
      <c r="J105" s="52" t="s">
        <v>210</v>
      </c>
      <c r="K105" s="52" t="s">
        <v>641</v>
      </c>
      <c r="L105" s="52" t="s">
        <v>641</v>
      </c>
      <c r="M105" s="52" t="s">
        <v>29</v>
      </c>
      <c r="N105" s="53">
        <v>-1977.87</v>
      </c>
      <c r="O105" s="97">
        <v>-1977.87</v>
      </c>
      <c r="P105" s="52" t="s">
        <v>642</v>
      </c>
      <c r="Q105" s="52" t="s">
        <v>643</v>
      </c>
      <c r="R105" s="55" t="s">
        <v>64</v>
      </c>
      <c r="S105" s="52" t="s">
        <v>210</v>
      </c>
    </row>
    <row r="106" spans="1:19" outlineLevel="2" x14ac:dyDescent="0.45">
      <c r="A106" t="s">
        <v>17</v>
      </c>
      <c r="B106" s="52" t="s">
        <v>57</v>
      </c>
      <c r="C106" s="52" t="s">
        <v>656</v>
      </c>
      <c r="D106" s="52" t="s">
        <v>657</v>
      </c>
      <c r="E106" s="52" t="s">
        <v>387</v>
      </c>
      <c r="F106" s="52" t="s">
        <v>802</v>
      </c>
      <c r="G106" s="52" t="s">
        <v>60</v>
      </c>
      <c r="H106" s="54">
        <v>46023</v>
      </c>
      <c r="I106" s="52" t="s">
        <v>74</v>
      </c>
      <c r="J106" s="52" t="s">
        <v>210</v>
      </c>
      <c r="K106" s="52" t="s">
        <v>803</v>
      </c>
      <c r="L106" s="52" t="s">
        <v>803</v>
      </c>
      <c r="M106" s="52" t="s">
        <v>29</v>
      </c>
      <c r="N106" s="53">
        <v>-1680.37</v>
      </c>
      <c r="O106" s="96">
        <v>-1680.37</v>
      </c>
      <c r="P106" s="52" t="s">
        <v>804</v>
      </c>
      <c r="Q106" s="52" t="s">
        <v>625</v>
      </c>
      <c r="R106" s="55" t="s">
        <v>64</v>
      </c>
      <c r="S106" s="52" t="s">
        <v>210</v>
      </c>
    </row>
    <row r="107" spans="1:19" outlineLevel="2" x14ac:dyDescent="0.45">
      <c r="A107" t="s">
        <v>17</v>
      </c>
      <c r="B107" s="52" t="s">
        <v>57</v>
      </c>
      <c r="C107" s="52" t="s">
        <v>805</v>
      </c>
      <c r="D107" s="52" t="s">
        <v>806</v>
      </c>
      <c r="E107" s="52" t="s">
        <v>387</v>
      </c>
      <c r="F107" s="52" t="s">
        <v>807</v>
      </c>
      <c r="G107" s="52" t="s">
        <v>60</v>
      </c>
      <c r="H107" s="54">
        <v>46023</v>
      </c>
      <c r="I107" s="52" t="s">
        <v>74</v>
      </c>
      <c r="J107" s="52" t="s">
        <v>99</v>
      </c>
      <c r="K107" s="52" t="s">
        <v>808</v>
      </c>
      <c r="L107" s="52" t="s">
        <v>808</v>
      </c>
      <c r="M107" s="52" t="s">
        <v>29</v>
      </c>
      <c r="N107" s="53">
        <v>-1652</v>
      </c>
      <c r="O107" s="96">
        <v>-1652</v>
      </c>
      <c r="P107" s="52" t="s">
        <v>809</v>
      </c>
      <c r="Q107" s="52" t="s">
        <v>810</v>
      </c>
      <c r="R107" s="55" t="s">
        <v>64</v>
      </c>
      <c r="S107" s="52" t="s">
        <v>99</v>
      </c>
    </row>
    <row r="108" spans="1:19" outlineLevel="2" x14ac:dyDescent="0.45">
      <c r="A108" t="s">
        <v>17</v>
      </c>
      <c r="B108" s="52" t="s">
        <v>57</v>
      </c>
      <c r="C108" s="52" t="s">
        <v>811</v>
      </c>
      <c r="D108" s="52" t="s">
        <v>812</v>
      </c>
      <c r="E108" s="52" t="s">
        <v>387</v>
      </c>
      <c r="F108" s="52" t="s">
        <v>813</v>
      </c>
      <c r="G108" s="52" t="s">
        <v>60</v>
      </c>
      <c r="H108" s="54">
        <v>46023</v>
      </c>
      <c r="I108" s="52" t="s">
        <v>74</v>
      </c>
      <c r="J108" s="52" t="s">
        <v>210</v>
      </c>
      <c r="K108" s="52" t="s">
        <v>814</v>
      </c>
      <c r="L108" s="52" t="s">
        <v>814</v>
      </c>
      <c r="M108" s="52" t="s">
        <v>29</v>
      </c>
      <c r="N108" s="53">
        <v>-1620</v>
      </c>
      <c r="O108" s="96">
        <v>-1620</v>
      </c>
      <c r="P108" s="52" t="s">
        <v>815</v>
      </c>
      <c r="Q108" s="52" t="s">
        <v>625</v>
      </c>
      <c r="R108" s="55" t="s">
        <v>64</v>
      </c>
      <c r="S108" s="52" t="s">
        <v>210</v>
      </c>
    </row>
    <row r="109" spans="1:19" outlineLevel="2" x14ac:dyDescent="0.45">
      <c r="A109" t="s">
        <v>17</v>
      </c>
      <c r="B109" s="52" t="s">
        <v>57</v>
      </c>
      <c r="C109" s="52" t="s">
        <v>758</v>
      </c>
      <c r="D109" s="52" t="s">
        <v>759</v>
      </c>
      <c r="E109" s="52" t="s">
        <v>387</v>
      </c>
      <c r="F109" s="52" t="s">
        <v>816</v>
      </c>
      <c r="G109" s="52" t="s">
        <v>60</v>
      </c>
      <c r="H109" s="54">
        <v>46023</v>
      </c>
      <c r="I109" s="52" t="s">
        <v>74</v>
      </c>
      <c r="J109" s="52" t="s">
        <v>99</v>
      </c>
      <c r="K109" s="52" t="s">
        <v>817</v>
      </c>
      <c r="L109" s="52" t="s">
        <v>817</v>
      </c>
      <c r="M109" s="52" t="s">
        <v>29</v>
      </c>
      <c r="N109" s="53">
        <v>-1595.9</v>
      </c>
      <c r="O109" s="96">
        <v>-1595.9</v>
      </c>
      <c r="P109" s="52" t="s">
        <v>818</v>
      </c>
      <c r="Q109" s="52" t="s">
        <v>763</v>
      </c>
      <c r="R109" s="55" t="s">
        <v>64</v>
      </c>
      <c r="S109" s="52" t="s">
        <v>99</v>
      </c>
    </row>
    <row r="110" spans="1:19" outlineLevel="2" x14ac:dyDescent="0.45">
      <c r="A110" t="s">
        <v>17</v>
      </c>
      <c r="B110" s="52" t="s">
        <v>57</v>
      </c>
      <c r="C110" s="52" t="s">
        <v>682</v>
      </c>
      <c r="D110" s="52" t="s">
        <v>683</v>
      </c>
      <c r="E110" s="52" t="s">
        <v>387</v>
      </c>
      <c r="F110" s="52" t="s">
        <v>819</v>
      </c>
      <c r="G110" s="52" t="s">
        <v>60</v>
      </c>
      <c r="H110" s="54">
        <v>46023</v>
      </c>
      <c r="I110" s="52" t="s">
        <v>74</v>
      </c>
      <c r="J110" s="52" t="s">
        <v>107</v>
      </c>
      <c r="K110" s="52" t="s">
        <v>685</v>
      </c>
      <c r="L110" s="52" t="s">
        <v>685</v>
      </c>
      <c r="M110" s="52" t="s">
        <v>29</v>
      </c>
      <c r="N110" s="53">
        <v>-1435</v>
      </c>
      <c r="O110" s="96">
        <v>-1435</v>
      </c>
      <c r="P110" s="52" t="s">
        <v>686</v>
      </c>
      <c r="Q110" s="52" t="s">
        <v>820</v>
      </c>
      <c r="R110" s="55" t="s">
        <v>64</v>
      </c>
      <c r="S110" s="52" t="s">
        <v>107</v>
      </c>
    </row>
    <row r="111" spans="1:19" outlineLevel="2" x14ac:dyDescent="0.45">
      <c r="A111" t="s">
        <v>17</v>
      </c>
      <c r="B111" s="52" t="s">
        <v>57</v>
      </c>
      <c r="C111" s="52" t="s">
        <v>682</v>
      </c>
      <c r="D111" s="52" t="s">
        <v>683</v>
      </c>
      <c r="E111" s="52" t="s">
        <v>387</v>
      </c>
      <c r="F111" s="52" t="s">
        <v>821</v>
      </c>
      <c r="G111" s="52" t="s">
        <v>60</v>
      </c>
      <c r="H111" s="54">
        <v>46023</v>
      </c>
      <c r="I111" s="52" t="s">
        <v>74</v>
      </c>
      <c r="J111" s="52" t="s">
        <v>107</v>
      </c>
      <c r="K111" s="52" t="s">
        <v>822</v>
      </c>
      <c r="L111" s="52" t="s">
        <v>822</v>
      </c>
      <c r="M111" s="52" t="s">
        <v>29</v>
      </c>
      <c r="N111" s="53">
        <v>-1431</v>
      </c>
      <c r="O111" s="96">
        <v>-1431</v>
      </c>
      <c r="P111" s="52" t="s">
        <v>823</v>
      </c>
      <c r="Q111" s="52" t="s">
        <v>824</v>
      </c>
      <c r="R111" s="55" t="s">
        <v>64</v>
      </c>
      <c r="S111" s="52" t="s">
        <v>107</v>
      </c>
    </row>
    <row r="112" spans="1:19" hidden="1" outlineLevel="2" x14ac:dyDescent="0.45">
      <c r="A112" t="s">
        <v>17</v>
      </c>
      <c r="B112" s="52" t="s">
        <v>57</v>
      </c>
      <c r="C112" s="52" t="s">
        <v>376</v>
      </c>
      <c r="D112" s="52" t="s">
        <v>377</v>
      </c>
      <c r="E112" s="52" t="s">
        <v>387</v>
      </c>
      <c r="F112" s="52" t="s">
        <v>825</v>
      </c>
      <c r="G112" s="52" t="s">
        <v>60</v>
      </c>
      <c r="H112" s="54">
        <v>46023</v>
      </c>
      <c r="I112" s="52" t="s">
        <v>74</v>
      </c>
      <c r="J112" s="52" t="s">
        <v>99</v>
      </c>
      <c r="K112" s="52" t="s">
        <v>826</v>
      </c>
      <c r="L112" s="52" t="s">
        <v>826</v>
      </c>
      <c r="M112" s="52" t="s">
        <v>29</v>
      </c>
      <c r="N112" s="53">
        <v>-1376.33</v>
      </c>
      <c r="O112" s="97">
        <v>-1376.33</v>
      </c>
      <c r="P112" s="52" t="s">
        <v>827</v>
      </c>
      <c r="Q112" s="52" t="s">
        <v>828</v>
      </c>
      <c r="R112" s="55" t="s">
        <v>64</v>
      </c>
      <c r="S112" s="52" t="s">
        <v>99</v>
      </c>
    </row>
    <row r="113" spans="1:19" outlineLevel="2" x14ac:dyDescent="0.45">
      <c r="A113" t="s">
        <v>17</v>
      </c>
      <c r="B113" s="52" t="s">
        <v>57</v>
      </c>
      <c r="C113" s="52" t="s">
        <v>829</v>
      </c>
      <c r="D113" s="52" t="s">
        <v>830</v>
      </c>
      <c r="E113" s="52" t="s">
        <v>387</v>
      </c>
      <c r="F113" s="52" t="s">
        <v>831</v>
      </c>
      <c r="G113" s="52" t="s">
        <v>60</v>
      </c>
      <c r="H113" s="54">
        <v>46023</v>
      </c>
      <c r="I113" s="52" t="s">
        <v>74</v>
      </c>
      <c r="J113" s="52" t="s">
        <v>107</v>
      </c>
      <c r="K113" s="52" t="s">
        <v>832</v>
      </c>
      <c r="L113" s="52" t="s">
        <v>833</v>
      </c>
      <c r="M113" s="52" t="s">
        <v>29</v>
      </c>
      <c r="N113" s="53">
        <v>-1375.77</v>
      </c>
      <c r="O113" s="96">
        <v>-1375.77</v>
      </c>
      <c r="P113" s="52" t="s">
        <v>834</v>
      </c>
      <c r="Q113" s="52" t="s">
        <v>835</v>
      </c>
      <c r="R113" s="55" t="s">
        <v>64</v>
      </c>
      <c r="S113" s="52" t="s">
        <v>107</v>
      </c>
    </row>
    <row r="114" spans="1:19" hidden="1" outlineLevel="2" x14ac:dyDescent="0.45">
      <c r="A114" t="s">
        <v>17</v>
      </c>
      <c r="B114" s="52" t="s">
        <v>57</v>
      </c>
      <c r="C114" s="52" t="s">
        <v>376</v>
      </c>
      <c r="D114" s="52" t="s">
        <v>377</v>
      </c>
      <c r="E114" s="52" t="s">
        <v>387</v>
      </c>
      <c r="F114" s="52" t="s">
        <v>836</v>
      </c>
      <c r="G114" s="52" t="s">
        <v>60</v>
      </c>
      <c r="H114" s="54">
        <v>46023</v>
      </c>
      <c r="I114" s="52" t="s">
        <v>74</v>
      </c>
      <c r="J114" s="52" t="s">
        <v>210</v>
      </c>
      <c r="K114" s="52" t="s">
        <v>645</v>
      </c>
      <c r="L114" s="52" t="s">
        <v>645</v>
      </c>
      <c r="M114" s="52" t="s">
        <v>29</v>
      </c>
      <c r="N114" s="53">
        <v>-1200</v>
      </c>
      <c r="O114" s="97">
        <v>-1200</v>
      </c>
      <c r="P114" s="52" t="s">
        <v>646</v>
      </c>
      <c r="Q114" s="52" t="s">
        <v>647</v>
      </c>
      <c r="R114" s="55" t="s">
        <v>64</v>
      </c>
      <c r="S114" s="52" t="s">
        <v>210</v>
      </c>
    </row>
    <row r="115" spans="1:19" hidden="1" outlineLevel="2" x14ac:dyDescent="0.45">
      <c r="A115" t="s">
        <v>17</v>
      </c>
      <c r="B115" s="52" t="s">
        <v>57</v>
      </c>
      <c r="C115" s="52" t="s">
        <v>376</v>
      </c>
      <c r="D115" s="52" t="s">
        <v>377</v>
      </c>
      <c r="E115" s="52" t="s">
        <v>387</v>
      </c>
      <c r="F115" s="52" t="s">
        <v>837</v>
      </c>
      <c r="G115" s="52" t="s">
        <v>60</v>
      </c>
      <c r="H115" s="54">
        <v>46023</v>
      </c>
      <c r="I115" s="52" t="s">
        <v>74</v>
      </c>
      <c r="J115" s="52" t="s">
        <v>210</v>
      </c>
      <c r="K115" s="52" t="s">
        <v>645</v>
      </c>
      <c r="L115" s="52" t="s">
        <v>645</v>
      </c>
      <c r="M115" s="52" t="s">
        <v>29</v>
      </c>
      <c r="N115" s="53">
        <v>-1194.75</v>
      </c>
      <c r="O115" s="97">
        <v>-1194.75</v>
      </c>
      <c r="P115" s="52" t="s">
        <v>646</v>
      </c>
      <c r="Q115" s="52" t="s">
        <v>647</v>
      </c>
      <c r="R115" s="55" t="s">
        <v>64</v>
      </c>
      <c r="S115" s="52" t="s">
        <v>210</v>
      </c>
    </row>
    <row r="116" spans="1:19" outlineLevel="2" x14ac:dyDescent="0.45">
      <c r="A116" t="s">
        <v>17</v>
      </c>
      <c r="B116" s="52" t="s">
        <v>57</v>
      </c>
      <c r="C116" s="52" t="s">
        <v>838</v>
      </c>
      <c r="D116" s="52" t="s">
        <v>839</v>
      </c>
      <c r="E116" s="52" t="s">
        <v>387</v>
      </c>
      <c r="F116" s="52" t="s">
        <v>840</v>
      </c>
      <c r="G116" s="52" t="s">
        <v>60</v>
      </c>
      <c r="H116" s="54">
        <v>46023</v>
      </c>
      <c r="I116" s="52" t="s">
        <v>74</v>
      </c>
      <c r="J116" s="52" t="s">
        <v>841</v>
      </c>
      <c r="K116" s="52" t="s">
        <v>842</v>
      </c>
      <c r="L116" s="52" t="s">
        <v>842</v>
      </c>
      <c r="M116" s="52" t="s">
        <v>29</v>
      </c>
      <c r="N116" s="53">
        <v>-1027.08</v>
      </c>
      <c r="O116" s="96">
        <v>-1027.08</v>
      </c>
      <c r="P116" s="52" t="s">
        <v>843</v>
      </c>
      <c r="Q116" s="52" t="s">
        <v>844</v>
      </c>
      <c r="R116" s="55" t="s">
        <v>64</v>
      </c>
      <c r="S116" s="52" t="s">
        <v>841</v>
      </c>
    </row>
    <row r="117" spans="1:19" hidden="1" outlineLevel="2" x14ac:dyDescent="0.45">
      <c r="A117" t="s">
        <v>17</v>
      </c>
      <c r="B117" s="52" t="s">
        <v>57</v>
      </c>
      <c r="C117" s="52" t="s">
        <v>376</v>
      </c>
      <c r="D117" s="52" t="s">
        <v>377</v>
      </c>
      <c r="E117" s="52" t="s">
        <v>387</v>
      </c>
      <c r="F117" s="52" t="s">
        <v>845</v>
      </c>
      <c r="G117" s="52" t="s">
        <v>60</v>
      </c>
      <c r="H117" s="54">
        <v>46023</v>
      </c>
      <c r="I117" s="52" t="s">
        <v>74</v>
      </c>
      <c r="J117" s="52" t="s">
        <v>649</v>
      </c>
      <c r="K117" s="52" t="s">
        <v>650</v>
      </c>
      <c r="L117" s="52" t="s">
        <v>650</v>
      </c>
      <c r="M117" s="52" t="s">
        <v>29</v>
      </c>
      <c r="N117" s="53">
        <v>-1001.59</v>
      </c>
      <c r="O117" s="97">
        <v>-1001.59</v>
      </c>
      <c r="P117" s="52" t="s">
        <v>651</v>
      </c>
      <c r="Q117" s="52" t="s">
        <v>652</v>
      </c>
      <c r="R117" s="55" t="s">
        <v>64</v>
      </c>
      <c r="S117" s="52" t="s">
        <v>649</v>
      </c>
    </row>
    <row r="118" spans="1:19" hidden="1" outlineLevel="2" x14ac:dyDescent="0.45">
      <c r="A118" t="s">
        <v>17</v>
      </c>
      <c r="B118" s="52" t="s">
        <v>57</v>
      </c>
      <c r="C118" s="52" t="s">
        <v>376</v>
      </c>
      <c r="D118" s="52" t="s">
        <v>377</v>
      </c>
      <c r="E118" s="52" t="s">
        <v>387</v>
      </c>
      <c r="F118" s="52" t="s">
        <v>846</v>
      </c>
      <c r="G118" s="52" t="s">
        <v>60</v>
      </c>
      <c r="H118" s="54">
        <v>46023</v>
      </c>
      <c r="I118" s="52" t="s">
        <v>74</v>
      </c>
      <c r="J118" s="52" t="s">
        <v>87</v>
      </c>
      <c r="K118" s="52" t="s">
        <v>847</v>
      </c>
      <c r="L118" s="52" t="s">
        <v>847</v>
      </c>
      <c r="M118" s="52" t="s">
        <v>29</v>
      </c>
      <c r="N118" s="53">
        <v>-1000</v>
      </c>
      <c r="O118" s="97">
        <v>-1000</v>
      </c>
      <c r="P118" s="52" t="s">
        <v>848</v>
      </c>
      <c r="Q118" s="52" t="s">
        <v>849</v>
      </c>
      <c r="R118" s="55" t="s">
        <v>64</v>
      </c>
      <c r="S118" s="52" t="s">
        <v>87</v>
      </c>
    </row>
    <row r="119" spans="1:19" outlineLevel="2" x14ac:dyDescent="0.45">
      <c r="A119" t="s">
        <v>17</v>
      </c>
      <c r="B119" s="52" t="s">
        <v>57</v>
      </c>
      <c r="C119" s="52" t="s">
        <v>850</v>
      </c>
      <c r="D119" s="52" t="s">
        <v>851</v>
      </c>
      <c r="E119" s="52" t="s">
        <v>387</v>
      </c>
      <c r="F119" s="52" t="s">
        <v>852</v>
      </c>
      <c r="G119" s="52" t="s">
        <v>60</v>
      </c>
      <c r="H119" s="54">
        <v>46023</v>
      </c>
      <c r="I119" s="52" t="s">
        <v>74</v>
      </c>
      <c r="J119" s="52" t="s">
        <v>115</v>
      </c>
      <c r="K119" s="52" t="s">
        <v>853</v>
      </c>
      <c r="L119" s="52" t="s">
        <v>853</v>
      </c>
      <c r="M119" s="52" t="s">
        <v>29</v>
      </c>
      <c r="N119" s="53">
        <v>-880</v>
      </c>
      <c r="O119" s="96">
        <v>-880</v>
      </c>
      <c r="P119" s="52" t="s">
        <v>854</v>
      </c>
      <c r="Q119" s="52" t="s">
        <v>855</v>
      </c>
      <c r="R119" s="55" t="s">
        <v>64</v>
      </c>
      <c r="S119" s="52" t="s">
        <v>115</v>
      </c>
    </row>
    <row r="120" spans="1:19" outlineLevel="2" x14ac:dyDescent="0.45">
      <c r="A120" t="s">
        <v>17</v>
      </c>
      <c r="B120" s="52" t="s">
        <v>57</v>
      </c>
      <c r="C120" s="52" t="s">
        <v>856</v>
      </c>
      <c r="D120" s="52" t="s">
        <v>857</v>
      </c>
      <c r="E120" s="52" t="s">
        <v>387</v>
      </c>
      <c r="F120" s="52" t="s">
        <v>825</v>
      </c>
      <c r="G120" s="52" t="s">
        <v>60</v>
      </c>
      <c r="H120" s="54">
        <v>46023</v>
      </c>
      <c r="I120" s="52" t="s">
        <v>74</v>
      </c>
      <c r="J120" s="52" t="s">
        <v>99</v>
      </c>
      <c r="K120" s="52" t="s">
        <v>858</v>
      </c>
      <c r="L120" s="52" t="s">
        <v>858</v>
      </c>
      <c r="M120" s="52" t="s">
        <v>29</v>
      </c>
      <c r="N120" s="53">
        <v>-793.67</v>
      </c>
      <c r="O120" s="96">
        <v>-793.67</v>
      </c>
      <c r="P120" s="52" t="s">
        <v>859</v>
      </c>
      <c r="Q120" s="52" t="s">
        <v>828</v>
      </c>
      <c r="R120" s="55" t="s">
        <v>64</v>
      </c>
      <c r="S120" s="52" t="s">
        <v>99</v>
      </c>
    </row>
    <row r="121" spans="1:19" outlineLevel="2" x14ac:dyDescent="0.45">
      <c r="A121" t="s">
        <v>17</v>
      </c>
      <c r="B121" s="52" t="s">
        <v>57</v>
      </c>
      <c r="C121" s="52" t="s">
        <v>774</v>
      </c>
      <c r="D121" s="52" t="s">
        <v>775</v>
      </c>
      <c r="E121" s="52" t="s">
        <v>387</v>
      </c>
      <c r="F121" s="52" t="s">
        <v>794</v>
      </c>
      <c r="G121" s="52" t="s">
        <v>60</v>
      </c>
      <c r="H121" s="54">
        <v>46023</v>
      </c>
      <c r="I121" s="52" t="s">
        <v>74</v>
      </c>
      <c r="J121" s="52" t="s">
        <v>87</v>
      </c>
      <c r="K121" s="52" t="s">
        <v>777</v>
      </c>
      <c r="L121" s="52" t="s">
        <v>777</v>
      </c>
      <c r="M121" s="52" t="s">
        <v>29</v>
      </c>
      <c r="N121" s="53">
        <v>-780.71</v>
      </c>
      <c r="O121" s="96">
        <v>-780.71</v>
      </c>
      <c r="P121" s="52" t="s">
        <v>778</v>
      </c>
      <c r="Q121" s="52" t="s">
        <v>795</v>
      </c>
      <c r="R121" s="55" t="s">
        <v>64</v>
      </c>
      <c r="S121" s="52" t="s">
        <v>87</v>
      </c>
    </row>
    <row r="122" spans="1:19" outlineLevel="2" x14ac:dyDescent="0.45">
      <c r="A122" t="s">
        <v>17</v>
      </c>
      <c r="B122" s="52" t="s">
        <v>57</v>
      </c>
      <c r="C122" s="52" t="s">
        <v>860</v>
      </c>
      <c r="D122" s="52" t="s">
        <v>861</v>
      </c>
      <c r="E122" s="52" t="s">
        <v>387</v>
      </c>
      <c r="F122" s="52" t="s">
        <v>862</v>
      </c>
      <c r="G122" s="52" t="s">
        <v>60</v>
      </c>
      <c r="H122" s="54">
        <v>46023</v>
      </c>
      <c r="I122" s="52" t="s">
        <v>74</v>
      </c>
      <c r="J122" s="52" t="s">
        <v>107</v>
      </c>
      <c r="K122" s="52" t="s">
        <v>863</v>
      </c>
      <c r="L122" s="52" t="s">
        <v>863</v>
      </c>
      <c r="M122" s="52" t="s">
        <v>29</v>
      </c>
      <c r="N122" s="53">
        <v>-779</v>
      </c>
      <c r="O122" s="96">
        <v>-779</v>
      </c>
      <c r="P122" s="52" t="s">
        <v>864</v>
      </c>
      <c r="Q122" s="52" t="s">
        <v>865</v>
      </c>
      <c r="R122" s="55" t="s">
        <v>64</v>
      </c>
      <c r="S122" s="52" t="s">
        <v>107</v>
      </c>
    </row>
    <row r="123" spans="1:19" outlineLevel="2" x14ac:dyDescent="0.45">
      <c r="A123" t="s">
        <v>17</v>
      </c>
      <c r="B123" s="52" t="s">
        <v>66</v>
      </c>
      <c r="C123" s="52" t="s">
        <v>630</v>
      </c>
      <c r="D123" s="52" t="s">
        <v>631</v>
      </c>
      <c r="E123" s="52" t="s">
        <v>387</v>
      </c>
      <c r="F123" s="52" t="s">
        <v>866</v>
      </c>
      <c r="G123" s="52" t="s">
        <v>60</v>
      </c>
      <c r="H123" s="54">
        <v>46023</v>
      </c>
      <c r="I123" s="52" t="s">
        <v>74</v>
      </c>
      <c r="J123" s="52" t="s">
        <v>649</v>
      </c>
      <c r="K123" s="52" t="s">
        <v>867</v>
      </c>
      <c r="L123" s="52" t="s">
        <v>867</v>
      </c>
      <c r="M123" s="52" t="s">
        <v>67</v>
      </c>
      <c r="N123" s="53">
        <v>-230</v>
      </c>
      <c r="O123" s="100">
        <v>-774.18</v>
      </c>
      <c r="P123" s="52" t="s">
        <v>868</v>
      </c>
      <c r="Q123" s="52" t="s">
        <v>869</v>
      </c>
      <c r="R123" s="55" t="s">
        <v>64</v>
      </c>
      <c r="S123" s="52" t="s">
        <v>649</v>
      </c>
    </row>
    <row r="124" spans="1:19" outlineLevel="2" x14ac:dyDescent="0.45">
      <c r="A124" t="s">
        <v>17</v>
      </c>
      <c r="B124" s="52" t="s">
        <v>57</v>
      </c>
      <c r="C124" s="52" t="s">
        <v>774</v>
      </c>
      <c r="D124" s="52" t="s">
        <v>775</v>
      </c>
      <c r="E124" s="52" t="s">
        <v>387</v>
      </c>
      <c r="F124" s="52" t="s">
        <v>776</v>
      </c>
      <c r="G124" s="52" t="s">
        <v>60</v>
      </c>
      <c r="H124" s="54">
        <v>46023</v>
      </c>
      <c r="I124" s="52" t="s">
        <v>74</v>
      </c>
      <c r="J124" s="52" t="s">
        <v>99</v>
      </c>
      <c r="K124" s="52" t="s">
        <v>777</v>
      </c>
      <c r="L124" s="52" t="s">
        <v>777</v>
      </c>
      <c r="M124" s="52" t="s">
        <v>29</v>
      </c>
      <c r="N124" s="53">
        <v>-624.33000000000004</v>
      </c>
      <c r="O124" s="96">
        <v>-624.33000000000004</v>
      </c>
      <c r="P124" s="52" t="s">
        <v>778</v>
      </c>
      <c r="Q124" s="52" t="s">
        <v>779</v>
      </c>
      <c r="R124" s="55" t="s">
        <v>64</v>
      </c>
      <c r="S124" s="52" t="s">
        <v>99</v>
      </c>
    </row>
    <row r="125" spans="1:19" outlineLevel="2" x14ac:dyDescent="0.45">
      <c r="A125" t="s">
        <v>17</v>
      </c>
      <c r="B125" s="52" t="s">
        <v>57</v>
      </c>
      <c r="C125" s="52" t="s">
        <v>870</v>
      </c>
      <c r="D125" s="52" t="s">
        <v>871</v>
      </c>
      <c r="E125" s="52" t="s">
        <v>387</v>
      </c>
      <c r="F125" s="52" t="s">
        <v>872</v>
      </c>
      <c r="G125" s="52" t="s">
        <v>60</v>
      </c>
      <c r="H125" s="54">
        <v>46023</v>
      </c>
      <c r="I125" s="52" t="s">
        <v>74</v>
      </c>
      <c r="J125" s="52" t="s">
        <v>210</v>
      </c>
      <c r="K125" s="52"/>
      <c r="L125" s="52"/>
      <c r="M125" s="52" t="s">
        <v>29</v>
      </c>
      <c r="N125" s="53">
        <v>-611.79</v>
      </c>
      <c r="O125" s="96">
        <v>-611.79</v>
      </c>
      <c r="P125" s="52" t="s">
        <v>873</v>
      </c>
      <c r="Q125" s="52" t="s">
        <v>873</v>
      </c>
      <c r="R125" s="55" t="s">
        <v>64</v>
      </c>
      <c r="S125" s="52" t="s">
        <v>210</v>
      </c>
    </row>
    <row r="126" spans="1:19" outlineLevel="2" x14ac:dyDescent="0.45">
      <c r="A126" t="s">
        <v>17</v>
      </c>
      <c r="B126" s="52" t="s">
        <v>57</v>
      </c>
      <c r="C126" s="52" t="s">
        <v>455</v>
      </c>
      <c r="D126" s="52" t="s">
        <v>456</v>
      </c>
      <c r="E126" s="52" t="s">
        <v>387</v>
      </c>
      <c r="F126" s="52" t="s">
        <v>412</v>
      </c>
      <c r="G126" s="52" t="s">
        <v>60</v>
      </c>
      <c r="H126" s="54">
        <v>46023</v>
      </c>
      <c r="I126" s="52" t="s">
        <v>74</v>
      </c>
      <c r="J126" s="52" t="s">
        <v>210</v>
      </c>
      <c r="K126" s="52" t="s">
        <v>874</v>
      </c>
      <c r="L126" s="52" t="s">
        <v>874</v>
      </c>
      <c r="M126" s="52" t="s">
        <v>29</v>
      </c>
      <c r="N126" s="53">
        <v>-600</v>
      </c>
      <c r="O126" s="96">
        <v>-600</v>
      </c>
      <c r="P126" s="52" t="s">
        <v>875</v>
      </c>
      <c r="Q126" s="52" t="s">
        <v>415</v>
      </c>
      <c r="R126" s="55" t="s">
        <v>64</v>
      </c>
      <c r="S126" s="52" t="s">
        <v>210</v>
      </c>
    </row>
    <row r="127" spans="1:19" outlineLevel="2" x14ac:dyDescent="0.45">
      <c r="A127" t="s">
        <v>17</v>
      </c>
      <c r="B127" s="52" t="s">
        <v>57</v>
      </c>
      <c r="C127" s="52" t="s">
        <v>774</v>
      </c>
      <c r="D127" s="52" t="s">
        <v>775</v>
      </c>
      <c r="E127" s="52" t="s">
        <v>387</v>
      </c>
      <c r="F127" s="52" t="s">
        <v>796</v>
      </c>
      <c r="G127" s="52" t="s">
        <v>60</v>
      </c>
      <c r="H127" s="54">
        <v>46023</v>
      </c>
      <c r="I127" s="52" t="s">
        <v>74</v>
      </c>
      <c r="J127" s="52" t="s">
        <v>210</v>
      </c>
      <c r="K127" s="52" t="s">
        <v>777</v>
      </c>
      <c r="L127" s="52" t="s">
        <v>777</v>
      </c>
      <c r="M127" s="52" t="s">
        <v>29</v>
      </c>
      <c r="N127" s="53">
        <v>-581.9</v>
      </c>
      <c r="O127" s="96">
        <v>-581.9</v>
      </c>
      <c r="P127" s="52" t="s">
        <v>778</v>
      </c>
      <c r="Q127" s="52" t="s">
        <v>797</v>
      </c>
      <c r="R127" s="55" t="s">
        <v>64</v>
      </c>
      <c r="S127" s="52" t="s">
        <v>210</v>
      </c>
    </row>
    <row r="128" spans="1:19" outlineLevel="2" x14ac:dyDescent="0.45">
      <c r="A128" t="s">
        <v>17</v>
      </c>
      <c r="B128" s="52" t="s">
        <v>57</v>
      </c>
      <c r="C128" s="52" t="s">
        <v>876</v>
      </c>
      <c r="D128" s="52" t="s">
        <v>877</v>
      </c>
      <c r="E128" s="52" t="s">
        <v>387</v>
      </c>
      <c r="F128" s="52" t="s">
        <v>878</v>
      </c>
      <c r="G128" s="52" t="s">
        <v>60</v>
      </c>
      <c r="H128" s="54">
        <v>46023</v>
      </c>
      <c r="I128" s="52" t="s">
        <v>74</v>
      </c>
      <c r="J128" s="52" t="s">
        <v>210</v>
      </c>
      <c r="K128" s="52" t="s">
        <v>879</v>
      </c>
      <c r="L128" s="52" t="s">
        <v>879</v>
      </c>
      <c r="M128" s="52" t="s">
        <v>29</v>
      </c>
      <c r="N128" s="53">
        <v>-580.04</v>
      </c>
      <c r="O128" s="96">
        <v>-580.04</v>
      </c>
      <c r="P128" s="52" t="s">
        <v>880</v>
      </c>
      <c r="Q128" s="52" t="s">
        <v>625</v>
      </c>
      <c r="R128" s="55" t="s">
        <v>64</v>
      </c>
      <c r="S128" s="52" t="s">
        <v>210</v>
      </c>
    </row>
    <row r="129" spans="1:19" hidden="1" outlineLevel="2" x14ac:dyDescent="0.45">
      <c r="A129" t="s">
        <v>17</v>
      </c>
      <c r="B129" s="52" t="s">
        <v>57</v>
      </c>
      <c r="C129" s="52" t="s">
        <v>376</v>
      </c>
      <c r="D129" s="52" t="s">
        <v>377</v>
      </c>
      <c r="E129" s="52" t="s">
        <v>387</v>
      </c>
      <c r="F129" s="52" t="s">
        <v>881</v>
      </c>
      <c r="G129" s="52" t="s">
        <v>60</v>
      </c>
      <c r="H129" s="54">
        <v>46023</v>
      </c>
      <c r="I129" s="52" t="s">
        <v>74</v>
      </c>
      <c r="J129" s="52" t="s">
        <v>210</v>
      </c>
      <c r="K129" s="52" t="s">
        <v>645</v>
      </c>
      <c r="L129" s="52" t="s">
        <v>645</v>
      </c>
      <c r="M129" s="52" t="s">
        <v>29</v>
      </c>
      <c r="N129" s="53">
        <v>-457.21</v>
      </c>
      <c r="O129" s="97">
        <v>-457.21</v>
      </c>
      <c r="P129" s="52" t="s">
        <v>646</v>
      </c>
      <c r="Q129" s="52" t="s">
        <v>647</v>
      </c>
      <c r="R129" s="55" t="s">
        <v>64</v>
      </c>
      <c r="S129" s="52" t="s">
        <v>210</v>
      </c>
    </row>
    <row r="130" spans="1:19" outlineLevel="2" x14ac:dyDescent="0.45">
      <c r="A130" t="s">
        <v>17</v>
      </c>
      <c r="B130" s="52" t="s">
        <v>57</v>
      </c>
      <c r="C130" s="52" t="s">
        <v>785</v>
      </c>
      <c r="D130" s="52" t="s">
        <v>786</v>
      </c>
      <c r="E130" s="52" t="s">
        <v>387</v>
      </c>
      <c r="F130" s="52" t="s">
        <v>882</v>
      </c>
      <c r="G130" s="52" t="s">
        <v>60</v>
      </c>
      <c r="H130" s="54">
        <v>46023</v>
      </c>
      <c r="I130" s="52" t="s">
        <v>74</v>
      </c>
      <c r="J130" s="52" t="s">
        <v>107</v>
      </c>
      <c r="K130" s="52" t="s">
        <v>883</v>
      </c>
      <c r="L130" s="52" t="s">
        <v>883</v>
      </c>
      <c r="M130" s="52" t="s">
        <v>29</v>
      </c>
      <c r="N130" s="53">
        <v>-447</v>
      </c>
      <c r="O130" s="96">
        <v>-447</v>
      </c>
      <c r="P130" s="52" t="s">
        <v>884</v>
      </c>
      <c r="Q130" s="52" t="s">
        <v>885</v>
      </c>
      <c r="R130" s="55" t="s">
        <v>64</v>
      </c>
      <c r="S130" s="52" t="s">
        <v>107</v>
      </c>
    </row>
    <row r="131" spans="1:19" outlineLevel="2" x14ac:dyDescent="0.45">
      <c r="A131" t="s">
        <v>17</v>
      </c>
      <c r="B131" s="52" t="s">
        <v>66</v>
      </c>
      <c r="C131" s="52" t="s">
        <v>349</v>
      </c>
      <c r="D131" s="52" t="s">
        <v>350</v>
      </c>
      <c r="E131" s="52" t="s">
        <v>387</v>
      </c>
      <c r="F131" s="52" t="s">
        <v>886</v>
      </c>
      <c r="G131" s="52" t="s">
        <v>60</v>
      </c>
      <c r="H131" s="54">
        <v>46023</v>
      </c>
      <c r="I131" s="52" t="s">
        <v>74</v>
      </c>
      <c r="J131" s="52" t="s">
        <v>340</v>
      </c>
      <c r="K131" s="52" t="s">
        <v>596</v>
      </c>
      <c r="L131" s="52" t="s">
        <v>596</v>
      </c>
      <c r="M131" s="52" t="s">
        <v>67</v>
      </c>
      <c r="N131" s="53">
        <v>-123.5</v>
      </c>
      <c r="O131" s="96">
        <v>-414.84</v>
      </c>
      <c r="P131" s="52" t="s">
        <v>597</v>
      </c>
      <c r="Q131" s="52" t="s">
        <v>887</v>
      </c>
      <c r="R131" s="55" t="s">
        <v>64</v>
      </c>
      <c r="S131" s="52" t="s">
        <v>340</v>
      </c>
    </row>
    <row r="132" spans="1:19" outlineLevel="2" x14ac:dyDescent="0.45">
      <c r="A132" t="s">
        <v>17</v>
      </c>
      <c r="B132" s="52" t="s">
        <v>57</v>
      </c>
      <c r="C132" s="52" t="s">
        <v>630</v>
      </c>
      <c r="D132" s="52" t="s">
        <v>631</v>
      </c>
      <c r="E132" s="52" t="s">
        <v>387</v>
      </c>
      <c r="F132" s="52" t="s">
        <v>888</v>
      </c>
      <c r="G132" s="52" t="s">
        <v>60</v>
      </c>
      <c r="H132" s="54">
        <v>46023</v>
      </c>
      <c r="I132" s="52" t="s">
        <v>74</v>
      </c>
      <c r="J132" s="52" t="s">
        <v>649</v>
      </c>
      <c r="K132" s="52" t="s">
        <v>889</v>
      </c>
      <c r="L132" s="52" t="s">
        <v>889</v>
      </c>
      <c r="M132" s="52" t="s">
        <v>29</v>
      </c>
      <c r="N132" s="53">
        <v>-413.51</v>
      </c>
      <c r="O132" s="100">
        <v>-413.51</v>
      </c>
      <c r="P132" s="52" t="s">
        <v>890</v>
      </c>
      <c r="Q132" s="52" t="s">
        <v>891</v>
      </c>
      <c r="R132" s="55" t="s">
        <v>64</v>
      </c>
      <c r="S132" s="52" t="s">
        <v>649</v>
      </c>
    </row>
    <row r="133" spans="1:19" hidden="1" outlineLevel="2" x14ac:dyDescent="0.45">
      <c r="A133" t="s">
        <v>17</v>
      </c>
      <c r="B133" s="52" t="s">
        <v>57</v>
      </c>
      <c r="C133" s="52" t="s">
        <v>376</v>
      </c>
      <c r="D133" s="52" t="s">
        <v>377</v>
      </c>
      <c r="E133" s="52" t="s">
        <v>387</v>
      </c>
      <c r="F133" s="52" t="s">
        <v>892</v>
      </c>
      <c r="G133" s="52" t="s">
        <v>60</v>
      </c>
      <c r="H133" s="54">
        <v>46023</v>
      </c>
      <c r="I133" s="52" t="s">
        <v>74</v>
      </c>
      <c r="J133" s="52" t="s">
        <v>210</v>
      </c>
      <c r="K133" s="52" t="s">
        <v>645</v>
      </c>
      <c r="L133" s="52" t="s">
        <v>645</v>
      </c>
      <c r="M133" s="52" t="s">
        <v>29</v>
      </c>
      <c r="N133" s="53">
        <v>-387.7</v>
      </c>
      <c r="O133" s="97">
        <v>-387.7</v>
      </c>
      <c r="P133" s="52" t="s">
        <v>646</v>
      </c>
      <c r="Q133" s="52" t="s">
        <v>647</v>
      </c>
      <c r="R133" s="55" t="s">
        <v>64</v>
      </c>
      <c r="S133" s="52" t="s">
        <v>210</v>
      </c>
    </row>
    <row r="134" spans="1:19" hidden="1" outlineLevel="2" x14ac:dyDescent="0.45">
      <c r="A134" t="s">
        <v>17</v>
      </c>
      <c r="B134" s="52" t="s">
        <v>57</v>
      </c>
      <c r="C134" s="52" t="s">
        <v>376</v>
      </c>
      <c r="D134" s="52" t="s">
        <v>377</v>
      </c>
      <c r="E134" s="52" t="s">
        <v>387</v>
      </c>
      <c r="F134" s="52" t="s">
        <v>893</v>
      </c>
      <c r="G134" s="52" t="s">
        <v>60</v>
      </c>
      <c r="H134" s="54">
        <v>46023</v>
      </c>
      <c r="I134" s="52" t="s">
        <v>74</v>
      </c>
      <c r="J134" s="52" t="s">
        <v>210</v>
      </c>
      <c r="K134" s="52" t="s">
        <v>645</v>
      </c>
      <c r="L134" s="52" t="s">
        <v>645</v>
      </c>
      <c r="M134" s="52" t="s">
        <v>29</v>
      </c>
      <c r="N134" s="53">
        <v>-387.7</v>
      </c>
      <c r="O134" s="97">
        <v>-387.7</v>
      </c>
      <c r="P134" s="52" t="s">
        <v>646</v>
      </c>
      <c r="Q134" s="52" t="s">
        <v>647</v>
      </c>
      <c r="R134" s="55" t="s">
        <v>64</v>
      </c>
      <c r="S134" s="52" t="s">
        <v>210</v>
      </c>
    </row>
    <row r="135" spans="1:19" outlineLevel="2" x14ac:dyDescent="0.45">
      <c r="A135" t="s">
        <v>17</v>
      </c>
      <c r="B135" s="52" t="s">
        <v>57</v>
      </c>
      <c r="C135" s="52" t="s">
        <v>894</v>
      </c>
      <c r="D135" s="52" t="s">
        <v>895</v>
      </c>
      <c r="E135" s="52" t="s">
        <v>387</v>
      </c>
      <c r="F135" s="52" t="s">
        <v>896</v>
      </c>
      <c r="G135" s="52" t="s">
        <v>60</v>
      </c>
      <c r="H135" s="54">
        <v>46023</v>
      </c>
      <c r="I135" s="52" t="s">
        <v>74</v>
      </c>
      <c r="J135" s="52" t="s">
        <v>210</v>
      </c>
      <c r="K135" s="52" t="s">
        <v>897</v>
      </c>
      <c r="L135" s="52" t="s">
        <v>897</v>
      </c>
      <c r="M135" s="52" t="s">
        <v>29</v>
      </c>
      <c r="N135" s="53">
        <v>-380</v>
      </c>
      <c r="O135" s="100">
        <v>-380</v>
      </c>
      <c r="P135" s="52" t="s">
        <v>898</v>
      </c>
      <c r="Q135" s="52" t="s">
        <v>625</v>
      </c>
      <c r="R135" s="55" t="s">
        <v>64</v>
      </c>
      <c r="S135" s="52" t="s">
        <v>210</v>
      </c>
    </row>
    <row r="136" spans="1:19" outlineLevel="2" x14ac:dyDescent="0.45">
      <c r="A136" t="s">
        <v>17</v>
      </c>
      <c r="B136" s="52" t="s">
        <v>57</v>
      </c>
      <c r="C136" s="52" t="s">
        <v>656</v>
      </c>
      <c r="D136" s="52" t="s">
        <v>657</v>
      </c>
      <c r="E136" s="52" t="s">
        <v>387</v>
      </c>
      <c r="F136" s="52" t="s">
        <v>899</v>
      </c>
      <c r="G136" s="52" t="s">
        <v>60</v>
      </c>
      <c r="H136" s="54">
        <v>46023</v>
      </c>
      <c r="I136" s="52" t="s">
        <v>74</v>
      </c>
      <c r="J136" s="52" t="s">
        <v>210</v>
      </c>
      <c r="K136" s="52" t="s">
        <v>900</v>
      </c>
      <c r="L136" s="52" t="s">
        <v>900</v>
      </c>
      <c r="M136" s="52" t="s">
        <v>29</v>
      </c>
      <c r="N136" s="53">
        <v>-376.87</v>
      </c>
      <c r="O136" s="100">
        <v>-376.87</v>
      </c>
      <c r="P136" s="52" t="s">
        <v>901</v>
      </c>
      <c r="Q136" s="52" t="s">
        <v>625</v>
      </c>
      <c r="R136" s="55" t="s">
        <v>64</v>
      </c>
      <c r="S136" s="52" t="s">
        <v>210</v>
      </c>
    </row>
    <row r="137" spans="1:19" outlineLevel="2" x14ac:dyDescent="0.45">
      <c r="A137" t="s">
        <v>17</v>
      </c>
      <c r="B137" s="52" t="s">
        <v>57</v>
      </c>
      <c r="C137" s="52" t="s">
        <v>785</v>
      </c>
      <c r="D137" s="52" t="s">
        <v>786</v>
      </c>
      <c r="E137" s="52" t="s">
        <v>387</v>
      </c>
      <c r="F137" s="52" t="s">
        <v>903</v>
      </c>
      <c r="G137" s="52" t="s">
        <v>60</v>
      </c>
      <c r="H137" s="54">
        <v>46023</v>
      </c>
      <c r="I137" s="52" t="s">
        <v>74</v>
      </c>
      <c r="J137" s="52" t="s">
        <v>107</v>
      </c>
      <c r="K137" s="52" t="s">
        <v>904</v>
      </c>
      <c r="L137" s="52" t="s">
        <v>904</v>
      </c>
      <c r="M137" s="52" t="s">
        <v>29</v>
      </c>
      <c r="N137" s="53">
        <v>-305</v>
      </c>
      <c r="O137" s="100">
        <v>-305</v>
      </c>
      <c r="P137" s="52" t="s">
        <v>905</v>
      </c>
      <c r="Q137" s="52" t="s">
        <v>906</v>
      </c>
      <c r="R137" s="55" t="s">
        <v>64</v>
      </c>
      <c r="S137" s="52" t="s">
        <v>107</v>
      </c>
    </row>
    <row r="138" spans="1:19" outlineLevel="2" x14ac:dyDescent="0.45">
      <c r="A138" t="s">
        <v>17</v>
      </c>
      <c r="B138" s="52" t="s">
        <v>57</v>
      </c>
      <c r="C138" s="52" t="s">
        <v>785</v>
      </c>
      <c r="D138" s="52" t="s">
        <v>786</v>
      </c>
      <c r="E138" s="52" t="s">
        <v>387</v>
      </c>
      <c r="F138" s="52" t="s">
        <v>907</v>
      </c>
      <c r="G138" s="52" t="s">
        <v>60</v>
      </c>
      <c r="H138" s="54">
        <v>46023</v>
      </c>
      <c r="I138" s="52" t="s">
        <v>74</v>
      </c>
      <c r="J138" s="52" t="s">
        <v>107</v>
      </c>
      <c r="K138" s="52" t="s">
        <v>908</v>
      </c>
      <c r="L138" s="52" t="s">
        <v>908</v>
      </c>
      <c r="M138" s="52" t="s">
        <v>29</v>
      </c>
      <c r="N138" s="53">
        <v>-305</v>
      </c>
      <c r="O138" s="100">
        <v>-305</v>
      </c>
      <c r="P138" s="52" t="s">
        <v>909</v>
      </c>
      <c r="Q138" s="52" t="s">
        <v>910</v>
      </c>
      <c r="R138" s="55" t="s">
        <v>64</v>
      </c>
      <c r="S138" s="52" t="s">
        <v>107</v>
      </c>
    </row>
    <row r="139" spans="1:19" outlineLevel="2" x14ac:dyDescent="0.45">
      <c r="A139" t="s">
        <v>17</v>
      </c>
      <c r="B139" s="52" t="s">
        <v>57</v>
      </c>
      <c r="C139" s="52" t="s">
        <v>911</v>
      </c>
      <c r="D139" s="52" t="s">
        <v>912</v>
      </c>
      <c r="E139" s="52" t="s">
        <v>387</v>
      </c>
      <c r="F139" s="52" t="s">
        <v>913</v>
      </c>
      <c r="G139" s="52" t="s">
        <v>60</v>
      </c>
      <c r="H139" s="54">
        <v>46023</v>
      </c>
      <c r="I139" s="52" t="s">
        <v>74</v>
      </c>
      <c r="J139" s="52" t="s">
        <v>107</v>
      </c>
      <c r="K139" s="52" t="s">
        <v>914</v>
      </c>
      <c r="L139" s="52" t="s">
        <v>914</v>
      </c>
      <c r="M139" s="52" t="s">
        <v>29</v>
      </c>
      <c r="N139" s="53">
        <v>-260</v>
      </c>
      <c r="O139" s="100">
        <v>-260</v>
      </c>
      <c r="P139" s="52" t="s">
        <v>915</v>
      </c>
      <c r="Q139" s="52" t="s">
        <v>916</v>
      </c>
      <c r="R139" s="55" t="s">
        <v>64</v>
      </c>
      <c r="S139" s="52" t="s">
        <v>107</v>
      </c>
    </row>
    <row r="140" spans="1:19" outlineLevel="2" x14ac:dyDescent="0.45">
      <c r="A140" t="s">
        <v>17</v>
      </c>
      <c r="B140" s="52" t="s">
        <v>57</v>
      </c>
      <c r="C140" s="52" t="s">
        <v>774</v>
      </c>
      <c r="D140" s="52" t="s">
        <v>775</v>
      </c>
      <c r="E140" s="52" t="s">
        <v>387</v>
      </c>
      <c r="F140" s="52" t="s">
        <v>796</v>
      </c>
      <c r="G140" s="52" t="s">
        <v>60</v>
      </c>
      <c r="H140" s="54">
        <v>46023</v>
      </c>
      <c r="I140" s="52" t="s">
        <v>74</v>
      </c>
      <c r="J140" s="52" t="s">
        <v>210</v>
      </c>
      <c r="K140" s="52" t="s">
        <v>777</v>
      </c>
      <c r="L140" s="52" t="s">
        <v>777</v>
      </c>
      <c r="M140" s="52" t="s">
        <v>29</v>
      </c>
      <c r="N140" s="53">
        <v>-257.5</v>
      </c>
      <c r="O140" s="100">
        <v>-257.5</v>
      </c>
      <c r="P140" s="52" t="s">
        <v>778</v>
      </c>
      <c r="Q140" s="52" t="s">
        <v>797</v>
      </c>
      <c r="R140" s="55" t="s">
        <v>64</v>
      </c>
      <c r="S140" s="52" t="s">
        <v>210</v>
      </c>
    </row>
    <row r="141" spans="1:19" outlineLevel="2" x14ac:dyDescent="0.45">
      <c r="A141" t="s">
        <v>17</v>
      </c>
      <c r="B141" s="52" t="s">
        <v>66</v>
      </c>
      <c r="C141" s="52" t="s">
        <v>917</v>
      </c>
      <c r="D141" s="52" t="s">
        <v>918</v>
      </c>
      <c r="E141" s="52" t="s">
        <v>387</v>
      </c>
      <c r="F141" s="52" t="s">
        <v>919</v>
      </c>
      <c r="G141" s="52" t="s">
        <v>60</v>
      </c>
      <c r="H141" s="54">
        <v>46023</v>
      </c>
      <c r="I141" s="52" t="s">
        <v>74</v>
      </c>
      <c r="J141" s="52" t="s">
        <v>841</v>
      </c>
      <c r="K141" s="52" t="s">
        <v>920</v>
      </c>
      <c r="L141" s="52" t="s">
        <v>920</v>
      </c>
      <c r="M141" s="52" t="s">
        <v>67</v>
      </c>
      <c r="N141" s="53">
        <v>-64.900000000000006</v>
      </c>
      <c r="O141" s="100">
        <v>-218.58</v>
      </c>
      <c r="P141" s="52" t="s">
        <v>921</v>
      </c>
      <c r="Q141" s="52" t="s">
        <v>922</v>
      </c>
      <c r="R141" s="55" t="s">
        <v>64</v>
      </c>
      <c r="S141" s="52" t="s">
        <v>841</v>
      </c>
    </row>
    <row r="142" spans="1:19" hidden="1" outlineLevel="2" x14ac:dyDescent="0.45">
      <c r="A142" t="s">
        <v>17</v>
      </c>
      <c r="B142" s="52" t="s">
        <v>57</v>
      </c>
      <c r="C142" s="52"/>
      <c r="D142" s="52" t="s">
        <v>338</v>
      </c>
      <c r="E142" s="52" t="s">
        <v>387</v>
      </c>
      <c r="F142" s="52" t="s">
        <v>923</v>
      </c>
      <c r="G142" s="52" t="s">
        <v>60</v>
      </c>
      <c r="H142" s="54">
        <v>46023</v>
      </c>
      <c r="I142" s="52" t="s">
        <v>74</v>
      </c>
      <c r="J142" s="52" t="s">
        <v>210</v>
      </c>
      <c r="K142" s="52"/>
      <c r="L142" s="52"/>
      <c r="M142" s="52" t="s">
        <v>29</v>
      </c>
      <c r="N142" s="53">
        <v>-195.8</v>
      </c>
      <c r="O142" s="102">
        <v>-195.8</v>
      </c>
      <c r="P142" s="52" t="s">
        <v>873</v>
      </c>
      <c r="Q142" s="52" t="s">
        <v>873</v>
      </c>
      <c r="R142" s="55" t="s">
        <v>64</v>
      </c>
      <c r="S142" s="52" t="s">
        <v>210</v>
      </c>
    </row>
    <row r="143" spans="1:19" outlineLevel="2" x14ac:dyDescent="0.45">
      <c r="A143" t="s">
        <v>17</v>
      </c>
      <c r="B143" s="52" t="s">
        <v>57</v>
      </c>
      <c r="C143" s="52" t="s">
        <v>924</v>
      </c>
      <c r="D143" s="52" t="s">
        <v>925</v>
      </c>
      <c r="E143" s="52" t="s">
        <v>387</v>
      </c>
      <c r="F143" s="52" t="s">
        <v>926</v>
      </c>
      <c r="G143" s="52" t="s">
        <v>60</v>
      </c>
      <c r="H143" s="54">
        <v>46023</v>
      </c>
      <c r="I143" s="52" t="s">
        <v>74</v>
      </c>
      <c r="J143" s="52" t="s">
        <v>210</v>
      </c>
      <c r="K143" s="52" t="s">
        <v>927</v>
      </c>
      <c r="L143" s="52" t="s">
        <v>927</v>
      </c>
      <c r="M143" s="52" t="s">
        <v>29</v>
      </c>
      <c r="N143" s="53">
        <v>-188.8</v>
      </c>
      <c r="O143" s="96">
        <v>-188.8</v>
      </c>
      <c r="P143" s="52" t="s">
        <v>928</v>
      </c>
      <c r="Q143" s="52" t="s">
        <v>625</v>
      </c>
      <c r="R143" s="55" t="s">
        <v>64</v>
      </c>
      <c r="S143" s="52" t="s">
        <v>210</v>
      </c>
    </row>
    <row r="144" spans="1:19" hidden="1" outlineLevel="2" x14ac:dyDescent="0.45">
      <c r="A144" t="s">
        <v>17</v>
      </c>
      <c r="B144" s="52" t="s">
        <v>57</v>
      </c>
      <c r="C144" s="52" t="s">
        <v>376</v>
      </c>
      <c r="D144" s="52" t="s">
        <v>377</v>
      </c>
      <c r="E144" s="52" t="s">
        <v>387</v>
      </c>
      <c r="F144" s="52" t="s">
        <v>929</v>
      </c>
      <c r="G144" s="52" t="s">
        <v>60</v>
      </c>
      <c r="H144" s="54">
        <v>46023</v>
      </c>
      <c r="I144" s="52" t="s">
        <v>74</v>
      </c>
      <c r="J144" s="52" t="s">
        <v>210</v>
      </c>
      <c r="K144" s="52" t="s">
        <v>645</v>
      </c>
      <c r="L144" s="52" t="s">
        <v>645</v>
      </c>
      <c r="M144" s="52" t="s">
        <v>29</v>
      </c>
      <c r="N144" s="53">
        <v>-188.23</v>
      </c>
      <c r="O144" s="97">
        <v>-188.23</v>
      </c>
      <c r="P144" s="52" t="s">
        <v>646</v>
      </c>
      <c r="Q144" s="52" t="s">
        <v>647</v>
      </c>
      <c r="R144" s="55" t="s">
        <v>64</v>
      </c>
      <c r="S144" s="52" t="s">
        <v>210</v>
      </c>
    </row>
    <row r="145" spans="1:19" outlineLevel="2" x14ac:dyDescent="0.45">
      <c r="A145" t="s">
        <v>17</v>
      </c>
      <c r="B145" s="52" t="s">
        <v>57</v>
      </c>
      <c r="C145" s="52" t="s">
        <v>349</v>
      </c>
      <c r="D145" s="52" t="s">
        <v>350</v>
      </c>
      <c r="E145" s="52" t="s">
        <v>387</v>
      </c>
      <c r="F145" s="52" t="s">
        <v>930</v>
      </c>
      <c r="G145" s="52" t="s">
        <v>60</v>
      </c>
      <c r="H145" s="54">
        <v>46023</v>
      </c>
      <c r="I145" s="52" t="s">
        <v>74</v>
      </c>
      <c r="J145" s="52" t="s">
        <v>210</v>
      </c>
      <c r="K145" s="52" t="s">
        <v>931</v>
      </c>
      <c r="L145" s="52" t="s">
        <v>931</v>
      </c>
      <c r="M145" s="52" t="s">
        <v>29</v>
      </c>
      <c r="N145" s="53">
        <v>-152.69999999999999</v>
      </c>
      <c r="O145" s="96">
        <v>-152.69999999999999</v>
      </c>
      <c r="P145" s="52" t="s">
        <v>932</v>
      </c>
      <c r="Q145" s="52" t="s">
        <v>933</v>
      </c>
      <c r="R145" s="55" t="s">
        <v>64</v>
      </c>
      <c r="S145" s="52" t="s">
        <v>210</v>
      </c>
    </row>
    <row r="146" spans="1:19" outlineLevel="2" x14ac:dyDescent="0.45">
      <c r="A146" t="s">
        <v>17</v>
      </c>
      <c r="B146" s="52" t="s">
        <v>57</v>
      </c>
      <c r="C146" s="52" t="s">
        <v>934</v>
      </c>
      <c r="D146" s="52" t="s">
        <v>935</v>
      </c>
      <c r="E146" s="52" t="s">
        <v>387</v>
      </c>
      <c r="F146" s="52" t="s">
        <v>936</v>
      </c>
      <c r="G146" s="52" t="s">
        <v>60</v>
      </c>
      <c r="H146" s="54">
        <v>46023</v>
      </c>
      <c r="I146" s="52" t="s">
        <v>74</v>
      </c>
      <c r="J146" s="52" t="s">
        <v>107</v>
      </c>
      <c r="K146" s="52" t="s">
        <v>937</v>
      </c>
      <c r="L146" s="52" t="s">
        <v>937</v>
      </c>
      <c r="M146" s="52" t="s">
        <v>29</v>
      </c>
      <c r="N146" s="53">
        <v>-147</v>
      </c>
      <c r="O146" s="96">
        <v>-147</v>
      </c>
      <c r="P146" s="52" t="s">
        <v>938</v>
      </c>
      <c r="Q146" s="52" t="s">
        <v>939</v>
      </c>
      <c r="R146" s="55" t="s">
        <v>64</v>
      </c>
      <c r="S146" s="52" t="s">
        <v>107</v>
      </c>
    </row>
    <row r="147" spans="1:19" outlineLevel="2" x14ac:dyDescent="0.45">
      <c r="A147" t="s">
        <v>17</v>
      </c>
      <c r="B147" s="52" t="s">
        <v>57</v>
      </c>
      <c r="C147" s="52" t="s">
        <v>838</v>
      </c>
      <c r="D147" s="52" t="s">
        <v>839</v>
      </c>
      <c r="E147" s="52" t="s">
        <v>387</v>
      </c>
      <c r="F147" s="52" t="s">
        <v>940</v>
      </c>
      <c r="G147" s="52" t="s">
        <v>60</v>
      </c>
      <c r="H147" s="54">
        <v>46023</v>
      </c>
      <c r="I147" s="52" t="s">
        <v>74</v>
      </c>
      <c r="J147" s="52" t="s">
        <v>210</v>
      </c>
      <c r="K147" s="52" t="s">
        <v>941</v>
      </c>
      <c r="L147" s="52" t="s">
        <v>941</v>
      </c>
      <c r="M147" s="52" t="s">
        <v>29</v>
      </c>
      <c r="N147" s="53">
        <v>-119.98</v>
      </c>
      <c r="O147" s="96">
        <v>-119.98</v>
      </c>
      <c r="P147" s="52" t="s">
        <v>942</v>
      </c>
      <c r="Q147" s="52" t="s">
        <v>625</v>
      </c>
      <c r="R147" s="55" t="s">
        <v>64</v>
      </c>
      <c r="S147" s="52" t="s">
        <v>210</v>
      </c>
    </row>
    <row r="148" spans="1:19" outlineLevel="2" x14ac:dyDescent="0.45">
      <c r="A148" t="s">
        <v>17</v>
      </c>
      <c r="B148" s="52" t="s">
        <v>57</v>
      </c>
      <c r="C148" s="52" t="s">
        <v>911</v>
      </c>
      <c r="D148" s="52" t="s">
        <v>912</v>
      </c>
      <c r="E148" s="52" t="s">
        <v>387</v>
      </c>
      <c r="F148" s="52" t="s">
        <v>943</v>
      </c>
      <c r="G148" s="52" t="s">
        <v>60</v>
      </c>
      <c r="H148" s="54">
        <v>46023</v>
      </c>
      <c r="I148" s="52" t="s">
        <v>74</v>
      </c>
      <c r="J148" s="52" t="s">
        <v>107</v>
      </c>
      <c r="K148" s="52" t="s">
        <v>944</v>
      </c>
      <c r="L148" s="52" t="s">
        <v>944</v>
      </c>
      <c r="M148" s="52" t="s">
        <v>29</v>
      </c>
      <c r="N148" s="53">
        <v>-78</v>
      </c>
      <c r="O148" s="96">
        <v>-78</v>
      </c>
      <c r="P148" s="52" t="s">
        <v>945</v>
      </c>
      <c r="Q148" s="52" t="s">
        <v>946</v>
      </c>
      <c r="R148" s="55" t="s">
        <v>64</v>
      </c>
      <c r="S148" s="52" t="s">
        <v>107</v>
      </c>
    </row>
    <row r="149" spans="1:19" outlineLevel="2" x14ac:dyDescent="0.45">
      <c r="A149" t="s">
        <v>17</v>
      </c>
      <c r="B149" s="52" t="s">
        <v>57</v>
      </c>
      <c r="C149" s="52"/>
      <c r="D149" s="52" t="s">
        <v>947</v>
      </c>
      <c r="E149" s="52" t="s">
        <v>387</v>
      </c>
      <c r="F149" s="52" t="s">
        <v>948</v>
      </c>
      <c r="G149" s="52" t="s">
        <v>60</v>
      </c>
      <c r="H149" s="54">
        <v>46023</v>
      </c>
      <c r="I149" s="52" t="s">
        <v>74</v>
      </c>
      <c r="J149" s="52" t="s">
        <v>210</v>
      </c>
      <c r="K149" s="52"/>
      <c r="L149" s="52"/>
      <c r="M149" s="52" t="s">
        <v>29</v>
      </c>
      <c r="N149" s="53">
        <v>-68.2</v>
      </c>
      <c r="O149" s="96">
        <v>-68.2</v>
      </c>
      <c r="P149" s="52" t="s">
        <v>873</v>
      </c>
      <c r="Q149" s="52" t="s">
        <v>873</v>
      </c>
      <c r="R149" s="55" t="s">
        <v>64</v>
      </c>
      <c r="S149" s="52" t="s">
        <v>210</v>
      </c>
    </row>
    <row r="150" spans="1:19" outlineLevel="2" x14ac:dyDescent="0.45">
      <c r="A150" t="s">
        <v>17</v>
      </c>
      <c r="B150" s="52" t="s">
        <v>57</v>
      </c>
      <c r="C150" s="52"/>
      <c r="D150" s="52" t="s">
        <v>949</v>
      </c>
      <c r="E150" s="52" t="s">
        <v>387</v>
      </c>
      <c r="F150" s="52" t="s">
        <v>950</v>
      </c>
      <c r="G150" s="52" t="s">
        <v>60</v>
      </c>
      <c r="H150" s="54">
        <v>46023</v>
      </c>
      <c r="I150" s="52" t="s">
        <v>74</v>
      </c>
      <c r="J150" s="52" t="s">
        <v>210</v>
      </c>
      <c r="K150" s="52" t="s">
        <v>951</v>
      </c>
      <c r="L150" s="52" t="s">
        <v>951</v>
      </c>
      <c r="M150" s="52" t="s">
        <v>29</v>
      </c>
      <c r="N150" s="53">
        <v>-49</v>
      </c>
      <c r="O150" s="96">
        <v>-49</v>
      </c>
      <c r="P150" s="52" t="s">
        <v>952</v>
      </c>
      <c r="Q150" s="52" t="s">
        <v>873</v>
      </c>
      <c r="R150" s="55" t="s">
        <v>64</v>
      </c>
      <c r="S150" s="52" t="s">
        <v>210</v>
      </c>
    </row>
    <row r="151" spans="1:19" outlineLevel="2" x14ac:dyDescent="0.45">
      <c r="A151" t="s">
        <v>17</v>
      </c>
      <c r="B151" s="52" t="s">
        <v>57</v>
      </c>
      <c r="C151" s="52" t="s">
        <v>953</v>
      </c>
      <c r="D151" s="52" t="s">
        <v>954</v>
      </c>
      <c r="E151" s="52" t="s">
        <v>387</v>
      </c>
      <c r="F151" s="52" t="s">
        <v>955</v>
      </c>
      <c r="G151" s="52" t="s">
        <v>60</v>
      </c>
      <c r="H151" s="54">
        <v>46023</v>
      </c>
      <c r="I151" s="52" t="s">
        <v>74</v>
      </c>
      <c r="J151" s="52" t="s">
        <v>210</v>
      </c>
      <c r="K151" s="52" t="s">
        <v>956</v>
      </c>
      <c r="L151" s="52" t="s">
        <v>956</v>
      </c>
      <c r="M151" s="52" t="s">
        <v>29</v>
      </c>
      <c r="N151" s="53">
        <v>-45</v>
      </c>
      <c r="O151" s="96">
        <v>-45</v>
      </c>
      <c r="P151" s="52" t="s">
        <v>957</v>
      </c>
      <c r="Q151" s="52" t="s">
        <v>625</v>
      </c>
      <c r="R151" s="55" t="s">
        <v>64</v>
      </c>
      <c r="S151" s="52" t="s">
        <v>210</v>
      </c>
    </row>
    <row r="152" spans="1:19" outlineLevel="2" x14ac:dyDescent="0.45">
      <c r="A152" t="s">
        <v>17</v>
      </c>
      <c r="B152" s="52" t="s">
        <v>57</v>
      </c>
      <c r="C152" s="52" t="s">
        <v>953</v>
      </c>
      <c r="D152" s="52" t="s">
        <v>954</v>
      </c>
      <c r="E152" s="52" t="s">
        <v>387</v>
      </c>
      <c r="F152" s="52" t="s">
        <v>955</v>
      </c>
      <c r="G152" s="52" t="s">
        <v>60</v>
      </c>
      <c r="H152" s="54">
        <v>46023</v>
      </c>
      <c r="I152" s="52" t="s">
        <v>74</v>
      </c>
      <c r="J152" s="52" t="s">
        <v>210</v>
      </c>
      <c r="K152" s="52" t="s">
        <v>958</v>
      </c>
      <c r="L152" s="52" t="s">
        <v>958</v>
      </c>
      <c r="M152" s="52" t="s">
        <v>29</v>
      </c>
      <c r="N152" s="53">
        <v>-45</v>
      </c>
      <c r="O152" s="96">
        <v>-45</v>
      </c>
      <c r="P152" s="52" t="s">
        <v>959</v>
      </c>
      <c r="Q152" s="52" t="s">
        <v>625</v>
      </c>
      <c r="R152" s="55" t="s">
        <v>64</v>
      </c>
      <c r="S152" s="52" t="s">
        <v>210</v>
      </c>
    </row>
    <row r="153" spans="1:19" outlineLevel="2" x14ac:dyDescent="0.45">
      <c r="A153" t="s">
        <v>17</v>
      </c>
      <c r="B153" s="52" t="s">
        <v>57</v>
      </c>
      <c r="C153" s="52" t="s">
        <v>953</v>
      </c>
      <c r="D153" s="52" t="s">
        <v>954</v>
      </c>
      <c r="E153" s="52" t="s">
        <v>387</v>
      </c>
      <c r="F153" s="52" t="s">
        <v>955</v>
      </c>
      <c r="G153" s="52" t="s">
        <v>60</v>
      </c>
      <c r="H153" s="54">
        <v>46023</v>
      </c>
      <c r="I153" s="52" t="s">
        <v>74</v>
      </c>
      <c r="J153" s="52" t="s">
        <v>210</v>
      </c>
      <c r="K153" s="52" t="s">
        <v>960</v>
      </c>
      <c r="L153" s="52" t="s">
        <v>960</v>
      </c>
      <c r="M153" s="52" t="s">
        <v>29</v>
      </c>
      <c r="N153" s="53">
        <v>-45</v>
      </c>
      <c r="O153" s="96">
        <v>-45</v>
      </c>
      <c r="P153" s="52" t="s">
        <v>961</v>
      </c>
      <c r="Q153" s="52" t="s">
        <v>625</v>
      </c>
      <c r="R153" s="55" t="s">
        <v>64</v>
      </c>
      <c r="S153" s="52" t="s">
        <v>210</v>
      </c>
    </row>
    <row r="154" spans="1:19" outlineLevel="2" x14ac:dyDescent="0.45">
      <c r="A154" t="s">
        <v>17</v>
      </c>
      <c r="B154" s="52" t="s">
        <v>57</v>
      </c>
      <c r="C154" s="52" t="s">
        <v>953</v>
      </c>
      <c r="D154" s="52" t="s">
        <v>954</v>
      </c>
      <c r="E154" s="52" t="s">
        <v>387</v>
      </c>
      <c r="F154" s="52" t="s">
        <v>955</v>
      </c>
      <c r="G154" s="52" t="s">
        <v>60</v>
      </c>
      <c r="H154" s="54">
        <v>46023</v>
      </c>
      <c r="I154" s="52" t="s">
        <v>74</v>
      </c>
      <c r="J154" s="52" t="s">
        <v>210</v>
      </c>
      <c r="K154" s="52" t="s">
        <v>962</v>
      </c>
      <c r="L154" s="52" t="s">
        <v>962</v>
      </c>
      <c r="M154" s="52" t="s">
        <v>29</v>
      </c>
      <c r="N154" s="53">
        <v>-45</v>
      </c>
      <c r="O154" s="96">
        <v>-45</v>
      </c>
      <c r="P154" s="52" t="s">
        <v>963</v>
      </c>
      <c r="Q154" s="52" t="s">
        <v>625</v>
      </c>
      <c r="R154" s="55" t="s">
        <v>64</v>
      </c>
      <c r="S154" s="52" t="s">
        <v>210</v>
      </c>
    </row>
    <row r="155" spans="1:19" outlineLevel="2" x14ac:dyDescent="0.45">
      <c r="A155" t="s">
        <v>17</v>
      </c>
      <c r="B155" s="52" t="s">
        <v>57</v>
      </c>
      <c r="C155" s="52" t="s">
        <v>953</v>
      </c>
      <c r="D155" s="52" t="s">
        <v>954</v>
      </c>
      <c r="E155" s="52" t="s">
        <v>387</v>
      </c>
      <c r="F155" s="52" t="s">
        <v>955</v>
      </c>
      <c r="G155" s="52" t="s">
        <v>60</v>
      </c>
      <c r="H155" s="54">
        <v>46023</v>
      </c>
      <c r="I155" s="52" t="s">
        <v>74</v>
      </c>
      <c r="J155" s="52" t="s">
        <v>210</v>
      </c>
      <c r="K155" s="52" t="s">
        <v>964</v>
      </c>
      <c r="L155" s="52" t="s">
        <v>964</v>
      </c>
      <c r="M155" s="52" t="s">
        <v>29</v>
      </c>
      <c r="N155" s="53">
        <v>-45</v>
      </c>
      <c r="O155" s="96">
        <v>-45</v>
      </c>
      <c r="P155" s="52" t="s">
        <v>965</v>
      </c>
      <c r="Q155" s="52" t="s">
        <v>625</v>
      </c>
      <c r="R155" s="55" t="s">
        <v>64</v>
      </c>
      <c r="S155" s="52" t="s">
        <v>210</v>
      </c>
    </row>
    <row r="156" spans="1:19" outlineLevel="2" x14ac:dyDescent="0.45">
      <c r="A156" t="s">
        <v>17</v>
      </c>
      <c r="B156" s="52" t="s">
        <v>57</v>
      </c>
      <c r="C156" s="52" t="s">
        <v>953</v>
      </c>
      <c r="D156" s="52" t="s">
        <v>954</v>
      </c>
      <c r="E156" s="52" t="s">
        <v>387</v>
      </c>
      <c r="F156" s="52" t="s">
        <v>955</v>
      </c>
      <c r="G156" s="52" t="s">
        <v>60</v>
      </c>
      <c r="H156" s="54">
        <v>46023</v>
      </c>
      <c r="I156" s="52" t="s">
        <v>74</v>
      </c>
      <c r="J156" s="52" t="s">
        <v>210</v>
      </c>
      <c r="K156" s="52" t="s">
        <v>966</v>
      </c>
      <c r="L156" s="52" t="s">
        <v>966</v>
      </c>
      <c r="M156" s="52" t="s">
        <v>29</v>
      </c>
      <c r="N156" s="53">
        <v>-45</v>
      </c>
      <c r="O156" s="96">
        <v>-45</v>
      </c>
      <c r="P156" s="52" t="s">
        <v>967</v>
      </c>
      <c r="Q156" s="52" t="s">
        <v>625</v>
      </c>
      <c r="R156" s="55" t="s">
        <v>64</v>
      </c>
      <c r="S156" s="52" t="s">
        <v>210</v>
      </c>
    </row>
    <row r="157" spans="1:19" outlineLevel="2" x14ac:dyDescent="0.45">
      <c r="A157" t="s">
        <v>17</v>
      </c>
      <c r="B157" s="52" t="s">
        <v>57</v>
      </c>
      <c r="C157" s="52" t="s">
        <v>953</v>
      </c>
      <c r="D157" s="52" t="s">
        <v>954</v>
      </c>
      <c r="E157" s="52" t="s">
        <v>387</v>
      </c>
      <c r="F157" s="52" t="s">
        <v>955</v>
      </c>
      <c r="G157" s="52" t="s">
        <v>60</v>
      </c>
      <c r="H157" s="54">
        <v>46023</v>
      </c>
      <c r="I157" s="52" t="s">
        <v>74</v>
      </c>
      <c r="J157" s="52" t="s">
        <v>210</v>
      </c>
      <c r="K157" s="52" t="s">
        <v>968</v>
      </c>
      <c r="L157" s="52" t="s">
        <v>968</v>
      </c>
      <c r="M157" s="52" t="s">
        <v>29</v>
      </c>
      <c r="N157" s="53">
        <v>-45</v>
      </c>
      <c r="O157" s="96">
        <v>-45</v>
      </c>
      <c r="P157" s="52" t="s">
        <v>969</v>
      </c>
      <c r="Q157" s="52" t="s">
        <v>625</v>
      </c>
      <c r="R157" s="55" t="s">
        <v>64</v>
      </c>
      <c r="S157" s="52" t="s">
        <v>210</v>
      </c>
    </row>
    <row r="158" spans="1:19" outlineLevel="2" x14ac:dyDescent="0.45">
      <c r="A158" t="s">
        <v>17</v>
      </c>
      <c r="B158" s="52" t="s">
        <v>57</v>
      </c>
      <c r="C158" s="52" t="s">
        <v>953</v>
      </c>
      <c r="D158" s="52" t="s">
        <v>954</v>
      </c>
      <c r="E158" s="52" t="s">
        <v>387</v>
      </c>
      <c r="F158" s="52" t="s">
        <v>955</v>
      </c>
      <c r="G158" s="52" t="s">
        <v>60</v>
      </c>
      <c r="H158" s="54">
        <v>46023</v>
      </c>
      <c r="I158" s="52" t="s">
        <v>74</v>
      </c>
      <c r="J158" s="52" t="s">
        <v>210</v>
      </c>
      <c r="K158" s="52" t="s">
        <v>970</v>
      </c>
      <c r="L158" s="52" t="s">
        <v>970</v>
      </c>
      <c r="M158" s="52" t="s">
        <v>29</v>
      </c>
      <c r="N158" s="53">
        <v>-45</v>
      </c>
      <c r="O158" s="96">
        <v>-45</v>
      </c>
      <c r="P158" s="52" t="s">
        <v>971</v>
      </c>
      <c r="Q158" s="52" t="s">
        <v>625</v>
      </c>
      <c r="R158" s="55" t="s">
        <v>64</v>
      </c>
      <c r="S158" s="52" t="s">
        <v>210</v>
      </c>
    </row>
    <row r="159" spans="1:19" outlineLevel="2" x14ac:dyDescent="0.45">
      <c r="A159" t="s">
        <v>17</v>
      </c>
      <c r="B159" s="52" t="s">
        <v>57</v>
      </c>
      <c r="C159" s="52" t="s">
        <v>953</v>
      </c>
      <c r="D159" s="52" t="s">
        <v>954</v>
      </c>
      <c r="E159" s="52" t="s">
        <v>387</v>
      </c>
      <c r="F159" s="52" t="s">
        <v>955</v>
      </c>
      <c r="G159" s="52" t="s">
        <v>60</v>
      </c>
      <c r="H159" s="54">
        <v>46023</v>
      </c>
      <c r="I159" s="52" t="s">
        <v>74</v>
      </c>
      <c r="J159" s="52" t="s">
        <v>210</v>
      </c>
      <c r="K159" s="52" t="s">
        <v>972</v>
      </c>
      <c r="L159" s="52" t="s">
        <v>972</v>
      </c>
      <c r="M159" s="52" t="s">
        <v>29</v>
      </c>
      <c r="N159" s="53">
        <v>-45</v>
      </c>
      <c r="O159" s="96">
        <v>-45</v>
      </c>
      <c r="P159" s="52" t="s">
        <v>973</v>
      </c>
      <c r="Q159" s="52" t="s">
        <v>625</v>
      </c>
      <c r="R159" s="55" t="s">
        <v>64</v>
      </c>
      <c r="S159" s="52" t="s">
        <v>210</v>
      </c>
    </row>
    <row r="160" spans="1:19" outlineLevel="2" x14ac:dyDescent="0.45">
      <c r="A160" t="s">
        <v>17</v>
      </c>
      <c r="B160" s="52" t="s">
        <v>57</v>
      </c>
      <c r="C160" s="52" t="s">
        <v>953</v>
      </c>
      <c r="D160" s="52" t="s">
        <v>954</v>
      </c>
      <c r="E160" s="52" t="s">
        <v>387</v>
      </c>
      <c r="F160" s="52" t="s">
        <v>955</v>
      </c>
      <c r="G160" s="52" t="s">
        <v>60</v>
      </c>
      <c r="H160" s="54">
        <v>46023</v>
      </c>
      <c r="I160" s="52" t="s">
        <v>74</v>
      </c>
      <c r="J160" s="52" t="s">
        <v>210</v>
      </c>
      <c r="K160" s="52" t="s">
        <v>974</v>
      </c>
      <c r="L160" s="52" t="s">
        <v>974</v>
      </c>
      <c r="M160" s="52" t="s">
        <v>29</v>
      </c>
      <c r="N160" s="53">
        <v>-45</v>
      </c>
      <c r="O160" s="96">
        <v>-45</v>
      </c>
      <c r="P160" s="52" t="s">
        <v>975</v>
      </c>
      <c r="Q160" s="52" t="s">
        <v>625</v>
      </c>
      <c r="R160" s="55" t="s">
        <v>64</v>
      </c>
      <c r="S160" s="52" t="s">
        <v>210</v>
      </c>
    </row>
    <row r="161" spans="1:19" outlineLevel="2" x14ac:dyDescent="0.45">
      <c r="A161" t="s">
        <v>17</v>
      </c>
      <c r="B161" s="52" t="s">
        <v>57</v>
      </c>
      <c r="C161" s="52" t="s">
        <v>953</v>
      </c>
      <c r="D161" s="52" t="s">
        <v>954</v>
      </c>
      <c r="E161" s="52" t="s">
        <v>387</v>
      </c>
      <c r="F161" s="52" t="s">
        <v>955</v>
      </c>
      <c r="G161" s="52" t="s">
        <v>60</v>
      </c>
      <c r="H161" s="54">
        <v>46023</v>
      </c>
      <c r="I161" s="52" t="s">
        <v>74</v>
      </c>
      <c r="J161" s="52" t="s">
        <v>210</v>
      </c>
      <c r="K161" s="52" t="s">
        <v>976</v>
      </c>
      <c r="L161" s="52" t="s">
        <v>976</v>
      </c>
      <c r="M161" s="52" t="s">
        <v>29</v>
      </c>
      <c r="N161" s="53">
        <v>-45</v>
      </c>
      <c r="O161" s="96">
        <v>-45</v>
      </c>
      <c r="P161" s="52" t="s">
        <v>977</v>
      </c>
      <c r="Q161" s="52" t="s">
        <v>625</v>
      </c>
      <c r="R161" s="55" t="s">
        <v>64</v>
      </c>
      <c r="S161" s="52" t="s">
        <v>210</v>
      </c>
    </row>
    <row r="162" spans="1:19" outlineLevel="2" x14ac:dyDescent="0.45">
      <c r="A162" t="s">
        <v>17</v>
      </c>
      <c r="B162" s="52" t="s">
        <v>57</v>
      </c>
      <c r="C162" s="52" t="s">
        <v>953</v>
      </c>
      <c r="D162" s="52" t="s">
        <v>954</v>
      </c>
      <c r="E162" s="52" t="s">
        <v>387</v>
      </c>
      <c r="F162" s="52" t="s">
        <v>955</v>
      </c>
      <c r="G162" s="52" t="s">
        <v>60</v>
      </c>
      <c r="H162" s="54">
        <v>46023</v>
      </c>
      <c r="I162" s="52" t="s">
        <v>74</v>
      </c>
      <c r="J162" s="52" t="s">
        <v>210</v>
      </c>
      <c r="K162" s="52" t="s">
        <v>978</v>
      </c>
      <c r="L162" s="52" t="s">
        <v>978</v>
      </c>
      <c r="M162" s="52" t="s">
        <v>29</v>
      </c>
      <c r="N162" s="53">
        <v>-45</v>
      </c>
      <c r="O162" s="96">
        <v>-45</v>
      </c>
      <c r="P162" s="52" t="s">
        <v>979</v>
      </c>
      <c r="Q162" s="52" t="s">
        <v>625</v>
      </c>
      <c r="R162" s="55" t="s">
        <v>64</v>
      </c>
      <c r="S162" s="52" t="s">
        <v>210</v>
      </c>
    </row>
    <row r="163" spans="1:19" outlineLevel="2" x14ac:dyDescent="0.45">
      <c r="A163" t="s">
        <v>17</v>
      </c>
      <c r="B163" s="52" t="s">
        <v>57</v>
      </c>
      <c r="C163" s="52" t="s">
        <v>953</v>
      </c>
      <c r="D163" s="52" t="s">
        <v>954</v>
      </c>
      <c r="E163" s="52" t="s">
        <v>387</v>
      </c>
      <c r="F163" s="52" t="s">
        <v>955</v>
      </c>
      <c r="G163" s="52" t="s">
        <v>60</v>
      </c>
      <c r="H163" s="54">
        <v>46023</v>
      </c>
      <c r="I163" s="52" t="s">
        <v>74</v>
      </c>
      <c r="J163" s="52" t="s">
        <v>210</v>
      </c>
      <c r="K163" s="52" t="s">
        <v>980</v>
      </c>
      <c r="L163" s="52" t="s">
        <v>980</v>
      </c>
      <c r="M163" s="52" t="s">
        <v>29</v>
      </c>
      <c r="N163" s="53">
        <v>-45</v>
      </c>
      <c r="O163" s="96">
        <v>-45</v>
      </c>
      <c r="P163" s="52" t="s">
        <v>981</v>
      </c>
      <c r="Q163" s="52" t="s">
        <v>625</v>
      </c>
      <c r="R163" s="55" t="s">
        <v>64</v>
      </c>
      <c r="S163" s="52" t="s">
        <v>210</v>
      </c>
    </row>
    <row r="164" spans="1:19" outlineLevel="2" x14ac:dyDescent="0.45">
      <c r="A164" t="s">
        <v>17</v>
      </c>
      <c r="B164" s="52" t="s">
        <v>57</v>
      </c>
      <c r="C164" s="52"/>
      <c r="D164" s="52" t="s">
        <v>982</v>
      </c>
      <c r="E164" s="52" t="s">
        <v>387</v>
      </c>
      <c r="F164" s="52" t="s">
        <v>983</v>
      </c>
      <c r="G164" s="52" t="s">
        <v>60</v>
      </c>
      <c r="H164" s="54">
        <v>46023</v>
      </c>
      <c r="I164" s="52" t="s">
        <v>74</v>
      </c>
      <c r="J164" s="52" t="s">
        <v>210</v>
      </c>
      <c r="K164" s="52" t="s">
        <v>984</v>
      </c>
      <c r="L164" s="52" t="s">
        <v>984</v>
      </c>
      <c r="M164" s="52" t="s">
        <v>29</v>
      </c>
      <c r="N164" s="53">
        <v>-15</v>
      </c>
      <c r="O164" s="96">
        <v>-15</v>
      </c>
      <c r="P164" s="52" t="s">
        <v>985</v>
      </c>
      <c r="Q164" s="52" t="s">
        <v>873</v>
      </c>
      <c r="R164" s="55" t="s">
        <v>64</v>
      </c>
      <c r="S164" s="52" t="s">
        <v>210</v>
      </c>
    </row>
    <row r="165" spans="1:19" outlineLevel="2" x14ac:dyDescent="0.45">
      <c r="A165" t="s">
        <v>17</v>
      </c>
      <c r="B165" s="52" t="s">
        <v>57</v>
      </c>
      <c r="C165" s="52" t="s">
        <v>953</v>
      </c>
      <c r="D165" s="52" t="s">
        <v>954</v>
      </c>
      <c r="E165" s="52" t="s">
        <v>387</v>
      </c>
      <c r="F165" s="52" t="s">
        <v>955</v>
      </c>
      <c r="G165" s="52" t="s">
        <v>60</v>
      </c>
      <c r="H165" s="54">
        <v>46023</v>
      </c>
      <c r="I165" s="52" t="s">
        <v>74</v>
      </c>
      <c r="J165" s="52" t="s">
        <v>210</v>
      </c>
      <c r="K165" s="52" t="s">
        <v>986</v>
      </c>
      <c r="L165" s="52" t="s">
        <v>986</v>
      </c>
      <c r="M165" s="52" t="s">
        <v>29</v>
      </c>
      <c r="N165" s="53">
        <v>-15</v>
      </c>
      <c r="O165" s="96">
        <v>-15</v>
      </c>
      <c r="P165" s="52" t="s">
        <v>987</v>
      </c>
      <c r="Q165" s="52" t="s">
        <v>625</v>
      </c>
      <c r="R165" s="55" t="s">
        <v>64</v>
      </c>
      <c r="S165" s="52" t="s">
        <v>210</v>
      </c>
    </row>
    <row r="166" spans="1:19" outlineLevel="2" x14ac:dyDescent="0.45">
      <c r="A166" t="s">
        <v>17</v>
      </c>
      <c r="B166" s="52" t="s">
        <v>66</v>
      </c>
      <c r="C166" s="52"/>
      <c r="D166" s="52"/>
      <c r="E166" s="52" t="s">
        <v>367</v>
      </c>
      <c r="F166" s="52" t="s">
        <v>988</v>
      </c>
      <c r="G166" s="52" t="s">
        <v>369</v>
      </c>
      <c r="H166" s="54">
        <v>46023</v>
      </c>
      <c r="I166" s="52" t="s">
        <v>74</v>
      </c>
      <c r="J166" s="52" t="s">
        <v>989</v>
      </c>
      <c r="K166" s="52"/>
      <c r="L166" s="52"/>
      <c r="M166" s="52" t="s">
        <v>67</v>
      </c>
      <c r="N166" s="53">
        <v>0</v>
      </c>
      <c r="O166" s="96">
        <v>-2353.1999999999998</v>
      </c>
      <c r="P166" s="52" t="s">
        <v>370</v>
      </c>
      <c r="Q166" s="52" t="s">
        <v>370</v>
      </c>
      <c r="R166" s="55" t="s">
        <v>64</v>
      </c>
      <c r="S166" s="52" t="s">
        <v>989</v>
      </c>
    </row>
    <row r="167" spans="1:19" outlineLevel="2" x14ac:dyDescent="0.45">
      <c r="A167" t="s">
        <v>17</v>
      </c>
      <c r="B167" s="52" t="s">
        <v>57</v>
      </c>
      <c r="C167" s="52" t="s">
        <v>349</v>
      </c>
      <c r="D167" s="52" t="s">
        <v>350</v>
      </c>
      <c r="E167" s="52" t="s">
        <v>387</v>
      </c>
      <c r="F167" s="52" t="s">
        <v>990</v>
      </c>
      <c r="G167" s="52" t="s">
        <v>60</v>
      </c>
      <c r="H167" s="54">
        <v>46054</v>
      </c>
      <c r="I167" s="52" t="s">
        <v>231</v>
      </c>
      <c r="J167" s="52" t="s">
        <v>492</v>
      </c>
      <c r="K167" s="52" t="s">
        <v>991</v>
      </c>
      <c r="L167" s="52" t="s">
        <v>991</v>
      </c>
      <c r="M167" s="52" t="s">
        <v>29</v>
      </c>
      <c r="N167" s="53">
        <v>-3.5</v>
      </c>
      <c r="O167" s="96">
        <v>-3.5</v>
      </c>
      <c r="P167" s="52" t="s">
        <v>992</v>
      </c>
      <c r="Q167" s="52" t="s">
        <v>993</v>
      </c>
      <c r="R167" s="52" t="s">
        <v>64</v>
      </c>
      <c r="S167" s="52" t="s">
        <v>492</v>
      </c>
    </row>
    <row r="168" spans="1:19" outlineLevel="2" x14ac:dyDescent="0.45">
      <c r="A168" t="s">
        <v>17</v>
      </c>
      <c r="B168" s="52" t="s">
        <v>57</v>
      </c>
      <c r="C168" s="52" t="s">
        <v>349</v>
      </c>
      <c r="D168" s="52" t="s">
        <v>350</v>
      </c>
      <c r="E168" s="52" t="s">
        <v>387</v>
      </c>
      <c r="F168" s="52" t="s">
        <v>994</v>
      </c>
      <c r="G168" s="52" t="s">
        <v>60</v>
      </c>
      <c r="H168" s="54">
        <v>46054</v>
      </c>
      <c r="I168" s="52" t="s">
        <v>231</v>
      </c>
      <c r="J168" s="52" t="s">
        <v>492</v>
      </c>
      <c r="K168" s="52" t="s">
        <v>991</v>
      </c>
      <c r="L168" s="52" t="s">
        <v>991</v>
      </c>
      <c r="M168" s="52" t="s">
        <v>29</v>
      </c>
      <c r="N168" s="53">
        <v>-40</v>
      </c>
      <c r="O168" s="96">
        <v>-40</v>
      </c>
      <c r="P168" s="52" t="s">
        <v>992</v>
      </c>
      <c r="Q168" s="52" t="s">
        <v>993</v>
      </c>
      <c r="R168" s="52" t="s">
        <v>64</v>
      </c>
      <c r="S168" s="52" t="s">
        <v>492</v>
      </c>
    </row>
    <row r="169" spans="1:19" outlineLevel="2" x14ac:dyDescent="0.45">
      <c r="A169" t="s">
        <v>17</v>
      </c>
      <c r="B169" s="52" t="s">
        <v>57</v>
      </c>
      <c r="C169" s="52" t="s">
        <v>349</v>
      </c>
      <c r="D169" s="52" t="s">
        <v>350</v>
      </c>
      <c r="E169" s="52" t="s">
        <v>387</v>
      </c>
      <c r="F169" s="52" t="s">
        <v>995</v>
      </c>
      <c r="G169" s="52" t="s">
        <v>60</v>
      </c>
      <c r="H169" s="54">
        <v>46054</v>
      </c>
      <c r="I169" s="52" t="s">
        <v>231</v>
      </c>
      <c r="J169" s="52" t="s">
        <v>996</v>
      </c>
      <c r="K169" s="52" t="s">
        <v>997</v>
      </c>
      <c r="L169" s="52" t="s">
        <v>997</v>
      </c>
      <c r="M169" s="52" t="s">
        <v>29</v>
      </c>
      <c r="N169" s="53">
        <v>-50</v>
      </c>
      <c r="O169" s="96">
        <v>-50</v>
      </c>
      <c r="P169" s="52" t="s">
        <v>998</v>
      </c>
      <c r="Q169" s="52" t="s">
        <v>999</v>
      </c>
      <c r="R169" s="52" t="s">
        <v>64</v>
      </c>
      <c r="S169" s="52" t="s">
        <v>996</v>
      </c>
    </row>
    <row r="170" spans="1:19" outlineLevel="2" x14ac:dyDescent="0.45">
      <c r="A170" t="s">
        <v>17</v>
      </c>
      <c r="B170" s="52" t="s">
        <v>57</v>
      </c>
      <c r="C170" s="52" t="s">
        <v>349</v>
      </c>
      <c r="D170" s="52" t="s">
        <v>350</v>
      </c>
      <c r="E170" s="52" t="s">
        <v>387</v>
      </c>
      <c r="F170" s="52" t="s">
        <v>1000</v>
      </c>
      <c r="G170" s="52" t="s">
        <v>60</v>
      </c>
      <c r="H170" s="54">
        <v>46054</v>
      </c>
      <c r="I170" s="52" t="s">
        <v>231</v>
      </c>
      <c r="J170" s="52" t="s">
        <v>232</v>
      </c>
      <c r="K170" s="52" t="s">
        <v>1001</v>
      </c>
      <c r="L170" s="52" t="s">
        <v>1001</v>
      </c>
      <c r="M170" s="52" t="s">
        <v>29</v>
      </c>
      <c r="N170" s="53">
        <v>-40</v>
      </c>
      <c r="O170" s="96">
        <v>-40</v>
      </c>
      <c r="P170" s="52" t="s">
        <v>1002</v>
      </c>
      <c r="Q170" s="52" t="s">
        <v>1003</v>
      </c>
      <c r="R170" s="52" t="s">
        <v>64</v>
      </c>
      <c r="S170" s="52" t="s">
        <v>232</v>
      </c>
    </row>
    <row r="171" spans="1:19" outlineLevel="2" x14ac:dyDescent="0.45">
      <c r="A171" t="s">
        <v>17</v>
      </c>
      <c r="B171" s="52" t="s">
        <v>66</v>
      </c>
      <c r="C171" s="52" t="s">
        <v>349</v>
      </c>
      <c r="D171" s="52" t="s">
        <v>350</v>
      </c>
      <c r="E171" s="52" t="s">
        <v>387</v>
      </c>
      <c r="F171" s="52" t="s">
        <v>1004</v>
      </c>
      <c r="G171" s="52" t="s">
        <v>60</v>
      </c>
      <c r="H171" s="54">
        <v>46054</v>
      </c>
      <c r="I171" s="52" t="s">
        <v>231</v>
      </c>
      <c r="J171" s="52" t="s">
        <v>492</v>
      </c>
      <c r="K171" s="52" t="s">
        <v>1005</v>
      </c>
      <c r="L171" s="52" t="s">
        <v>1005</v>
      </c>
      <c r="M171" s="52" t="s">
        <v>67</v>
      </c>
      <c r="N171" s="53">
        <v>-1.3</v>
      </c>
      <c r="O171" s="96">
        <v>-4.37</v>
      </c>
      <c r="P171" s="52" t="s">
        <v>1006</v>
      </c>
      <c r="Q171" s="52" t="s">
        <v>1007</v>
      </c>
      <c r="R171" s="52" t="s">
        <v>64</v>
      </c>
      <c r="S171" s="52" t="s">
        <v>492</v>
      </c>
    </row>
    <row r="172" spans="1:19" outlineLevel="2" x14ac:dyDescent="0.45">
      <c r="A172" t="s">
        <v>17</v>
      </c>
      <c r="B172" s="52" t="s">
        <v>66</v>
      </c>
      <c r="C172" s="52" t="s">
        <v>349</v>
      </c>
      <c r="D172" s="52" t="s">
        <v>350</v>
      </c>
      <c r="E172" s="52" t="s">
        <v>387</v>
      </c>
      <c r="F172" s="52" t="s">
        <v>1008</v>
      </c>
      <c r="G172" s="52" t="s">
        <v>60</v>
      </c>
      <c r="H172" s="54">
        <v>46054</v>
      </c>
      <c r="I172" s="52" t="s">
        <v>231</v>
      </c>
      <c r="J172" s="52" t="s">
        <v>492</v>
      </c>
      <c r="K172" s="52" t="s">
        <v>1005</v>
      </c>
      <c r="L172" s="52" t="s">
        <v>1005</v>
      </c>
      <c r="M172" s="52" t="s">
        <v>67</v>
      </c>
      <c r="N172" s="53">
        <v>-14</v>
      </c>
      <c r="O172" s="96">
        <v>-47.04</v>
      </c>
      <c r="P172" s="52" t="s">
        <v>1006</v>
      </c>
      <c r="Q172" s="52" t="s">
        <v>1007</v>
      </c>
      <c r="R172" s="52" t="s">
        <v>64</v>
      </c>
      <c r="S172" s="52" t="s">
        <v>492</v>
      </c>
    </row>
    <row r="173" spans="1:19" outlineLevel="2" x14ac:dyDescent="0.45">
      <c r="A173" t="s">
        <v>17</v>
      </c>
      <c r="B173" s="52" t="s">
        <v>57</v>
      </c>
      <c r="C173" s="52" t="s">
        <v>349</v>
      </c>
      <c r="D173" s="52" t="s">
        <v>350</v>
      </c>
      <c r="E173" s="52" t="s">
        <v>387</v>
      </c>
      <c r="F173" s="52" t="s">
        <v>1009</v>
      </c>
      <c r="G173" s="52" t="s">
        <v>60</v>
      </c>
      <c r="H173" s="54">
        <v>46054</v>
      </c>
      <c r="I173" s="52" t="s">
        <v>231</v>
      </c>
      <c r="J173" s="52" t="s">
        <v>1010</v>
      </c>
      <c r="K173" s="52" t="s">
        <v>1011</v>
      </c>
      <c r="L173" s="52" t="s">
        <v>1011</v>
      </c>
      <c r="M173" s="52" t="s">
        <v>29</v>
      </c>
      <c r="N173" s="53">
        <v>-4.3</v>
      </c>
      <c r="O173" s="96">
        <v>-4.3</v>
      </c>
      <c r="P173" s="52" t="s">
        <v>1012</v>
      </c>
      <c r="Q173" s="52" t="s">
        <v>1013</v>
      </c>
      <c r="R173" s="52" t="s">
        <v>64</v>
      </c>
      <c r="S173" s="52" t="s">
        <v>1010</v>
      </c>
    </row>
    <row r="174" spans="1:19" outlineLevel="2" x14ac:dyDescent="0.45">
      <c r="A174" t="s">
        <v>17</v>
      </c>
      <c r="B174" s="52" t="s">
        <v>57</v>
      </c>
      <c r="C174" s="52" t="s">
        <v>349</v>
      </c>
      <c r="D174" s="52" t="s">
        <v>350</v>
      </c>
      <c r="E174" s="52" t="s">
        <v>387</v>
      </c>
      <c r="F174" s="52" t="s">
        <v>1014</v>
      </c>
      <c r="G174" s="52" t="s">
        <v>60</v>
      </c>
      <c r="H174" s="54">
        <v>46054</v>
      </c>
      <c r="I174" s="52" t="s">
        <v>231</v>
      </c>
      <c r="J174" s="52" t="s">
        <v>1010</v>
      </c>
      <c r="K174" s="52" t="s">
        <v>1011</v>
      </c>
      <c r="L174" s="52" t="s">
        <v>1011</v>
      </c>
      <c r="M174" s="52" t="s">
        <v>29</v>
      </c>
      <c r="N174" s="53">
        <v>-4.3</v>
      </c>
      <c r="O174" s="96">
        <v>-4.3</v>
      </c>
      <c r="P174" s="52" t="s">
        <v>1012</v>
      </c>
      <c r="Q174" s="52" t="s">
        <v>1015</v>
      </c>
      <c r="R174" s="52" t="s">
        <v>64</v>
      </c>
      <c r="S174" s="52" t="s">
        <v>1010</v>
      </c>
    </row>
    <row r="175" spans="1:19" outlineLevel="2" x14ac:dyDescent="0.45">
      <c r="A175" t="s">
        <v>17</v>
      </c>
      <c r="B175" s="52" t="s">
        <v>57</v>
      </c>
      <c r="C175" s="52" t="s">
        <v>349</v>
      </c>
      <c r="D175" s="52" t="s">
        <v>350</v>
      </c>
      <c r="E175" s="52" t="s">
        <v>387</v>
      </c>
      <c r="F175" s="52" t="s">
        <v>1016</v>
      </c>
      <c r="G175" s="52" t="s">
        <v>60</v>
      </c>
      <c r="H175" s="54">
        <v>46054</v>
      </c>
      <c r="I175" s="52" t="s">
        <v>231</v>
      </c>
      <c r="J175" s="52" t="s">
        <v>1010</v>
      </c>
      <c r="K175" s="52" t="s">
        <v>1011</v>
      </c>
      <c r="L175" s="52" t="s">
        <v>1011</v>
      </c>
      <c r="M175" s="52" t="s">
        <v>29</v>
      </c>
      <c r="N175" s="53">
        <v>-4.3</v>
      </c>
      <c r="O175" s="96">
        <v>-4.3</v>
      </c>
      <c r="P175" s="52" t="s">
        <v>1012</v>
      </c>
      <c r="Q175" s="52" t="s">
        <v>1015</v>
      </c>
      <c r="R175" s="52" t="s">
        <v>64</v>
      </c>
      <c r="S175" s="52" t="s">
        <v>1010</v>
      </c>
    </row>
    <row r="176" spans="1:19" outlineLevel="2" x14ac:dyDescent="0.45">
      <c r="A176" t="s">
        <v>17</v>
      </c>
      <c r="B176" s="52" t="s">
        <v>57</v>
      </c>
      <c r="C176" s="52" t="s">
        <v>349</v>
      </c>
      <c r="D176" s="52" t="s">
        <v>350</v>
      </c>
      <c r="E176" s="52" t="s">
        <v>387</v>
      </c>
      <c r="F176" s="52" t="s">
        <v>1017</v>
      </c>
      <c r="G176" s="52" t="s">
        <v>60</v>
      </c>
      <c r="H176" s="54">
        <v>46054</v>
      </c>
      <c r="I176" s="52" t="s">
        <v>231</v>
      </c>
      <c r="J176" s="52" t="s">
        <v>1018</v>
      </c>
      <c r="K176" s="52" t="s">
        <v>1019</v>
      </c>
      <c r="L176" s="52" t="s">
        <v>1019</v>
      </c>
      <c r="M176" s="52" t="s">
        <v>29</v>
      </c>
      <c r="N176" s="53">
        <v>-4.3</v>
      </c>
      <c r="O176" s="96">
        <v>-4.3</v>
      </c>
      <c r="P176" s="52" t="s">
        <v>1020</v>
      </c>
      <c r="Q176" s="52" t="s">
        <v>1021</v>
      </c>
      <c r="R176" s="52" t="s">
        <v>64</v>
      </c>
      <c r="S176" s="52" t="s">
        <v>1018</v>
      </c>
    </row>
    <row r="177" spans="1:52" outlineLevel="2" x14ac:dyDescent="0.45">
      <c r="A177" t="s">
        <v>17</v>
      </c>
      <c r="B177" s="52" t="s">
        <v>57</v>
      </c>
      <c r="C177" s="52" t="s">
        <v>349</v>
      </c>
      <c r="D177" s="52" t="s">
        <v>350</v>
      </c>
      <c r="E177" s="52" t="s">
        <v>387</v>
      </c>
      <c r="F177" s="52" t="s">
        <v>1022</v>
      </c>
      <c r="G177" s="52" t="s">
        <v>60</v>
      </c>
      <c r="H177" s="54">
        <v>46054</v>
      </c>
      <c r="I177" s="52" t="s">
        <v>231</v>
      </c>
      <c r="J177" s="52" t="s">
        <v>451</v>
      </c>
      <c r="K177" s="52" t="s">
        <v>1023</v>
      </c>
      <c r="L177" s="52" t="s">
        <v>1023</v>
      </c>
      <c r="M177" s="52" t="s">
        <v>29</v>
      </c>
      <c r="N177" s="53">
        <v>-4.3</v>
      </c>
      <c r="O177" s="96">
        <v>-4.3</v>
      </c>
      <c r="P177" s="52" t="s">
        <v>1024</v>
      </c>
      <c r="Q177" s="52" t="s">
        <v>1025</v>
      </c>
      <c r="R177" s="52" t="s">
        <v>64</v>
      </c>
      <c r="S177" s="52" t="s">
        <v>451</v>
      </c>
    </row>
    <row r="178" spans="1:52" outlineLevel="2" x14ac:dyDescent="0.45">
      <c r="A178" t="s">
        <v>17</v>
      </c>
      <c r="B178" s="52" t="s">
        <v>57</v>
      </c>
      <c r="C178" s="52" t="s">
        <v>349</v>
      </c>
      <c r="D178" s="52" t="s">
        <v>350</v>
      </c>
      <c r="E178" s="52" t="s">
        <v>387</v>
      </c>
      <c r="F178" s="52" t="s">
        <v>1026</v>
      </c>
      <c r="G178" s="52" t="s">
        <v>60</v>
      </c>
      <c r="H178" s="54">
        <v>46054</v>
      </c>
      <c r="I178" s="52" t="s">
        <v>231</v>
      </c>
      <c r="J178" s="52" t="s">
        <v>451</v>
      </c>
      <c r="K178" s="52" t="s">
        <v>1023</v>
      </c>
      <c r="L178" s="52" t="s">
        <v>1023</v>
      </c>
      <c r="M178" s="52" t="s">
        <v>29</v>
      </c>
      <c r="N178" s="53">
        <v>-4.3</v>
      </c>
      <c r="O178" s="96">
        <v>-4.3</v>
      </c>
      <c r="P178" s="52" t="s">
        <v>1024</v>
      </c>
      <c r="Q178" s="52" t="s">
        <v>1025</v>
      </c>
      <c r="R178" s="52" t="s">
        <v>64</v>
      </c>
      <c r="S178" s="52" t="s">
        <v>451</v>
      </c>
    </row>
    <row r="179" spans="1:52" outlineLevel="2" x14ac:dyDescent="0.45">
      <c r="A179" t="s">
        <v>17</v>
      </c>
      <c r="B179" s="52" t="s">
        <v>57</v>
      </c>
      <c r="C179" s="52" t="s">
        <v>349</v>
      </c>
      <c r="D179" s="52" t="s">
        <v>350</v>
      </c>
      <c r="E179" s="52" t="s">
        <v>387</v>
      </c>
      <c r="F179" s="52" t="s">
        <v>1027</v>
      </c>
      <c r="G179" s="52" t="s">
        <v>60</v>
      </c>
      <c r="H179" s="54">
        <v>46054</v>
      </c>
      <c r="I179" s="52" t="s">
        <v>231</v>
      </c>
      <c r="J179" s="52" t="s">
        <v>1028</v>
      </c>
      <c r="K179" s="52" t="s">
        <v>1023</v>
      </c>
      <c r="L179" s="52" t="s">
        <v>1023</v>
      </c>
      <c r="M179" s="52" t="s">
        <v>29</v>
      </c>
      <c r="N179" s="53">
        <v>-22</v>
      </c>
      <c r="O179" s="96">
        <v>-22</v>
      </c>
      <c r="P179" s="52" t="s">
        <v>1024</v>
      </c>
      <c r="Q179" s="52" t="s">
        <v>1029</v>
      </c>
      <c r="R179" s="52" t="s">
        <v>64</v>
      </c>
      <c r="S179" s="52" t="s">
        <v>1028</v>
      </c>
    </row>
    <row r="180" spans="1:52" outlineLevel="2" x14ac:dyDescent="0.45">
      <c r="A180" t="s">
        <v>17</v>
      </c>
      <c r="B180" s="52" t="s">
        <v>57</v>
      </c>
      <c r="C180" s="52" t="s">
        <v>349</v>
      </c>
      <c r="D180" s="52" t="s">
        <v>350</v>
      </c>
      <c r="E180" s="52" t="s">
        <v>387</v>
      </c>
      <c r="F180" s="52" t="s">
        <v>1030</v>
      </c>
      <c r="G180" s="52" t="s">
        <v>60</v>
      </c>
      <c r="H180" s="54">
        <v>46054</v>
      </c>
      <c r="I180" s="52" t="s">
        <v>231</v>
      </c>
      <c r="J180" s="52" t="s">
        <v>996</v>
      </c>
      <c r="K180" s="52" t="s">
        <v>1031</v>
      </c>
      <c r="L180" s="52" t="s">
        <v>1031</v>
      </c>
      <c r="M180" s="52" t="s">
        <v>29</v>
      </c>
      <c r="N180" s="53">
        <v>-4.3</v>
      </c>
      <c r="O180" s="96">
        <v>-4.3</v>
      </c>
      <c r="P180" s="52" t="s">
        <v>1032</v>
      </c>
      <c r="Q180" s="52" t="s">
        <v>999</v>
      </c>
      <c r="R180" s="52" t="s">
        <v>64</v>
      </c>
      <c r="S180" s="52" t="s">
        <v>996</v>
      </c>
    </row>
    <row r="181" spans="1:52" outlineLevel="2" x14ac:dyDescent="0.45">
      <c r="A181" t="s">
        <v>17</v>
      </c>
      <c r="B181" s="52" t="s">
        <v>66</v>
      </c>
      <c r="C181" s="52" t="s">
        <v>349</v>
      </c>
      <c r="D181" s="52" t="s">
        <v>350</v>
      </c>
      <c r="E181" s="52" t="s">
        <v>387</v>
      </c>
      <c r="F181" s="52" t="s">
        <v>1033</v>
      </c>
      <c r="G181" s="52" t="s">
        <v>60</v>
      </c>
      <c r="H181" s="54">
        <v>46054</v>
      </c>
      <c r="I181" s="52" t="s">
        <v>231</v>
      </c>
      <c r="J181" s="52" t="s">
        <v>357</v>
      </c>
      <c r="K181" s="52" t="s">
        <v>1034</v>
      </c>
      <c r="L181" s="52" t="s">
        <v>1034</v>
      </c>
      <c r="M181" s="52" t="s">
        <v>67</v>
      </c>
      <c r="N181" s="53">
        <v>-1.53</v>
      </c>
      <c r="O181" s="96">
        <v>-5.15</v>
      </c>
      <c r="P181" s="52" t="s">
        <v>1035</v>
      </c>
      <c r="Q181" s="52" t="s">
        <v>1007</v>
      </c>
      <c r="R181" s="52" t="s">
        <v>64</v>
      </c>
      <c r="S181" s="52" t="s">
        <v>357</v>
      </c>
    </row>
    <row r="182" spans="1:52" outlineLevel="2" x14ac:dyDescent="0.45">
      <c r="A182" t="s">
        <v>17</v>
      </c>
      <c r="B182" s="52" t="s">
        <v>66</v>
      </c>
      <c r="C182" s="52" t="s">
        <v>349</v>
      </c>
      <c r="D182" s="52" t="s">
        <v>350</v>
      </c>
      <c r="E182" s="52" t="s">
        <v>387</v>
      </c>
      <c r="F182" s="52" t="s">
        <v>1036</v>
      </c>
      <c r="G182" s="52" t="s">
        <v>60</v>
      </c>
      <c r="H182" s="54">
        <v>46054</v>
      </c>
      <c r="I182" s="52" t="s">
        <v>231</v>
      </c>
      <c r="J182" s="52" t="s">
        <v>451</v>
      </c>
      <c r="K182" s="52" t="s">
        <v>1037</v>
      </c>
      <c r="L182" s="52" t="s">
        <v>1037</v>
      </c>
      <c r="M182" s="52" t="s">
        <v>67</v>
      </c>
      <c r="N182" s="53">
        <v>-1.53</v>
      </c>
      <c r="O182" s="96">
        <v>-5.15</v>
      </c>
      <c r="P182" s="52" t="s">
        <v>1038</v>
      </c>
      <c r="Q182" s="52" t="s">
        <v>1007</v>
      </c>
      <c r="R182" s="52" t="s">
        <v>64</v>
      </c>
      <c r="S182" s="52" t="s">
        <v>451</v>
      </c>
    </row>
    <row r="183" spans="1:52" outlineLevel="2" x14ac:dyDescent="0.45">
      <c r="A183" t="s">
        <v>17</v>
      </c>
      <c r="B183" s="52" t="s">
        <v>57</v>
      </c>
      <c r="C183" s="52" t="s">
        <v>349</v>
      </c>
      <c r="D183" s="52" t="s">
        <v>350</v>
      </c>
      <c r="E183" s="52" t="s">
        <v>387</v>
      </c>
      <c r="F183" s="52" t="s">
        <v>1039</v>
      </c>
      <c r="G183" s="52" t="s">
        <v>60</v>
      </c>
      <c r="H183" s="54">
        <v>46054</v>
      </c>
      <c r="I183" s="52" t="s">
        <v>231</v>
      </c>
      <c r="J183" s="52" t="s">
        <v>312</v>
      </c>
      <c r="K183" s="52" t="s">
        <v>1040</v>
      </c>
      <c r="L183" s="52" t="s">
        <v>1040</v>
      </c>
      <c r="M183" s="52" t="s">
        <v>29</v>
      </c>
      <c r="N183" s="53">
        <v>-4.3</v>
      </c>
      <c r="O183" s="96">
        <v>-4.3</v>
      </c>
      <c r="P183" s="52" t="s">
        <v>1041</v>
      </c>
      <c r="Q183" s="52" t="s">
        <v>1042</v>
      </c>
      <c r="R183" s="52" t="s">
        <v>64</v>
      </c>
      <c r="S183" s="52" t="s">
        <v>312</v>
      </c>
    </row>
    <row r="184" spans="1:52" s="59" customFormat="1" outlineLevel="2" x14ac:dyDescent="0.45">
      <c r="A184" t="s">
        <v>17</v>
      </c>
      <c r="B184" s="52" t="s">
        <v>57</v>
      </c>
      <c r="C184" s="52" t="s">
        <v>349</v>
      </c>
      <c r="D184" s="52" t="s">
        <v>350</v>
      </c>
      <c r="E184" s="52" t="s">
        <v>387</v>
      </c>
      <c r="F184" s="52" t="s">
        <v>1043</v>
      </c>
      <c r="G184" s="52" t="s">
        <v>60</v>
      </c>
      <c r="H184" s="54">
        <v>46054</v>
      </c>
      <c r="I184" s="52" t="s">
        <v>231</v>
      </c>
      <c r="J184" s="52" t="s">
        <v>312</v>
      </c>
      <c r="K184" s="52" t="s">
        <v>1040</v>
      </c>
      <c r="L184" s="52" t="s">
        <v>1040</v>
      </c>
      <c r="M184" s="52" t="s">
        <v>29</v>
      </c>
      <c r="N184" s="53">
        <v>-4.3</v>
      </c>
      <c r="O184" s="96">
        <v>-4.3</v>
      </c>
      <c r="P184" s="52" t="s">
        <v>1041</v>
      </c>
      <c r="Q184" s="52" t="s">
        <v>1042</v>
      </c>
      <c r="R184" s="52" t="s">
        <v>64</v>
      </c>
      <c r="S184" s="52" t="s">
        <v>312</v>
      </c>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row>
    <row r="185" spans="1:52" s="59" customFormat="1" outlineLevel="2" x14ac:dyDescent="0.45">
      <c r="A185" t="s">
        <v>17</v>
      </c>
      <c r="B185" s="52" t="s">
        <v>57</v>
      </c>
      <c r="C185" s="52" t="s">
        <v>349</v>
      </c>
      <c r="D185" s="52" t="s">
        <v>350</v>
      </c>
      <c r="E185" s="52" t="s">
        <v>387</v>
      </c>
      <c r="F185" s="52" t="s">
        <v>1044</v>
      </c>
      <c r="G185" s="52" t="s">
        <v>60</v>
      </c>
      <c r="H185" s="54">
        <v>46054</v>
      </c>
      <c r="I185" s="52" t="s">
        <v>231</v>
      </c>
      <c r="J185" s="52" t="s">
        <v>246</v>
      </c>
      <c r="K185" s="52" t="s">
        <v>1045</v>
      </c>
      <c r="L185" s="52" t="s">
        <v>1045</v>
      </c>
      <c r="M185" s="52" t="s">
        <v>29</v>
      </c>
      <c r="N185" s="53">
        <v>-4.3</v>
      </c>
      <c r="O185" s="96">
        <v>-4.3</v>
      </c>
      <c r="P185" s="52" t="s">
        <v>1046</v>
      </c>
      <c r="Q185" s="52" t="s">
        <v>1047</v>
      </c>
      <c r="R185" s="52" t="s">
        <v>64</v>
      </c>
      <c r="S185" s="52" t="s">
        <v>246</v>
      </c>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row>
    <row r="186" spans="1:52" outlineLevel="2" x14ac:dyDescent="0.45">
      <c r="A186" t="s">
        <v>17</v>
      </c>
      <c r="B186" s="52" t="s">
        <v>57</v>
      </c>
      <c r="C186" s="52" t="s">
        <v>349</v>
      </c>
      <c r="D186" s="52" t="s">
        <v>350</v>
      </c>
      <c r="E186" s="52" t="s">
        <v>387</v>
      </c>
      <c r="F186" s="52" t="s">
        <v>1048</v>
      </c>
      <c r="G186" s="52" t="s">
        <v>60</v>
      </c>
      <c r="H186" s="54">
        <v>46054</v>
      </c>
      <c r="I186" s="52" t="s">
        <v>231</v>
      </c>
      <c r="J186" s="52" t="s">
        <v>246</v>
      </c>
      <c r="K186" s="52" t="s">
        <v>1045</v>
      </c>
      <c r="L186" s="52" t="s">
        <v>1045</v>
      </c>
      <c r="M186" s="52" t="s">
        <v>29</v>
      </c>
      <c r="N186" s="53">
        <v>-5.8</v>
      </c>
      <c r="O186" s="96">
        <v>-5.8</v>
      </c>
      <c r="P186" s="52" t="s">
        <v>1046</v>
      </c>
      <c r="Q186" s="52" t="s">
        <v>1047</v>
      </c>
      <c r="R186" s="52" t="s">
        <v>64</v>
      </c>
      <c r="S186" s="52" t="s">
        <v>246</v>
      </c>
    </row>
    <row r="187" spans="1:52" outlineLevel="2" x14ac:dyDescent="0.45">
      <c r="A187" t="s">
        <v>17</v>
      </c>
      <c r="B187" s="52" t="s">
        <v>57</v>
      </c>
      <c r="C187" s="52" t="s">
        <v>349</v>
      </c>
      <c r="D187" s="52" t="s">
        <v>350</v>
      </c>
      <c r="E187" s="52" t="s">
        <v>387</v>
      </c>
      <c r="F187" s="52" t="s">
        <v>1049</v>
      </c>
      <c r="G187" s="52" t="s">
        <v>60</v>
      </c>
      <c r="H187" s="54">
        <v>46054</v>
      </c>
      <c r="I187" s="52" t="s">
        <v>231</v>
      </c>
      <c r="J187" s="52" t="s">
        <v>241</v>
      </c>
      <c r="K187" s="52" t="s">
        <v>1050</v>
      </c>
      <c r="L187" s="52" t="s">
        <v>1050</v>
      </c>
      <c r="M187" s="52" t="s">
        <v>29</v>
      </c>
      <c r="N187" s="53">
        <v>-1</v>
      </c>
      <c r="O187" s="96">
        <v>-1</v>
      </c>
      <c r="P187" s="52" t="s">
        <v>1051</v>
      </c>
      <c r="Q187" s="52" t="s">
        <v>1052</v>
      </c>
      <c r="R187" s="52" t="s">
        <v>64</v>
      </c>
      <c r="S187" s="52" t="s">
        <v>241</v>
      </c>
    </row>
    <row r="188" spans="1:52" outlineLevel="2" x14ac:dyDescent="0.45">
      <c r="A188" t="s">
        <v>17</v>
      </c>
      <c r="B188" s="52" t="s">
        <v>57</v>
      </c>
      <c r="C188" s="52" t="s">
        <v>349</v>
      </c>
      <c r="D188" s="52" t="s">
        <v>350</v>
      </c>
      <c r="E188" s="52" t="s">
        <v>387</v>
      </c>
      <c r="F188" s="52" t="s">
        <v>1053</v>
      </c>
      <c r="G188" s="52" t="s">
        <v>60</v>
      </c>
      <c r="H188" s="54">
        <v>46054</v>
      </c>
      <c r="I188" s="52" t="s">
        <v>231</v>
      </c>
      <c r="J188" s="52" t="s">
        <v>241</v>
      </c>
      <c r="K188" s="52" t="s">
        <v>1050</v>
      </c>
      <c r="L188" s="52" t="s">
        <v>1050</v>
      </c>
      <c r="M188" s="52" t="s">
        <v>29</v>
      </c>
      <c r="N188" s="53">
        <v>-1</v>
      </c>
      <c r="O188" s="96">
        <v>-1</v>
      </c>
      <c r="P188" s="52" t="s">
        <v>1051</v>
      </c>
      <c r="Q188" s="52" t="s">
        <v>1052</v>
      </c>
      <c r="R188" s="52" t="s">
        <v>64</v>
      </c>
      <c r="S188" s="52" t="s">
        <v>241</v>
      </c>
    </row>
    <row r="189" spans="1:52" outlineLevel="2" x14ac:dyDescent="0.45">
      <c r="A189" t="s">
        <v>17</v>
      </c>
      <c r="B189" s="52" t="s">
        <v>57</v>
      </c>
      <c r="C189" s="52" t="s">
        <v>349</v>
      </c>
      <c r="D189" s="52" t="s">
        <v>350</v>
      </c>
      <c r="E189" s="52" t="s">
        <v>387</v>
      </c>
      <c r="F189" s="52" t="s">
        <v>1054</v>
      </c>
      <c r="G189" s="52" t="s">
        <v>60</v>
      </c>
      <c r="H189" s="54">
        <v>46054</v>
      </c>
      <c r="I189" s="52" t="s">
        <v>231</v>
      </c>
      <c r="J189" s="52" t="s">
        <v>241</v>
      </c>
      <c r="K189" s="52" t="s">
        <v>1050</v>
      </c>
      <c r="L189" s="52" t="s">
        <v>1050</v>
      </c>
      <c r="M189" s="52" t="s">
        <v>29</v>
      </c>
      <c r="N189" s="53">
        <v>-4.3</v>
      </c>
      <c r="O189" s="96">
        <v>-4.3</v>
      </c>
      <c r="P189" s="52" t="s">
        <v>1051</v>
      </c>
      <c r="Q189" s="52" t="s">
        <v>1052</v>
      </c>
      <c r="R189" s="52" t="s">
        <v>64</v>
      </c>
      <c r="S189" s="52" t="s">
        <v>241</v>
      </c>
    </row>
    <row r="190" spans="1:52" outlineLevel="2" x14ac:dyDescent="0.45">
      <c r="A190" t="s">
        <v>17</v>
      </c>
      <c r="B190" s="52" t="s">
        <v>57</v>
      </c>
      <c r="C190" s="52" t="s">
        <v>349</v>
      </c>
      <c r="D190" s="52" t="s">
        <v>350</v>
      </c>
      <c r="E190" s="52" t="s">
        <v>387</v>
      </c>
      <c r="F190" s="52" t="s">
        <v>1055</v>
      </c>
      <c r="G190" s="52" t="s">
        <v>60</v>
      </c>
      <c r="H190" s="54">
        <v>46054</v>
      </c>
      <c r="I190" s="52" t="s">
        <v>231</v>
      </c>
      <c r="J190" s="52" t="s">
        <v>241</v>
      </c>
      <c r="K190" s="52" t="s">
        <v>1050</v>
      </c>
      <c r="L190" s="52" t="s">
        <v>1050</v>
      </c>
      <c r="M190" s="52" t="s">
        <v>29</v>
      </c>
      <c r="N190" s="53">
        <v>-8</v>
      </c>
      <c r="O190" s="96">
        <v>-8</v>
      </c>
      <c r="P190" s="52" t="s">
        <v>1051</v>
      </c>
      <c r="Q190" s="52" t="s">
        <v>1052</v>
      </c>
      <c r="R190" s="52" t="s">
        <v>64</v>
      </c>
      <c r="S190" s="52" t="s">
        <v>241</v>
      </c>
    </row>
    <row r="191" spans="1:52" outlineLevel="2" x14ac:dyDescent="0.45">
      <c r="A191" t="s">
        <v>17</v>
      </c>
      <c r="B191" s="52" t="s">
        <v>57</v>
      </c>
      <c r="C191" s="52" t="s">
        <v>349</v>
      </c>
      <c r="D191" s="52" t="s">
        <v>350</v>
      </c>
      <c r="E191" s="52" t="s">
        <v>387</v>
      </c>
      <c r="F191" s="52" t="s">
        <v>1056</v>
      </c>
      <c r="G191" s="52" t="s">
        <v>60</v>
      </c>
      <c r="H191" s="54">
        <v>46054</v>
      </c>
      <c r="I191" s="52" t="s">
        <v>231</v>
      </c>
      <c r="J191" s="52" t="s">
        <v>1057</v>
      </c>
      <c r="K191" s="52" t="s">
        <v>1058</v>
      </c>
      <c r="L191" s="52" t="s">
        <v>1058</v>
      </c>
      <c r="M191" s="52" t="s">
        <v>29</v>
      </c>
      <c r="N191" s="53">
        <v>-3.5</v>
      </c>
      <c r="O191" s="96">
        <v>-3.5</v>
      </c>
      <c r="P191" s="52" t="s">
        <v>1059</v>
      </c>
      <c r="Q191" s="52" t="s">
        <v>1060</v>
      </c>
      <c r="R191" s="52" t="s">
        <v>64</v>
      </c>
      <c r="S191" s="52" t="s">
        <v>1057</v>
      </c>
    </row>
    <row r="192" spans="1:52" outlineLevel="2" x14ac:dyDescent="0.45">
      <c r="A192" t="s">
        <v>17</v>
      </c>
      <c r="B192" s="52" t="s">
        <v>57</v>
      </c>
      <c r="C192" s="52" t="s">
        <v>349</v>
      </c>
      <c r="D192" s="52" t="s">
        <v>350</v>
      </c>
      <c r="E192" s="52" t="s">
        <v>387</v>
      </c>
      <c r="F192" s="52" t="s">
        <v>1061</v>
      </c>
      <c r="G192" s="52" t="s">
        <v>60</v>
      </c>
      <c r="H192" s="54">
        <v>46054</v>
      </c>
      <c r="I192" s="52" t="s">
        <v>231</v>
      </c>
      <c r="J192" s="52" t="s">
        <v>1057</v>
      </c>
      <c r="K192" s="52" t="s">
        <v>1058</v>
      </c>
      <c r="L192" s="52" t="s">
        <v>1058</v>
      </c>
      <c r="M192" s="52" t="s">
        <v>29</v>
      </c>
      <c r="N192" s="53">
        <v>-3.5</v>
      </c>
      <c r="O192" s="96">
        <v>-3.5</v>
      </c>
      <c r="P192" s="52" t="s">
        <v>1059</v>
      </c>
      <c r="Q192" s="52" t="s">
        <v>1060</v>
      </c>
      <c r="R192" s="52" t="s">
        <v>64</v>
      </c>
      <c r="S192" s="52" t="s">
        <v>1057</v>
      </c>
    </row>
    <row r="193" spans="1:19" outlineLevel="2" x14ac:dyDescent="0.45">
      <c r="A193" t="s">
        <v>17</v>
      </c>
      <c r="B193" s="52" t="s">
        <v>57</v>
      </c>
      <c r="C193" s="52" t="s">
        <v>349</v>
      </c>
      <c r="D193" s="52" t="s">
        <v>350</v>
      </c>
      <c r="E193" s="52" t="s">
        <v>387</v>
      </c>
      <c r="F193" s="52" t="s">
        <v>1062</v>
      </c>
      <c r="G193" s="52" t="s">
        <v>60</v>
      </c>
      <c r="H193" s="54">
        <v>46054</v>
      </c>
      <c r="I193" s="52" t="s">
        <v>231</v>
      </c>
      <c r="J193" s="52" t="s">
        <v>1057</v>
      </c>
      <c r="K193" s="52" t="s">
        <v>1058</v>
      </c>
      <c r="L193" s="52" t="s">
        <v>1058</v>
      </c>
      <c r="M193" s="52" t="s">
        <v>29</v>
      </c>
      <c r="N193" s="53">
        <v>-3.5</v>
      </c>
      <c r="O193" s="96">
        <v>-3.5</v>
      </c>
      <c r="P193" s="52" t="s">
        <v>1059</v>
      </c>
      <c r="Q193" s="52" t="s">
        <v>1060</v>
      </c>
      <c r="R193" s="52" t="s">
        <v>64</v>
      </c>
      <c r="S193" s="52" t="s">
        <v>1057</v>
      </c>
    </row>
    <row r="194" spans="1:19" outlineLevel="2" x14ac:dyDescent="0.45">
      <c r="A194" t="s">
        <v>17</v>
      </c>
      <c r="B194" s="52" t="s">
        <v>57</v>
      </c>
      <c r="C194" s="52" t="s">
        <v>349</v>
      </c>
      <c r="D194" s="52" t="s">
        <v>350</v>
      </c>
      <c r="E194" s="52" t="s">
        <v>387</v>
      </c>
      <c r="F194" s="52" t="s">
        <v>1063</v>
      </c>
      <c r="G194" s="52" t="s">
        <v>60</v>
      </c>
      <c r="H194" s="54">
        <v>46054</v>
      </c>
      <c r="I194" s="52" t="s">
        <v>231</v>
      </c>
      <c r="J194" s="52" t="s">
        <v>1057</v>
      </c>
      <c r="K194" s="52" t="s">
        <v>1058</v>
      </c>
      <c r="L194" s="52" t="s">
        <v>1058</v>
      </c>
      <c r="M194" s="52" t="s">
        <v>29</v>
      </c>
      <c r="N194" s="53">
        <v>-3.5</v>
      </c>
      <c r="O194" s="96">
        <v>-3.5</v>
      </c>
      <c r="P194" s="52" t="s">
        <v>1059</v>
      </c>
      <c r="Q194" s="52" t="s">
        <v>1060</v>
      </c>
      <c r="R194" s="52" t="s">
        <v>64</v>
      </c>
      <c r="S194" s="52" t="s">
        <v>1057</v>
      </c>
    </row>
    <row r="195" spans="1:19" outlineLevel="2" x14ac:dyDescent="0.45">
      <c r="A195" t="s">
        <v>17</v>
      </c>
      <c r="B195" s="52" t="s">
        <v>57</v>
      </c>
      <c r="C195" s="52" t="s">
        <v>349</v>
      </c>
      <c r="D195" s="52" t="s">
        <v>350</v>
      </c>
      <c r="E195" s="52" t="s">
        <v>387</v>
      </c>
      <c r="F195" s="52" t="s">
        <v>1064</v>
      </c>
      <c r="G195" s="52" t="s">
        <v>60</v>
      </c>
      <c r="H195" s="54">
        <v>46054</v>
      </c>
      <c r="I195" s="52" t="s">
        <v>231</v>
      </c>
      <c r="J195" s="52" t="s">
        <v>1057</v>
      </c>
      <c r="K195" s="52" t="s">
        <v>1058</v>
      </c>
      <c r="L195" s="52" t="s">
        <v>1058</v>
      </c>
      <c r="M195" s="52" t="s">
        <v>29</v>
      </c>
      <c r="N195" s="53">
        <v>-3.5</v>
      </c>
      <c r="O195" s="96">
        <v>-3.5</v>
      </c>
      <c r="P195" s="52" t="s">
        <v>1059</v>
      </c>
      <c r="Q195" s="52" t="s">
        <v>1060</v>
      </c>
      <c r="R195" s="52" t="s">
        <v>64</v>
      </c>
      <c r="S195" s="52" t="s">
        <v>1057</v>
      </c>
    </row>
    <row r="196" spans="1:19" outlineLevel="2" x14ac:dyDescent="0.45">
      <c r="A196" t="s">
        <v>17</v>
      </c>
      <c r="B196" s="52" t="s">
        <v>57</v>
      </c>
      <c r="C196" s="52" t="s">
        <v>349</v>
      </c>
      <c r="D196" s="52" t="s">
        <v>350</v>
      </c>
      <c r="E196" s="52" t="s">
        <v>387</v>
      </c>
      <c r="F196" s="52" t="s">
        <v>1065</v>
      </c>
      <c r="G196" s="52" t="s">
        <v>60</v>
      </c>
      <c r="H196" s="54">
        <v>46054</v>
      </c>
      <c r="I196" s="52" t="s">
        <v>231</v>
      </c>
      <c r="J196" s="52" t="s">
        <v>1057</v>
      </c>
      <c r="K196" s="52" t="s">
        <v>1058</v>
      </c>
      <c r="L196" s="52" t="s">
        <v>1058</v>
      </c>
      <c r="M196" s="52" t="s">
        <v>29</v>
      </c>
      <c r="N196" s="53">
        <v>-3.5</v>
      </c>
      <c r="O196" s="96">
        <v>-3.5</v>
      </c>
      <c r="P196" s="52" t="s">
        <v>1059</v>
      </c>
      <c r="Q196" s="52" t="s">
        <v>1060</v>
      </c>
      <c r="R196" s="52" t="s">
        <v>64</v>
      </c>
      <c r="S196" s="52" t="s">
        <v>1057</v>
      </c>
    </row>
    <row r="197" spans="1:19" outlineLevel="2" x14ac:dyDescent="0.45">
      <c r="A197" t="s">
        <v>17</v>
      </c>
      <c r="B197" s="52" t="s">
        <v>57</v>
      </c>
      <c r="C197" s="52" t="s">
        <v>349</v>
      </c>
      <c r="D197" s="52" t="s">
        <v>350</v>
      </c>
      <c r="E197" s="52" t="s">
        <v>387</v>
      </c>
      <c r="F197" s="52" t="s">
        <v>1066</v>
      </c>
      <c r="G197" s="52" t="s">
        <v>60</v>
      </c>
      <c r="H197" s="54">
        <v>46054</v>
      </c>
      <c r="I197" s="52" t="s">
        <v>231</v>
      </c>
      <c r="J197" s="52" t="s">
        <v>1057</v>
      </c>
      <c r="K197" s="52" t="s">
        <v>1058</v>
      </c>
      <c r="L197" s="52" t="s">
        <v>1058</v>
      </c>
      <c r="M197" s="52" t="s">
        <v>29</v>
      </c>
      <c r="N197" s="53">
        <v>-3.5</v>
      </c>
      <c r="O197" s="96">
        <v>-3.5</v>
      </c>
      <c r="P197" s="52" t="s">
        <v>1059</v>
      </c>
      <c r="Q197" s="52" t="s">
        <v>1015</v>
      </c>
      <c r="R197" s="52" t="s">
        <v>64</v>
      </c>
      <c r="S197" s="52" t="s">
        <v>1057</v>
      </c>
    </row>
    <row r="198" spans="1:19" outlineLevel="2" x14ac:dyDescent="0.45">
      <c r="A198" t="s">
        <v>17</v>
      </c>
      <c r="B198" s="52" t="s">
        <v>57</v>
      </c>
      <c r="C198" s="52" t="s">
        <v>349</v>
      </c>
      <c r="D198" s="52" t="s">
        <v>350</v>
      </c>
      <c r="E198" s="52" t="s">
        <v>387</v>
      </c>
      <c r="F198" s="52" t="s">
        <v>1067</v>
      </c>
      <c r="G198" s="52" t="s">
        <v>60</v>
      </c>
      <c r="H198" s="54">
        <v>46054</v>
      </c>
      <c r="I198" s="52" t="s">
        <v>231</v>
      </c>
      <c r="J198" s="52" t="s">
        <v>1057</v>
      </c>
      <c r="K198" s="52" t="s">
        <v>1058</v>
      </c>
      <c r="L198" s="52" t="s">
        <v>1058</v>
      </c>
      <c r="M198" s="52" t="s">
        <v>29</v>
      </c>
      <c r="N198" s="53">
        <v>-3.5</v>
      </c>
      <c r="O198" s="96">
        <v>-3.5</v>
      </c>
      <c r="P198" s="52" t="s">
        <v>1059</v>
      </c>
      <c r="Q198" s="52" t="s">
        <v>1060</v>
      </c>
      <c r="R198" s="52" t="s">
        <v>64</v>
      </c>
      <c r="S198" s="52" t="s">
        <v>1057</v>
      </c>
    </row>
    <row r="199" spans="1:19" outlineLevel="2" x14ac:dyDescent="0.45">
      <c r="A199" t="s">
        <v>17</v>
      </c>
      <c r="B199" s="52" t="s">
        <v>66</v>
      </c>
      <c r="C199" s="52" t="s">
        <v>349</v>
      </c>
      <c r="D199" s="52" t="s">
        <v>350</v>
      </c>
      <c r="E199" s="52" t="s">
        <v>387</v>
      </c>
      <c r="F199" s="52" t="s">
        <v>1068</v>
      </c>
      <c r="G199" s="52" t="s">
        <v>60</v>
      </c>
      <c r="H199" s="54">
        <v>46054</v>
      </c>
      <c r="I199" s="52" t="s">
        <v>231</v>
      </c>
      <c r="J199" s="52" t="s">
        <v>492</v>
      </c>
      <c r="K199" s="52" t="s">
        <v>1069</v>
      </c>
      <c r="L199" s="52" t="s">
        <v>1069</v>
      </c>
      <c r="M199" s="52" t="s">
        <v>67</v>
      </c>
      <c r="N199" s="53">
        <v>-3.05</v>
      </c>
      <c r="O199" s="96">
        <v>-10.25</v>
      </c>
      <c r="P199" s="52" t="s">
        <v>1070</v>
      </c>
      <c r="Q199" s="52" t="s">
        <v>1071</v>
      </c>
      <c r="R199" s="52" t="s">
        <v>64</v>
      </c>
      <c r="S199" s="52" t="s">
        <v>492</v>
      </c>
    </row>
    <row r="200" spans="1:19" outlineLevel="2" x14ac:dyDescent="0.45">
      <c r="A200" t="s">
        <v>17</v>
      </c>
      <c r="B200" s="52" t="s">
        <v>66</v>
      </c>
      <c r="C200" s="52" t="s">
        <v>1072</v>
      </c>
      <c r="D200" s="52" t="s">
        <v>1073</v>
      </c>
      <c r="E200" s="52" t="s">
        <v>387</v>
      </c>
      <c r="F200" s="52" t="s">
        <v>1074</v>
      </c>
      <c r="G200" s="52" t="s">
        <v>60</v>
      </c>
      <c r="H200" s="54">
        <v>46054</v>
      </c>
      <c r="I200" s="52" t="s">
        <v>231</v>
      </c>
      <c r="J200" s="52" t="s">
        <v>451</v>
      </c>
      <c r="K200" s="52" t="s">
        <v>1075</v>
      </c>
      <c r="L200" s="52" t="s">
        <v>1075</v>
      </c>
      <c r="M200" s="52" t="s">
        <v>67</v>
      </c>
      <c r="N200" s="53">
        <v>-37253</v>
      </c>
      <c r="O200" s="96">
        <v>-125468.1</v>
      </c>
      <c r="P200" s="52" t="s">
        <v>1076</v>
      </c>
      <c r="Q200" s="52" t="s">
        <v>1077</v>
      </c>
      <c r="R200" s="55" t="s">
        <v>64</v>
      </c>
      <c r="S200" s="52" t="s">
        <v>451</v>
      </c>
    </row>
    <row r="201" spans="1:19" hidden="1" outlineLevel="2" x14ac:dyDescent="0.45">
      <c r="A201" t="s">
        <v>17</v>
      </c>
      <c r="B201" s="52" t="s">
        <v>66</v>
      </c>
      <c r="C201" s="52" t="s">
        <v>376</v>
      </c>
      <c r="D201" s="52" t="s">
        <v>377</v>
      </c>
      <c r="E201" s="52" t="s">
        <v>387</v>
      </c>
      <c r="F201" s="52" t="s">
        <v>1078</v>
      </c>
      <c r="G201" s="52" t="s">
        <v>60</v>
      </c>
      <c r="H201" s="54">
        <v>46054</v>
      </c>
      <c r="I201" s="52" t="s">
        <v>231</v>
      </c>
      <c r="J201" s="52" t="s">
        <v>357</v>
      </c>
      <c r="K201" s="52" t="s">
        <v>1079</v>
      </c>
      <c r="L201" s="52" t="s">
        <v>1079</v>
      </c>
      <c r="M201" s="52" t="s">
        <v>67</v>
      </c>
      <c r="N201" s="53">
        <v>-11800</v>
      </c>
      <c r="O201" s="97">
        <v>-39683.4</v>
      </c>
      <c r="P201" s="52" t="s">
        <v>1080</v>
      </c>
      <c r="Q201" s="52" t="s">
        <v>1081</v>
      </c>
      <c r="R201" s="55" t="s">
        <v>64</v>
      </c>
      <c r="S201" s="52" t="s">
        <v>357</v>
      </c>
    </row>
    <row r="202" spans="1:19" hidden="1" outlineLevel="2" x14ac:dyDescent="0.45">
      <c r="A202" t="s">
        <v>17</v>
      </c>
      <c r="B202" s="52" t="s">
        <v>57</v>
      </c>
      <c r="C202" s="52" t="s">
        <v>376</v>
      </c>
      <c r="D202" s="52" t="s">
        <v>377</v>
      </c>
      <c r="E202" s="52" t="s">
        <v>387</v>
      </c>
      <c r="F202" s="52" t="s">
        <v>1082</v>
      </c>
      <c r="G202" s="52" t="s">
        <v>60</v>
      </c>
      <c r="H202" s="54">
        <v>46054</v>
      </c>
      <c r="I202" s="52" t="s">
        <v>231</v>
      </c>
      <c r="J202" s="52" t="s">
        <v>241</v>
      </c>
      <c r="K202" s="52" t="s">
        <v>1083</v>
      </c>
      <c r="L202" s="52" t="s">
        <v>1083</v>
      </c>
      <c r="M202" s="52" t="s">
        <v>29</v>
      </c>
      <c r="N202" s="53">
        <v>-27652.11</v>
      </c>
      <c r="O202" s="97">
        <v>-27652.11</v>
      </c>
      <c r="P202" s="52" t="s">
        <v>1084</v>
      </c>
      <c r="Q202" s="52" t="s">
        <v>1085</v>
      </c>
      <c r="R202" s="55" t="s">
        <v>64</v>
      </c>
      <c r="S202" s="52" t="s">
        <v>241</v>
      </c>
    </row>
    <row r="203" spans="1:19" hidden="1" outlineLevel="2" x14ac:dyDescent="0.45">
      <c r="A203" t="s">
        <v>17</v>
      </c>
      <c r="B203" s="52" t="s">
        <v>57</v>
      </c>
      <c r="C203" s="52" t="s">
        <v>376</v>
      </c>
      <c r="D203" s="52" t="s">
        <v>377</v>
      </c>
      <c r="E203" s="52" t="s">
        <v>387</v>
      </c>
      <c r="F203" s="52" t="s">
        <v>1086</v>
      </c>
      <c r="G203" s="52" t="s">
        <v>60</v>
      </c>
      <c r="H203" s="54">
        <v>46054</v>
      </c>
      <c r="I203" s="52" t="s">
        <v>231</v>
      </c>
      <c r="J203" s="52" t="s">
        <v>1010</v>
      </c>
      <c r="K203" s="52" t="s">
        <v>1087</v>
      </c>
      <c r="L203" s="52" t="s">
        <v>1087</v>
      </c>
      <c r="M203" s="52" t="s">
        <v>29</v>
      </c>
      <c r="N203" s="53">
        <v>-22420</v>
      </c>
      <c r="O203" s="97">
        <v>-22420</v>
      </c>
      <c r="P203" s="52" t="s">
        <v>1088</v>
      </c>
      <c r="Q203" s="52" t="s">
        <v>1089</v>
      </c>
      <c r="R203" s="55" t="s">
        <v>64</v>
      </c>
      <c r="S203" s="52" t="s">
        <v>1010</v>
      </c>
    </row>
    <row r="204" spans="1:19" hidden="1" outlineLevel="2" x14ac:dyDescent="0.45">
      <c r="A204" t="s">
        <v>17</v>
      </c>
      <c r="B204" s="52" t="s">
        <v>57</v>
      </c>
      <c r="C204" s="52" t="s">
        <v>376</v>
      </c>
      <c r="D204" s="52" t="s">
        <v>377</v>
      </c>
      <c r="E204" s="52" t="s">
        <v>387</v>
      </c>
      <c r="F204" s="52" t="s">
        <v>1090</v>
      </c>
      <c r="G204" s="52" t="s">
        <v>60</v>
      </c>
      <c r="H204" s="54">
        <v>46054</v>
      </c>
      <c r="I204" s="52" t="s">
        <v>231</v>
      </c>
      <c r="J204" s="52" t="s">
        <v>241</v>
      </c>
      <c r="K204" s="52" t="s">
        <v>1091</v>
      </c>
      <c r="L204" s="52" t="s">
        <v>1091</v>
      </c>
      <c r="M204" s="52" t="s">
        <v>29</v>
      </c>
      <c r="N204" s="53">
        <v>-20000</v>
      </c>
      <c r="O204" s="97">
        <v>-20000</v>
      </c>
      <c r="P204" s="52" t="s">
        <v>1092</v>
      </c>
      <c r="Q204" s="52" t="s">
        <v>1093</v>
      </c>
      <c r="R204" s="55" t="s">
        <v>64</v>
      </c>
      <c r="S204" s="52" t="s">
        <v>241</v>
      </c>
    </row>
    <row r="205" spans="1:19" outlineLevel="2" x14ac:dyDescent="0.45">
      <c r="A205" t="s">
        <v>17</v>
      </c>
      <c r="B205" s="52" t="s">
        <v>57</v>
      </c>
      <c r="C205" s="52" t="s">
        <v>656</v>
      </c>
      <c r="D205" s="52" t="s">
        <v>657</v>
      </c>
      <c r="E205" s="52" t="s">
        <v>387</v>
      </c>
      <c r="F205" s="52" t="s">
        <v>1094</v>
      </c>
      <c r="G205" s="52" t="s">
        <v>60</v>
      </c>
      <c r="H205" s="54">
        <v>46054</v>
      </c>
      <c r="I205" s="52" t="s">
        <v>231</v>
      </c>
      <c r="J205" s="52" t="s">
        <v>1095</v>
      </c>
      <c r="K205" s="52" t="s">
        <v>1096</v>
      </c>
      <c r="L205" s="52" t="s">
        <v>1096</v>
      </c>
      <c r="M205" s="52" t="s">
        <v>29</v>
      </c>
      <c r="N205" s="53">
        <v>-18711.400000000001</v>
      </c>
      <c r="O205" s="96">
        <v>-18711.400000000001</v>
      </c>
      <c r="P205" s="52" t="s">
        <v>1097</v>
      </c>
      <c r="Q205" s="52" t="s">
        <v>1098</v>
      </c>
      <c r="R205" s="55" t="s">
        <v>64</v>
      </c>
      <c r="S205" s="52" t="s">
        <v>1095</v>
      </c>
    </row>
    <row r="206" spans="1:19" outlineLevel="2" x14ac:dyDescent="0.45">
      <c r="A206" t="s">
        <v>17</v>
      </c>
      <c r="B206" s="52" t="s">
        <v>57</v>
      </c>
      <c r="C206" s="52" t="s">
        <v>1099</v>
      </c>
      <c r="D206" s="52" t="s">
        <v>1100</v>
      </c>
      <c r="E206" s="52" t="s">
        <v>387</v>
      </c>
      <c r="F206" s="52" t="s">
        <v>1101</v>
      </c>
      <c r="G206" s="52" t="s">
        <v>60</v>
      </c>
      <c r="H206" s="54">
        <v>46054</v>
      </c>
      <c r="I206" s="52" t="s">
        <v>231</v>
      </c>
      <c r="J206" s="52" t="s">
        <v>1010</v>
      </c>
      <c r="K206" s="52" t="s">
        <v>1102</v>
      </c>
      <c r="L206" s="52" t="s">
        <v>1102</v>
      </c>
      <c r="M206" s="52" t="s">
        <v>29</v>
      </c>
      <c r="N206" s="53">
        <v>-18703</v>
      </c>
      <c r="O206" s="96">
        <v>-18703</v>
      </c>
      <c r="P206" s="52" t="s">
        <v>1103</v>
      </c>
      <c r="Q206" s="52" t="s">
        <v>1104</v>
      </c>
      <c r="R206" s="55" t="s">
        <v>64</v>
      </c>
      <c r="S206" s="52" t="s">
        <v>1010</v>
      </c>
    </row>
    <row r="207" spans="1:19" outlineLevel="2" x14ac:dyDescent="0.45">
      <c r="A207" t="s">
        <v>17</v>
      </c>
      <c r="B207" s="52" t="s">
        <v>57</v>
      </c>
      <c r="C207" s="52" t="s">
        <v>1099</v>
      </c>
      <c r="D207" s="52" t="s">
        <v>1100</v>
      </c>
      <c r="E207" s="52" t="s">
        <v>387</v>
      </c>
      <c r="F207" s="52" t="s">
        <v>1105</v>
      </c>
      <c r="G207" s="52" t="s">
        <v>60</v>
      </c>
      <c r="H207" s="54">
        <v>46054</v>
      </c>
      <c r="I207" s="52" t="s">
        <v>231</v>
      </c>
      <c r="J207" s="52" t="s">
        <v>451</v>
      </c>
      <c r="K207" s="52" t="s">
        <v>1106</v>
      </c>
      <c r="L207" s="52" t="s">
        <v>1106</v>
      </c>
      <c r="M207" s="52" t="s">
        <v>29</v>
      </c>
      <c r="N207" s="53">
        <v>-18703</v>
      </c>
      <c r="O207" s="96">
        <v>-18703</v>
      </c>
      <c r="P207" s="52" t="s">
        <v>1107</v>
      </c>
      <c r="Q207" s="52" t="s">
        <v>1108</v>
      </c>
      <c r="R207" s="55" t="s">
        <v>64</v>
      </c>
      <c r="S207" s="52" t="s">
        <v>451</v>
      </c>
    </row>
    <row r="208" spans="1:19" hidden="1" outlineLevel="2" x14ac:dyDescent="0.45">
      <c r="A208" t="s">
        <v>17</v>
      </c>
      <c r="B208" s="52" t="s">
        <v>57</v>
      </c>
      <c r="C208" s="52" t="s">
        <v>376</v>
      </c>
      <c r="D208" s="52" t="s">
        <v>377</v>
      </c>
      <c r="E208" s="52" t="s">
        <v>387</v>
      </c>
      <c r="F208" s="52" t="s">
        <v>1109</v>
      </c>
      <c r="G208" s="52" t="s">
        <v>60</v>
      </c>
      <c r="H208" s="54">
        <v>46054</v>
      </c>
      <c r="I208" s="52" t="s">
        <v>231</v>
      </c>
      <c r="J208" s="52" t="s">
        <v>312</v>
      </c>
      <c r="K208" s="52" t="s">
        <v>1110</v>
      </c>
      <c r="L208" s="52" t="s">
        <v>1110</v>
      </c>
      <c r="M208" s="52" t="s">
        <v>29</v>
      </c>
      <c r="N208" s="53">
        <v>-14747</v>
      </c>
      <c r="O208" s="97">
        <v>-14747</v>
      </c>
      <c r="P208" s="52" t="s">
        <v>1111</v>
      </c>
      <c r="Q208" s="52" t="s">
        <v>1112</v>
      </c>
      <c r="R208" s="55" t="s">
        <v>64</v>
      </c>
      <c r="S208" s="52" t="s">
        <v>312</v>
      </c>
    </row>
    <row r="209" spans="1:52" outlineLevel="2" x14ac:dyDescent="0.45">
      <c r="A209" t="s">
        <v>17</v>
      </c>
      <c r="B209" s="52" t="s">
        <v>57</v>
      </c>
      <c r="C209" s="52" t="s">
        <v>630</v>
      </c>
      <c r="D209" s="52" t="s">
        <v>631</v>
      </c>
      <c r="E209" s="52" t="s">
        <v>387</v>
      </c>
      <c r="F209" s="52" t="s">
        <v>1113</v>
      </c>
      <c r="G209" s="52" t="s">
        <v>60</v>
      </c>
      <c r="H209" s="54">
        <v>46054</v>
      </c>
      <c r="I209" s="52" t="s">
        <v>231</v>
      </c>
      <c r="J209" s="52" t="s">
        <v>241</v>
      </c>
      <c r="K209" s="52" t="s">
        <v>1114</v>
      </c>
      <c r="L209" s="52" t="s">
        <v>1114</v>
      </c>
      <c r="M209" s="52" t="s">
        <v>29</v>
      </c>
      <c r="N209" s="53">
        <v>-13431</v>
      </c>
      <c r="O209" s="100">
        <v>-13431</v>
      </c>
      <c r="P209" s="52" t="s">
        <v>1115</v>
      </c>
      <c r="Q209" s="52" t="s">
        <v>1116</v>
      </c>
      <c r="R209" s="55" t="s">
        <v>64</v>
      </c>
      <c r="S209" s="52" t="s">
        <v>241</v>
      </c>
    </row>
    <row r="210" spans="1:52" hidden="1" outlineLevel="2" x14ac:dyDescent="0.45">
      <c r="A210" t="s">
        <v>17</v>
      </c>
      <c r="B210" s="52" t="s">
        <v>57</v>
      </c>
      <c r="C210" s="52" t="s">
        <v>376</v>
      </c>
      <c r="D210" s="52" t="s">
        <v>377</v>
      </c>
      <c r="E210" s="52" t="s">
        <v>387</v>
      </c>
      <c r="F210" s="52" t="s">
        <v>1117</v>
      </c>
      <c r="G210" s="52" t="s">
        <v>60</v>
      </c>
      <c r="H210" s="54">
        <v>46054</v>
      </c>
      <c r="I210" s="52" t="s">
        <v>231</v>
      </c>
      <c r="J210" s="52" t="s">
        <v>312</v>
      </c>
      <c r="K210" s="52" t="s">
        <v>1110</v>
      </c>
      <c r="L210" s="52" t="s">
        <v>1110</v>
      </c>
      <c r="M210" s="52" t="s">
        <v>29</v>
      </c>
      <c r="N210" s="53">
        <v>-11540</v>
      </c>
      <c r="O210" s="97">
        <v>-11540</v>
      </c>
      <c r="P210" s="52" t="s">
        <v>1111</v>
      </c>
      <c r="Q210" s="52" t="s">
        <v>1112</v>
      </c>
      <c r="R210" s="55" t="s">
        <v>64</v>
      </c>
      <c r="S210" s="52" t="s">
        <v>312</v>
      </c>
    </row>
    <row r="211" spans="1:52" hidden="1" outlineLevel="2" x14ac:dyDescent="0.45">
      <c r="A211" t="s">
        <v>17</v>
      </c>
      <c r="B211" s="52" t="s">
        <v>57</v>
      </c>
      <c r="C211" s="52" t="s">
        <v>376</v>
      </c>
      <c r="D211" s="52" t="s">
        <v>377</v>
      </c>
      <c r="E211" s="52" t="s">
        <v>387</v>
      </c>
      <c r="F211" s="52" t="s">
        <v>1118</v>
      </c>
      <c r="G211" s="52" t="s">
        <v>60</v>
      </c>
      <c r="H211" s="54">
        <v>46054</v>
      </c>
      <c r="I211" s="52" t="s">
        <v>231</v>
      </c>
      <c r="J211" s="52" t="s">
        <v>241</v>
      </c>
      <c r="K211" s="52" t="s">
        <v>1083</v>
      </c>
      <c r="L211" s="52" t="s">
        <v>1083</v>
      </c>
      <c r="M211" s="52" t="s">
        <v>29</v>
      </c>
      <c r="N211" s="53">
        <v>-11110.63</v>
      </c>
      <c r="O211" s="97">
        <v>-11110.63</v>
      </c>
      <c r="P211" s="52" t="s">
        <v>1084</v>
      </c>
      <c r="Q211" s="52" t="s">
        <v>1085</v>
      </c>
      <c r="R211" s="55" t="s">
        <v>64</v>
      </c>
      <c r="S211" s="52" t="s">
        <v>241</v>
      </c>
    </row>
    <row r="212" spans="1:52" outlineLevel="2" x14ac:dyDescent="0.45">
      <c r="A212" t="s">
        <v>17</v>
      </c>
      <c r="B212" s="52" t="s">
        <v>57</v>
      </c>
      <c r="C212" s="52" t="s">
        <v>697</v>
      </c>
      <c r="D212" s="52" t="s">
        <v>698</v>
      </c>
      <c r="E212" s="52" t="s">
        <v>387</v>
      </c>
      <c r="F212" s="52" t="s">
        <v>1119</v>
      </c>
      <c r="G212" s="52" t="s">
        <v>60</v>
      </c>
      <c r="H212" s="54">
        <v>46054</v>
      </c>
      <c r="I212" s="52" t="s">
        <v>231</v>
      </c>
      <c r="J212" s="52" t="s">
        <v>1120</v>
      </c>
      <c r="K212" s="52" t="s">
        <v>1121</v>
      </c>
      <c r="L212" s="52" t="s">
        <v>1122</v>
      </c>
      <c r="M212" s="52" t="s">
        <v>29</v>
      </c>
      <c r="N212" s="53">
        <v>-10261.06</v>
      </c>
      <c r="O212" s="96">
        <v>-10261.06</v>
      </c>
      <c r="P212" s="52" t="s">
        <v>702</v>
      </c>
      <c r="Q212" s="52" t="s">
        <v>1123</v>
      </c>
      <c r="R212" s="55" t="s">
        <v>64</v>
      </c>
      <c r="S212" s="52" t="s">
        <v>1120</v>
      </c>
    </row>
    <row r="213" spans="1:52" hidden="1" outlineLevel="2" x14ac:dyDescent="0.45">
      <c r="A213" s="59" t="s">
        <v>17</v>
      </c>
      <c r="B213" s="60" t="s">
        <v>57</v>
      </c>
      <c r="C213" s="52" t="s">
        <v>376</v>
      </c>
      <c r="D213" s="60" t="s">
        <v>377</v>
      </c>
      <c r="E213" s="52" t="s">
        <v>387</v>
      </c>
      <c r="F213" s="52" t="s">
        <v>1124</v>
      </c>
      <c r="G213" s="52" t="s">
        <v>60</v>
      </c>
      <c r="H213" s="54">
        <v>46054</v>
      </c>
      <c r="I213" s="52" t="s">
        <v>231</v>
      </c>
      <c r="J213" s="60" t="s">
        <v>996</v>
      </c>
      <c r="K213" s="52" t="s">
        <v>1125</v>
      </c>
      <c r="L213" s="52" t="s">
        <v>1125</v>
      </c>
      <c r="M213" s="60" t="s">
        <v>29</v>
      </c>
      <c r="N213" s="61">
        <v>-10000</v>
      </c>
      <c r="O213" s="101">
        <v>-10000</v>
      </c>
      <c r="P213" s="60" t="s">
        <v>1126</v>
      </c>
      <c r="Q213" s="60" t="s">
        <v>1127</v>
      </c>
      <c r="R213" s="62" t="s">
        <v>64</v>
      </c>
      <c r="S213" s="60" t="s">
        <v>996</v>
      </c>
    </row>
    <row r="214" spans="1:52" outlineLevel="2" x14ac:dyDescent="0.45">
      <c r="A214" t="s">
        <v>17</v>
      </c>
      <c r="B214" s="52" t="s">
        <v>57</v>
      </c>
      <c r="C214" s="52" t="s">
        <v>630</v>
      </c>
      <c r="D214" s="52" t="s">
        <v>631</v>
      </c>
      <c r="E214" s="52" t="s">
        <v>387</v>
      </c>
      <c r="F214" s="52" t="s">
        <v>1128</v>
      </c>
      <c r="G214" s="52" t="s">
        <v>60</v>
      </c>
      <c r="H214" s="54">
        <v>46054</v>
      </c>
      <c r="I214" s="52" t="s">
        <v>231</v>
      </c>
      <c r="J214" s="52" t="s">
        <v>246</v>
      </c>
      <c r="K214" s="52" t="s">
        <v>1129</v>
      </c>
      <c r="L214" s="52" t="s">
        <v>1129</v>
      </c>
      <c r="M214" s="52" t="s">
        <v>29</v>
      </c>
      <c r="N214" s="53">
        <v>-10000</v>
      </c>
      <c r="O214" s="100">
        <v>-10000</v>
      </c>
      <c r="P214" s="52" t="s">
        <v>1130</v>
      </c>
      <c r="Q214" s="52" t="s">
        <v>1131</v>
      </c>
      <c r="R214" s="55" t="s">
        <v>64</v>
      </c>
      <c r="S214" s="52" t="s">
        <v>246</v>
      </c>
    </row>
    <row r="215" spans="1:52" outlineLevel="2" x14ac:dyDescent="0.45">
      <c r="A215" t="s">
        <v>17</v>
      </c>
      <c r="B215" s="52" t="s">
        <v>57</v>
      </c>
      <c r="C215" s="52" t="s">
        <v>707</v>
      </c>
      <c r="D215" s="52" t="s">
        <v>708</v>
      </c>
      <c r="E215" s="52" t="s">
        <v>387</v>
      </c>
      <c r="F215" s="52" t="s">
        <v>1132</v>
      </c>
      <c r="G215" s="52" t="s">
        <v>60</v>
      </c>
      <c r="H215" s="54">
        <v>46054</v>
      </c>
      <c r="I215" s="52" t="s">
        <v>231</v>
      </c>
      <c r="J215" s="52" t="s">
        <v>1120</v>
      </c>
      <c r="K215" s="52" t="s">
        <v>1133</v>
      </c>
      <c r="L215" s="52" t="s">
        <v>1134</v>
      </c>
      <c r="M215" s="52" t="s">
        <v>29</v>
      </c>
      <c r="N215" s="53">
        <v>-7653.54</v>
      </c>
      <c r="O215" s="96">
        <v>-7653.54</v>
      </c>
      <c r="P215" s="52" t="s">
        <v>712</v>
      </c>
      <c r="Q215" s="52" t="s">
        <v>1135</v>
      </c>
      <c r="R215" s="55" t="s">
        <v>64</v>
      </c>
      <c r="S215" s="52" t="s">
        <v>1120</v>
      </c>
    </row>
    <row r="216" spans="1:52" outlineLevel="2" x14ac:dyDescent="0.45">
      <c r="A216" t="s">
        <v>17</v>
      </c>
      <c r="B216" s="52" t="s">
        <v>66</v>
      </c>
      <c r="C216" s="52" t="s">
        <v>718</v>
      </c>
      <c r="D216" s="52" t="s">
        <v>719</v>
      </c>
      <c r="E216" s="52" t="s">
        <v>387</v>
      </c>
      <c r="F216" s="52" t="s">
        <v>1136</v>
      </c>
      <c r="G216" s="52" t="s">
        <v>60</v>
      </c>
      <c r="H216" s="54">
        <v>46054</v>
      </c>
      <c r="I216" s="52" t="s">
        <v>231</v>
      </c>
      <c r="J216" s="52" t="s">
        <v>451</v>
      </c>
      <c r="K216" s="52" t="s">
        <v>1137</v>
      </c>
      <c r="L216" s="52" t="s">
        <v>1137</v>
      </c>
      <c r="M216" s="52" t="s">
        <v>67</v>
      </c>
      <c r="N216" s="53">
        <v>-1817.2</v>
      </c>
      <c r="O216" s="96">
        <v>-6120.33</v>
      </c>
      <c r="P216" s="52" t="s">
        <v>1138</v>
      </c>
      <c r="Q216" s="52" t="s">
        <v>1139</v>
      </c>
      <c r="R216" s="55" t="s">
        <v>64</v>
      </c>
      <c r="S216" s="52" t="s">
        <v>451</v>
      </c>
      <c r="T216" s="59"/>
      <c r="U216" s="59"/>
      <c r="V216" s="59"/>
      <c r="W216" s="59"/>
      <c r="X216" s="59"/>
      <c r="Y216" s="59"/>
      <c r="Z216" s="59"/>
      <c r="AA216" s="59"/>
      <c r="AB216" s="59"/>
      <c r="AC216" s="59"/>
      <c r="AD216" s="59"/>
      <c r="AE216" s="59"/>
      <c r="AF216" s="59"/>
      <c r="AG216" s="59"/>
      <c r="AH216" s="59"/>
      <c r="AI216" s="59"/>
      <c r="AJ216" s="59"/>
      <c r="AK216" s="59"/>
      <c r="AL216" s="59"/>
      <c r="AM216" s="59"/>
      <c r="AN216" s="59"/>
      <c r="AO216" s="59"/>
      <c r="AP216" s="59"/>
      <c r="AQ216" s="59"/>
      <c r="AR216" s="59"/>
      <c r="AS216" s="59"/>
      <c r="AT216" s="59"/>
      <c r="AU216" s="59"/>
      <c r="AV216" s="59"/>
      <c r="AW216" s="59"/>
      <c r="AX216" s="59"/>
      <c r="AY216" s="59"/>
      <c r="AZ216" s="59"/>
    </row>
    <row r="217" spans="1:52" hidden="1" outlineLevel="2" x14ac:dyDescent="0.45">
      <c r="A217" t="s">
        <v>17</v>
      </c>
      <c r="B217" s="52" t="s">
        <v>57</v>
      </c>
      <c r="C217" s="52" t="s">
        <v>376</v>
      </c>
      <c r="D217" s="52" t="s">
        <v>377</v>
      </c>
      <c r="E217" s="52" t="s">
        <v>387</v>
      </c>
      <c r="F217" s="52" t="s">
        <v>1140</v>
      </c>
      <c r="G217" s="52" t="s">
        <v>60</v>
      </c>
      <c r="H217" s="54">
        <v>46054</v>
      </c>
      <c r="I217" s="52" t="s">
        <v>231</v>
      </c>
      <c r="J217" s="52" t="s">
        <v>996</v>
      </c>
      <c r="K217" s="52" t="s">
        <v>1141</v>
      </c>
      <c r="L217" s="52" t="s">
        <v>1141</v>
      </c>
      <c r="M217" s="52" t="s">
        <v>29</v>
      </c>
      <c r="N217" s="53">
        <v>-5399.28</v>
      </c>
      <c r="O217" s="97">
        <v>-5399.28</v>
      </c>
      <c r="P217" s="52" t="s">
        <v>1142</v>
      </c>
      <c r="Q217" s="52" t="s">
        <v>1127</v>
      </c>
      <c r="R217" s="55" t="s">
        <v>64</v>
      </c>
      <c r="S217" s="52" t="s">
        <v>996</v>
      </c>
      <c r="T217" s="59"/>
      <c r="U217" s="59"/>
      <c r="V217" s="59"/>
      <c r="W217" s="59"/>
      <c r="X217" s="59"/>
      <c r="Y217" s="59"/>
      <c r="Z217" s="59"/>
      <c r="AA217" s="59"/>
      <c r="AB217" s="59"/>
      <c r="AC217" s="59"/>
      <c r="AD217" s="59"/>
      <c r="AE217" s="59"/>
      <c r="AF217" s="59"/>
      <c r="AG217" s="59"/>
      <c r="AH217" s="59"/>
      <c r="AI217" s="59"/>
      <c r="AJ217" s="59"/>
      <c r="AK217" s="59"/>
      <c r="AL217" s="59"/>
      <c r="AM217" s="59"/>
      <c r="AN217" s="59"/>
      <c r="AO217" s="59"/>
      <c r="AP217" s="59"/>
      <c r="AQ217" s="59"/>
      <c r="AR217" s="59"/>
      <c r="AS217" s="59"/>
      <c r="AT217" s="59"/>
      <c r="AU217" s="59"/>
      <c r="AV217" s="59"/>
      <c r="AW217" s="59"/>
      <c r="AX217" s="59"/>
      <c r="AY217" s="59"/>
      <c r="AZ217" s="59"/>
    </row>
    <row r="218" spans="1:52" hidden="1" outlineLevel="2" x14ac:dyDescent="0.45">
      <c r="A218" t="s">
        <v>17</v>
      </c>
      <c r="B218" s="52" t="s">
        <v>57</v>
      </c>
      <c r="C218" s="52" t="s">
        <v>376</v>
      </c>
      <c r="D218" s="52" t="s">
        <v>377</v>
      </c>
      <c r="E218" s="52" t="s">
        <v>387</v>
      </c>
      <c r="F218" s="52" t="s">
        <v>1143</v>
      </c>
      <c r="G218" s="52" t="s">
        <v>60</v>
      </c>
      <c r="H218" s="54">
        <v>46054</v>
      </c>
      <c r="I218" s="52" t="s">
        <v>231</v>
      </c>
      <c r="J218" s="52" t="s">
        <v>312</v>
      </c>
      <c r="K218" s="52" t="s">
        <v>1110</v>
      </c>
      <c r="L218" s="52" t="s">
        <v>1110</v>
      </c>
      <c r="M218" s="52" t="s">
        <v>29</v>
      </c>
      <c r="N218" s="53">
        <v>-4999</v>
      </c>
      <c r="O218" s="97">
        <v>-4999</v>
      </c>
      <c r="P218" s="52" t="s">
        <v>1111</v>
      </c>
      <c r="Q218" s="52" t="s">
        <v>1112</v>
      </c>
      <c r="R218" s="55" t="s">
        <v>64</v>
      </c>
      <c r="S218" s="52" t="s">
        <v>312</v>
      </c>
    </row>
    <row r="219" spans="1:52" hidden="1" outlineLevel="2" x14ac:dyDescent="0.45">
      <c r="A219" t="s">
        <v>17</v>
      </c>
      <c r="B219" s="52" t="s">
        <v>57</v>
      </c>
      <c r="C219" s="52" t="s">
        <v>376</v>
      </c>
      <c r="D219" s="52" t="s">
        <v>377</v>
      </c>
      <c r="E219" s="52" t="s">
        <v>387</v>
      </c>
      <c r="F219" s="52" t="s">
        <v>1144</v>
      </c>
      <c r="G219" s="52" t="s">
        <v>60</v>
      </c>
      <c r="H219" s="54">
        <v>46054</v>
      </c>
      <c r="I219" s="52" t="s">
        <v>231</v>
      </c>
      <c r="J219" s="52" t="s">
        <v>1095</v>
      </c>
      <c r="K219" s="52" t="s">
        <v>1145</v>
      </c>
      <c r="L219" s="52" t="s">
        <v>1145</v>
      </c>
      <c r="M219" s="52" t="s">
        <v>29</v>
      </c>
      <c r="N219" s="53">
        <v>-4935.22</v>
      </c>
      <c r="O219" s="97">
        <v>-4935.22</v>
      </c>
      <c r="P219" s="52" t="s">
        <v>1084</v>
      </c>
      <c r="Q219" s="52" t="s">
        <v>1146</v>
      </c>
      <c r="R219" s="55" t="s">
        <v>64</v>
      </c>
      <c r="S219" s="52" t="s">
        <v>1095</v>
      </c>
    </row>
    <row r="220" spans="1:52" outlineLevel="2" x14ac:dyDescent="0.45">
      <c r="A220" t="s">
        <v>17</v>
      </c>
      <c r="B220" s="52" t="s">
        <v>57</v>
      </c>
      <c r="C220" s="52" t="s">
        <v>734</v>
      </c>
      <c r="D220" s="52" t="s">
        <v>735</v>
      </c>
      <c r="E220" s="52" t="s">
        <v>387</v>
      </c>
      <c r="F220" s="52" t="s">
        <v>1147</v>
      </c>
      <c r="G220" s="52" t="s">
        <v>60</v>
      </c>
      <c r="H220" s="54">
        <v>46054</v>
      </c>
      <c r="I220" s="52" t="s">
        <v>231</v>
      </c>
      <c r="J220" s="52" t="s">
        <v>1120</v>
      </c>
      <c r="K220" s="52" t="s">
        <v>1148</v>
      </c>
      <c r="L220" s="52" t="s">
        <v>1149</v>
      </c>
      <c r="M220" s="52" t="s">
        <v>29</v>
      </c>
      <c r="N220" s="53">
        <v>-4670.9399999999996</v>
      </c>
      <c r="O220" s="96">
        <v>-4670.9399999999996</v>
      </c>
      <c r="P220" s="52" t="s">
        <v>739</v>
      </c>
      <c r="Q220" s="52" t="s">
        <v>1150</v>
      </c>
      <c r="R220" s="55" t="s">
        <v>64</v>
      </c>
      <c r="S220" s="52" t="s">
        <v>1120</v>
      </c>
    </row>
    <row r="221" spans="1:52" hidden="1" outlineLevel="2" x14ac:dyDescent="0.45">
      <c r="A221" t="s">
        <v>17</v>
      </c>
      <c r="B221" s="52" t="s">
        <v>57</v>
      </c>
      <c r="C221" s="52" t="s">
        <v>376</v>
      </c>
      <c r="D221" s="52" t="s">
        <v>377</v>
      </c>
      <c r="E221" s="52" t="s">
        <v>387</v>
      </c>
      <c r="F221" s="52" t="s">
        <v>1151</v>
      </c>
      <c r="G221" s="52" t="s">
        <v>60</v>
      </c>
      <c r="H221" s="54">
        <v>46054</v>
      </c>
      <c r="I221" s="52" t="s">
        <v>231</v>
      </c>
      <c r="J221" s="52" t="s">
        <v>241</v>
      </c>
      <c r="K221" s="52" t="s">
        <v>1083</v>
      </c>
      <c r="L221" s="52" t="s">
        <v>1083</v>
      </c>
      <c r="M221" s="52" t="s">
        <v>29</v>
      </c>
      <c r="N221" s="53">
        <v>-4466.32</v>
      </c>
      <c r="O221" s="97">
        <v>-4466.32</v>
      </c>
      <c r="P221" s="52" t="s">
        <v>1084</v>
      </c>
      <c r="Q221" s="52" t="s">
        <v>1085</v>
      </c>
      <c r="R221" s="55" t="s">
        <v>64</v>
      </c>
      <c r="S221" s="52" t="s">
        <v>241</v>
      </c>
    </row>
    <row r="222" spans="1:52" hidden="1" outlineLevel="2" x14ac:dyDescent="0.45">
      <c r="A222" t="s">
        <v>17</v>
      </c>
      <c r="B222" s="52" t="s">
        <v>57</v>
      </c>
      <c r="C222" s="52" t="s">
        <v>376</v>
      </c>
      <c r="D222" s="52" t="s">
        <v>377</v>
      </c>
      <c r="E222" s="52" t="s">
        <v>387</v>
      </c>
      <c r="F222" s="52" t="s">
        <v>1152</v>
      </c>
      <c r="G222" s="52" t="s">
        <v>60</v>
      </c>
      <c r="H222" s="54">
        <v>46054</v>
      </c>
      <c r="I222" s="52" t="s">
        <v>231</v>
      </c>
      <c r="J222" s="52" t="s">
        <v>1095</v>
      </c>
      <c r="K222" s="52" t="s">
        <v>1153</v>
      </c>
      <c r="L222" s="52" t="s">
        <v>1153</v>
      </c>
      <c r="M222" s="52" t="s">
        <v>29</v>
      </c>
      <c r="N222" s="53">
        <v>-4012</v>
      </c>
      <c r="O222" s="97">
        <v>-4012</v>
      </c>
      <c r="P222" s="52" t="s">
        <v>1154</v>
      </c>
      <c r="Q222" s="52" t="s">
        <v>1155</v>
      </c>
      <c r="R222" s="55" t="s">
        <v>64</v>
      </c>
      <c r="S222" s="52" t="s">
        <v>1095</v>
      </c>
    </row>
    <row r="223" spans="1:52" outlineLevel="2" x14ac:dyDescent="0.45">
      <c r="A223" t="s">
        <v>17</v>
      </c>
      <c r="B223" s="52" t="s">
        <v>57</v>
      </c>
      <c r="C223" s="52" t="s">
        <v>785</v>
      </c>
      <c r="D223" s="52" t="s">
        <v>786</v>
      </c>
      <c r="E223" s="52" t="s">
        <v>387</v>
      </c>
      <c r="F223" s="52" t="s">
        <v>1156</v>
      </c>
      <c r="G223" s="52" t="s">
        <v>60</v>
      </c>
      <c r="H223" s="54">
        <v>46054</v>
      </c>
      <c r="I223" s="52" t="s">
        <v>231</v>
      </c>
      <c r="J223" s="52" t="s">
        <v>451</v>
      </c>
      <c r="K223" s="52" t="s">
        <v>1157</v>
      </c>
      <c r="L223" s="52" t="s">
        <v>1157</v>
      </c>
      <c r="M223" s="52" t="s">
        <v>29</v>
      </c>
      <c r="N223" s="53">
        <v>-3658</v>
      </c>
      <c r="O223" s="96">
        <v>-3658</v>
      </c>
      <c r="P223" s="52" t="s">
        <v>1158</v>
      </c>
      <c r="Q223" s="52" t="s">
        <v>1159</v>
      </c>
      <c r="R223" s="55" t="s">
        <v>64</v>
      </c>
      <c r="S223" s="52" t="s">
        <v>451</v>
      </c>
    </row>
    <row r="224" spans="1:52" outlineLevel="2" x14ac:dyDescent="0.45">
      <c r="A224" t="s">
        <v>17</v>
      </c>
      <c r="B224" s="52" t="s">
        <v>57</v>
      </c>
      <c r="C224" s="52" t="s">
        <v>1160</v>
      </c>
      <c r="D224" s="52" t="s">
        <v>1161</v>
      </c>
      <c r="E224" s="52" t="s">
        <v>387</v>
      </c>
      <c r="F224" s="52" t="s">
        <v>1162</v>
      </c>
      <c r="G224" s="52" t="s">
        <v>60</v>
      </c>
      <c r="H224" s="54">
        <v>46054</v>
      </c>
      <c r="I224" s="52" t="s">
        <v>231</v>
      </c>
      <c r="J224" s="52" t="s">
        <v>241</v>
      </c>
      <c r="K224" s="52" t="s">
        <v>1163</v>
      </c>
      <c r="L224" s="52" t="s">
        <v>1163</v>
      </c>
      <c r="M224" s="52" t="s">
        <v>29</v>
      </c>
      <c r="N224" s="53">
        <v>-3339</v>
      </c>
      <c r="O224" s="96">
        <v>-3339</v>
      </c>
      <c r="P224" s="52" t="s">
        <v>1164</v>
      </c>
      <c r="Q224" s="52" t="s">
        <v>1165</v>
      </c>
      <c r="R224" s="55" t="s">
        <v>64</v>
      </c>
      <c r="S224" s="52" t="s">
        <v>241</v>
      </c>
    </row>
    <row r="225" spans="1:19" hidden="1" outlineLevel="2" x14ac:dyDescent="0.45">
      <c r="A225" t="s">
        <v>17</v>
      </c>
      <c r="B225" s="52" t="s">
        <v>57</v>
      </c>
      <c r="C225" s="52" t="s">
        <v>376</v>
      </c>
      <c r="D225" s="52" t="s">
        <v>377</v>
      </c>
      <c r="E225" s="52" t="s">
        <v>387</v>
      </c>
      <c r="F225" s="52" t="s">
        <v>1166</v>
      </c>
      <c r="G225" s="52" t="s">
        <v>60</v>
      </c>
      <c r="H225" s="54">
        <v>46054</v>
      </c>
      <c r="I225" s="52" t="s">
        <v>231</v>
      </c>
      <c r="J225" s="52" t="s">
        <v>241</v>
      </c>
      <c r="K225" s="52" t="s">
        <v>1083</v>
      </c>
      <c r="L225" s="52" t="s">
        <v>1083</v>
      </c>
      <c r="M225" s="52" t="s">
        <v>29</v>
      </c>
      <c r="N225" s="53">
        <v>-3297.06</v>
      </c>
      <c r="O225" s="97">
        <v>-3297.06</v>
      </c>
      <c r="P225" s="52" t="s">
        <v>1084</v>
      </c>
      <c r="Q225" s="52" t="s">
        <v>1085</v>
      </c>
      <c r="R225" s="55" t="s">
        <v>64</v>
      </c>
      <c r="S225" s="52" t="s">
        <v>241</v>
      </c>
    </row>
    <row r="226" spans="1:19" outlineLevel="2" x14ac:dyDescent="0.45">
      <c r="A226" t="s">
        <v>17</v>
      </c>
      <c r="B226" s="52" t="s">
        <v>57</v>
      </c>
      <c r="C226" s="52" t="s">
        <v>1167</v>
      </c>
      <c r="D226" s="52" t="s">
        <v>1168</v>
      </c>
      <c r="E226" s="52" t="s">
        <v>387</v>
      </c>
      <c r="F226" s="52" t="s">
        <v>1169</v>
      </c>
      <c r="G226" s="52" t="s">
        <v>60</v>
      </c>
      <c r="H226" s="54">
        <v>46054</v>
      </c>
      <c r="I226" s="52" t="s">
        <v>231</v>
      </c>
      <c r="J226" s="52" t="s">
        <v>1057</v>
      </c>
      <c r="K226" s="52" t="s">
        <v>1170</v>
      </c>
      <c r="L226" s="52" t="s">
        <v>1170</v>
      </c>
      <c r="M226" s="52" t="s">
        <v>29</v>
      </c>
      <c r="N226" s="53">
        <v>-3069</v>
      </c>
      <c r="O226" s="96">
        <v>-3069</v>
      </c>
      <c r="P226" s="52" t="s">
        <v>1171</v>
      </c>
      <c r="Q226" s="52" t="s">
        <v>946</v>
      </c>
      <c r="R226" s="55" t="s">
        <v>64</v>
      </c>
      <c r="S226" s="52" t="s">
        <v>1057</v>
      </c>
    </row>
    <row r="227" spans="1:19" outlineLevel="2" x14ac:dyDescent="0.45">
      <c r="A227" t="s">
        <v>17</v>
      </c>
      <c r="B227" s="52" t="s">
        <v>57</v>
      </c>
      <c r="C227" s="52" t="s">
        <v>758</v>
      </c>
      <c r="D227" s="52" t="s">
        <v>759</v>
      </c>
      <c r="E227" s="52" t="s">
        <v>387</v>
      </c>
      <c r="F227" s="52" t="s">
        <v>1172</v>
      </c>
      <c r="G227" s="52" t="s">
        <v>60</v>
      </c>
      <c r="H227" s="54">
        <v>46054</v>
      </c>
      <c r="I227" s="52" t="s">
        <v>231</v>
      </c>
      <c r="J227" s="52" t="s">
        <v>1018</v>
      </c>
      <c r="K227" s="52" t="s">
        <v>1173</v>
      </c>
      <c r="L227" s="52" t="s">
        <v>1173</v>
      </c>
      <c r="M227" s="52" t="s">
        <v>29</v>
      </c>
      <c r="N227" s="53">
        <v>-3051.3</v>
      </c>
      <c r="O227" s="96">
        <v>-3051.3</v>
      </c>
      <c r="P227" s="52" t="s">
        <v>1174</v>
      </c>
      <c r="Q227" s="52" t="s">
        <v>1175</v>
      </c>
      <c r="R227" s="55" t="s">
        <v>64</v>
      </c>
      <c r="S227" s="52" t="s">
        <v>1018</v>
      </c>
    </row>
    <row r="228" spans="1:19" hidden="1" outlineLevel="2" x14ac:dyDescent="0.45">
      <c r="A228" t="s">
        <v>17</v>
      </c>
      <c r="B228" s="52" t="s">
        <v>57</v>
      </c>
      <c r="C228" s="52" t="s">
        <v>376</v>
      </c>
      <c r="D228" s="52" t="s">
        <v>377</v>
      </c>
      <c r="E228" s="52" t="s">
        <v>387</v>
      </c>
      <c r="F228" s="52" t="s">
        <v>1176</v>
      </c>
      <c r="G228" s="52" t="s">
        <v>60</v>
      </c>
      <c r="H228" s="54">
        <v>46054</v>
      </c>
      <c r="I228" s="52" t="s">
        <v>231</v>
      </c>
      <c r="J228" s="52" t="s">
        <v>312</v>
      </c>
      <c r="K228" s="52" t="s">
        <v>1110</v>
      </c>
      <c r="L228" s="52" t="s">
        <v>1110</v>
      </c>
      <c r="M228" s="52" t="s">
        <v>29</v>
      </c>
      <c r="N228" s="53">
        <v>-3004</v>
      </c>
      <c r="O228" s="97">
        <v>-3004</v>
      </c>
      <c r="P228" s="52" t="s">
        <v>1111</v>
      </c>
      <c r="Q228" s="52" t="s">
        <v>1112</v>
      </c>
      <c r="R228" s="55" t="s">
        <v>64</v>
      </c>
      <c r="S228" s="52" t="s">
        <v>312</v>
      </c>
    </row>
    <row r="229" spans="1:19" hidden="1" outlineLevel="2" x14ac:dyDescent="0.45">
      <c r="A229" t="s">
        <v>17</v>
      </c>
      <c r="B229" s="52" t="s">
        <v>57</v>
      </c>
      <c r="C229" s="52" t="s">
        <v>376</v>
      </c>
      <c r="D229" s="52" t="s">
        <v>377</v>
      </c>
      <c r="E229" s="52" t="s">
        <v>387</v>
      </c>
      <c r="F229" s="52" t="s">
        <v>1177</v>
      </c>
      <c r="G229" s="52" t="s">
        <v>60</v>
      </c>
      <c r="H229" s="54">
        <v>46054</v>
      </c>
      <c r="I229" s="52" t="s">
        <v>231</v>
      </c>
      <c r="J229" s="52" t="s">
        <v>1010</v>
      </c>
      <c r="K229" s="52" t="s">
        <v>1178</v>
      </c>
      <c r="L229" s="52" t="s">
        <v>1178</v>
      </c>
      <c r="M229" s="52" t="s">
        <v>29</v>
      </c>
      <c r="N229" s="53">
        <v>-3000</v>
      </c>
      <c r="O229" s="97">
        <v>-3000</v>
      </c>
      <c r="P229" s="52" t="s">
        <v>1179</v>
      </c>
      <c r="Q229" s="52" t="s">
        <v>1180</v>
      </c>
      <c r="R229" s="55" t="s">
        <v>64</v>
      </c>
      <c r="S229" s="52" t="s">
        <v>1010</v>
      </c>
    </row>
    <row r="230" spans="1:19" hidden="1" outlineLevel="2" x14ac:dyDescent="0.45">
      <c r="A230" t="s">
        <v>17</v>
      </c>
      <c r="B230" s="52" t="s">
        <v>57</v>
      </c>
      <c r="C230" s="52" t="s">
        <v>376</v>
      </c>
      <c r="D230" s="52" t="s">
        <v>377</v>
      </c>
      <c r="E230" s="52" t="s">
        <v>387</v>
      </c>
      <c r="F230" s="52" t="s">
        <v>1181</v>
      </c>
      <c r="G230" s="52" t="s">
        <v>60</v>
      </c>
      <c r="H230" s="54">
        <v>46054</v>
      </c>
      <c r="I230" s="52" t="s">
        <v>231</v>
      </c>
      <c r="J230" s="52" t="s">
        <v>241</v>
      </c>
      <c r="K230" s="52" t="s">
        <v>1182</v>
      </c>
      <c r="L230" s="52" t="s">
        <v>1182</v>
      </c>
      <c r="M230" s="52" t="s">
        <v>29</v>
      </c>
      <c r="N230" s="53">
        <v>-3000</v>
      </c>
      <c r="O230" s="97">
        <v>-3000</v>
      </c>
      <c r="P230" s="52" t="s">
        <v>1183</v>
      </c>
      <c r="Q230" s="52" t="s">
        <v>1184</v>
      </c>
      <c r="R230" s="55" t="s">
        <v>64</v>
      </c>
      <c r="S230" s="52" t="s">
        <v>241</v>
      </c>
    </row>
    <row r="231" spans="1:19" hidden="1" outlineLevel="2" x14ac:dyDescent="0.45">
      <c r="A231" t="s">
        <v>17</v>
      </c>
      <c r="B231" s="52" t="s">
        <v>57</v>
      </c>
      <c r="C231" s="52" t="s">
        <v>376</v>
      </c>
      <c r="D231" s="52" t="s">
        <v>377</v>
      </c>
      <c r="E231" s="52" t="s">
        <v>387</v>
      </c>
      <c r="F231" s="52" t="s">
        <v>1185</v>
      </c>
      <c r="G231" s="52" t="s">
        <v>60</v>
      </c>
      <c r="H231" s="54">
        <v>46054</v>
      </c>
      <c r="I231" s="52" t="s">
        <v>231</v>
      </c>
      <c r="J231" s="52" t="s">
        <v>246</v>
      </c>
      <c r="K231" s="52" t="s">
        <v>1186</v>
      </c>
      <c r="L231" s="52" t="s">
        <v>1186</v>
      </c>
      <c r="M231" s="52" t="s">
        <v>29</v>
      </c>
      <c r="N231" s="53">
        <v>-2935.78</v>
      </c>
      <c r="O231" s="97">
        <v>-2935.78</v>
      </c>
      <c r="P231" s="52" t="s">
        <v>1187</v>
      </c>
      <c r="Q231" s="52" t="s">
        <v>1188</v>
      </c>
      <c r="R231" s="55" t="s">
        <v>64</v>
      </c>
      <c r="S231" s="52" t="s">
        <v>246</v>
      </c>
    </row>
    <row r="232" spans="1:19" outlineLevel="2" x14ac:dyDescent="0.45">
      <c r="A232" t="s">
        <v>17</v>
      </c>
      <c r="B232" s="52" t="s">
        <v>57</v>
      </c>
      <c r="C232" s="52" t="s">
        <v>630</v>
      </c>
      <c r="D232" s="52" t="s">
        <v>631</v>
      </c>
      <c r="E232" s="52" t="s">
        <v>387</v>
      </c>
      <c r="F232" s="52" t="s">
        <v>1189</v>
      </c>
      <c r="G232" s="52" t="s">
        <v>60</v>
      </c>
      <c r="H232" s="54">
        <v>46054</v>
      </c>
      <c r="I232" s="52" t="s">
        <v>231</v>
      </c>
      <c r="J232" s="52" t="s">
        <v>1010</v>
      </c>
      <c r="K232" s="52" t="s">
        <v>1190</v>
      </c>
      <c r="L232" s="52" t="s">
        <v>1190</v>
      </c>
      <c r="M232" s="52" t="s">
        <v>29</v>
      </c>
      <c r="N232" s="53">
        <v>-2892.4</v>
      </c>
      <c r="O232" s="96">
        <v>-2892.4</v>
      </c>
      <c r="P232" s="52" t="s">
        <v>1191</v>
      </c>
      <c r="Q232" s="52" t="s">
        <v>1192</v>
      </c>
      <c r="R232" s="55" t="s">
        <v>64</v>
      </c>
      <c r="S232" s="52" t="s">
        <v>1010</v>
      </c>
    </row>
    <row r="233" spans="1:19" outlineLevel="2" x14ac:dyDescent="0.45">
      <c r="A233" t="s">
        <v>17</v>
      </c>
      <c r="B233" s="52" t="s">
        <v>57</v>
      </c>
      <c r="C233" s="52" t="s">
        <v>774</v>
      </c>
      <c r="D233" s="52" t="s">
        <v>775</v>
      </c>
      <c r="E233" s="52" t="s">
        <v>387</v>
      </c>
      <c r="F233" s="52" t="s">
        <v>1193</v>
      </c>
      <c r="G233" s="52" t="s">
        <v>60</v>
      </c>
      <c r="H233" s="54">
        <v>46054</v>
      </c>
      <c r="I233" s="52" t="s">
        <v>231</v>
      </c>
      <c r="J233" s="52" t="s">
        <v>1010</v>
      </c>
      <c r="K233" s="52" t="s">
        <v>777</v>
      </c>
      <c r="L233" s="52" t="s">
        <v>777</v>
      </c>
      <c r="M233" s="52" t="s">
        <v>29</v>
      </c>
      <c r="N233" s="53">
        <v>-2768.38</v>
      </c>
      <c r="O233" s="96">
        <v>-2768.38</v>
      </c>
      <c r="P233" s="52" t="s">
        <v>778</v>
      </c>
      <c r="Q233" s="52" t="s">
        <v>1194</v>
      </c>
      <c r="R233" s="55" t="s">
        <v>64</v>
      </c>
      <c r="S233" s="52" t="s">
        <v>1010</v>
      </c>
    </row>
    <row r="234" spans="1:19" outlineLevel="2" x14ac:dyDescent="0.45">
      <c r="A234" t="s">
        <v>17</v>
      </c>
      <c r="B234" s="52" t="s">
        <v>57</v>
      </c>
      <c r="C234" s="52" t="s">
        <v>747</v>
      </c>
      <c r="D234" s="52" t="s">
        <v>748</v>
      </c>
      <c r="E234" s="52" t="s">
        <v>387</v>
      </c>
      <c r="F234" s="52" t="s">
        <v>1195</v>
      </c>
      <c r="G234" s="52" t="s">
        <v>60</v>
      </c>
      <c r="H234" s="54">
        <v>46054</v>
      </c>
      <c r="I234" s="52" t="s">
        <v>231</v>
      </c>
      <c r="J234" s="52" t="s">
        <v>246</v>
      </c>
      <c r="K234" s="52" t="s">
        <v>1196</v>
      </c>
      <c r="L234" s="52" t="s">
        <v>1196</v>
      </c>
      <c r="M234" s="52" t="s">
        <v>29</v>
      </c>
      <c r="N234" s="53">
        <v>-2736.94</v>
      </c>
      <c r="O234" s="96">
        <v>-2736.94</v>
      </c>
      <c r="P234" s="52" t="s">
        <v>1197</v>
      </c>
      <c r="Q234" s="52" t="s">
        <v>1198</v>
      </c>
      <c r="R234" s="55" t="s">
        <v>64</v>
      </c>
      <c r="S234" s="52" t="s">
        <v>246</v>
      </c>
    </row>
    <row r="235" spans="1:19" outlineLevel="2" x14ac:dyDescent="0.45">
      <c r="A235" t="s">
        <v>17</v>
      </c>
      <c r="B235" s="52" t="s">
        <v>57</v>
      </c>
      <c r="C235" s="52" t="s">
        <v>747</v>
      </c>
      <c r="D235" s="52" t="s">
        <v>748</v>
      </c>
      <c r="E235" s="52" t="s">
        <v>387</v>
      </c>
      <c r="F235" s="52" t="s">
        <v>1195</v>
      </c>
      <c r="G235" s="52" t="s">
        <v>60</v>
      </c>
      <c r="H235" s="54">
        <v>46054</v>
      </c>
      <c r="I235" s="52" t="s">
        <v>231</v>
      </c>
      <c r="J235" s="52" t="s">
        <v>246</v>
      </c>
      <c r="K235" s="52" t="s">
        <v>1199</v>
      </c>
      <c r="L235" s="52" t="s">
        <v>1199</v>
      </c>
      <c r="M235" s="52" t="s">
        <v>29</v>
      </c>
      <c r="N235" s="53">
        <v>-2534.2800000000002</v>
      </c>
      <c r="O235" s="96">
        <v>-2534.2800000000002</v>
      </c>
      <c r="P235" s="52" t="s">
        <v>1200</v>
      </c>
      <c r="Q235" s="52" t="s">
        <v>1198</v>
      </c>
      <c r="R235" s="55" t="s">
        <v>64</v>
      </c>
      <c r="S235" s="52" t="s">
        <v>246</v>
      </c>
    </row>
    <row r="236" spans="1:19" outlineLevel="2" x14ac:dyDescent="0.45">
      <c r="A236" t="s">
        <v>17</v>
      </c>
      <c r="B236" s="52" t="s">
        <v>57</v>
      </c>
      <c r="C236" s="52" t="s">
        <v>371</v>
      </c>
      <c r="D236" s="52" t="s">
        <v>372</v>
      </c>
      <c r="E236" s="52" t="s">
        <v>387</v>
      </c>
      <c r="F236" s="52" t="s">
        <v>1201</v>
      </c>
      <c r="G236" s="52" t="s">
        <v>60</v>
      </c>
      <c r="H236" s="54">
        <v>46054</v>
      </c>
      <c r="I236" s="52" t="s">
        <v>231</v>
      </c>
      <c r="J236" s="52" t="s">
        <v>1202</v>
      </c>
      <c r="K236" s="52" t="s">
        <v>1203</v>
      </c>
      <c r="L236" s="52" t="s">
        <v>1203</v>
      </c>
      <c r="M236" s="52" t="s">
        <v>29</v>
      </c>
      <c r="N236" s="53">
        <v>-2500</v>
      </c>
      <c r="O236" s="96">
        <v>-2500</v>
      </c>
      <c r="P236" s="52" t="s">
        <v>1204</v>
      </c>
      <c r="Q236" s="52" t="s">
        <v>1205</v>
      </c>
      <c r="R236" s="55" t="s">
        <v>64</v>
      </c>
      <c r="S236" s="52" t="s">
        <v>1202</v>
      </c>
    </row>
    <row r="237" spans="1:19" outlineLevel="2" x14ac:dyDescent="0.45">
      <c r="A237" t="s">
        <v>17</v>
      </c>
      <c r="B237" s="52" t="s">
        <v>57</v>
      </c>
      <c r="C237" s="52" t="s">
        <v>785</v>
      </c>
      <c r="D237" s="52" t="s">
        <v>786</v>
      </c>
      <c r="E237" s="52" t="s">
        <v>387</v>
      </c>
      <c r="F237" s="52" t="s">
        <v>1206</v>
      </c>
      <c r="G237" s="52" t="s">
        <v>60</v>
      </c>
      <c r="H237" s="54">
        <v>46054</v>
      </c>
      <c r="I237" s="52" t="s">
        <v>231</v>
      </c>
      <c r="J237" s="52" t="s">
        <v>241</v>
      </c>
      <c r="K237" s="52" t="s">
        <v>1207</v>
      </c>
      <c r="L237" s="52" t="s">
        <v>1207</v>
      </c>
      <c r="M237" s="52" t="s">
        <v>29</v>
      </c>
      <c r="N237" s="53">
        <v>-2232.56</v>
      </c>
      <c r="O237" s="96">
        <v>-2232.56</v>
      </c>
      <c r="P237" s="52" t="s">
        <v>1208</v>
      </c>
      <c r="Q237" s="52" t="s">
        <v>1209</v>
      </c>
      <c r="R237" s="55" t="s">
        <v>64</v>
      </c>
      <c r="S237" s="52" t="s">
        <v>241</v>
      </c>
    </row>
    <row r="238" spans="1:19" hidden="1" outlineLevel="2" x14ac:dyDescent="0.45">
      <c r="A238" t="s">
        <v>17</v>
      </c>
      <c r="B238" s="52" t="s">
        <v>57</v>
      </c>
      <c r="C238" s="52" t="s">
        <v>376</v>
      </c>
      <c r="D238" s="52" t="s">
        <v>377</v>
      </c>
      <c r="E238" s="52" t="s">
        <v>387</v>
      </c>
      <c r="F238" s="52" t="s">
        <v>1210</v>
      </c>
      <c r="G238" s="52" t="s">
        <v>60</v>
      </c>
      <c r="H238" s="54">
        <v>46054</v>
      </c>
      <c r="I238" s="52" t="s">
        <v>231</v>
      </c>
      <c r="J238" s="52" t="s">
        <v>241</v>
      </c>
      <c r="K238" s="52" t="s">
        <v>1083</v>
      </c>
      <c r="L238" s="52" t="s">
        <v>1083</v>
      </c>
      <c r="M238" s="52" t="s">
        <v>29</v>
      </c>
      <c r="N238" s="53">
        <v>-2215.75</v>
      </c>
      <c r="O238" s="97">
        <v>-2215.75</v>
      </c>
      <c r="P238" s="52" t="s">
        <v>1084</v>
      </c>
      <c r="Q238" s="52" t="s">
        <v>1085</v>
      </c>
      <c r="R238" s="55" t="s">
        <v>64</v>
      </c>
      <c r="S238" s="52" t="s">
        <v>241</v>
      </c>
    </row>
    <row r="239" spans="1:19" outlineLevel="2" x14ac:dyDescent="0.45">
      <c r="A239" t="s">
        <v>17</v>
      </c>
      <c r="B239" s="52" t="s">
        <v>57</v>
      </c>
      <c r="C239" s="52" t="s">
        <v>663</v>
      </c>
      <c r="D239" s="52" t="s">
        <v>664</v>
      </c>
      <c r="E239" s="52" t="s">
        <v>387</v>
      </c>
      <c r="F239" s="52" t="s">
        <v>1211</v>
      </c>
      <c r="G239" s="52" t="s">
        <v>60</v>
      </c>
      <c r="H239" s="54">
        <v>46054</v>
      </c>
      <c r="I239" s="52" t="s">
        <v>231</v>
      </c>
      <c r="J239" s="52" t="s">
        <v>1057</v>
      </c>
      <c r="K239" s="52" t="s">
        <v>666</v>
      </c>
      <c r="L239" s="52" t="s">
        <v>666</v>
      </c>
      <c r="M239" s="52" t="s">
        <v>29</v>
      </c>
      <c r="N239" s="53">
        <v>-2146</v>
      </c>
      <c r="O239" s="96">
        <v>-2146</v>
      </c>
      <c r="P239" s="52" t="s">
        <v>667</v>
      </c>
      <c r="Q239" s="52" t="s">
        <v>946</v>
      </c>
      <c r="R239" s="55" t="s">
        <v>64</v>
      </c>
      <c r="S239" s="52" t="s">
        <v>1057</v>
      </c>
    </row>
    <row r="240" spans="1:19" outlineLevel="2" x14ac:dyDescent="0.45">
      <c r="A240" t="s">
        <v>17</v>
      </c>
      <c r="B240" s="52" t="s">
        <v>57</v>
      </c>
      <c r="C240" s="52" t="s">
        <v>758</v>
      </c>
      <c r="D240" s="52" t="s">
        <v>759</v>
      </c>
      <c r="E240" s="52" t="s">
        <v>387</v>
      </c>
      <c r="F240" s="52" t="s">
        <v>1212</v>
      </c>
      <c r="G240" s="52" t="s">
        <v>60</v>
      </c>
      <c r="H240" s="54">
        <v>46054</v>
      </c>
      <c r="I240" s="52" t="s">
        <v>231</v>
      </c>
      <c r="J240" s="52" t="s">
        <v>1018</v>
      </c>
      <c r="K240" s="52" t="s">
        <v>1213</v>
      </c>
      <c r="L240" s="52" t="s">
        <v>1213</v>
      </c>
      <c r="M240" s="52" t="s">
        <v>29</v>
      </c>
      <c r="N240" s="53">
        <v>-2100.9</v>
      </c>
      <c r="O240" s="96">
        <v>-2100.9</v>
      </c>
      <c r="P240" s="52" t="s">
        <v>1214</v>
      </c>
      <c r="Q240" s="52" t="s">
        <v>1175</v>
      </c>
      <c r="R240" s="55" t="s">
        <v>64</v>
      </c>
      <c r="S240" s="52" t="s">
        <v>1018</v>
      </c>
    </row>
    <row r="241" spans="1:19" outlineLevel="2" x14ac:dyDescent="0.45">
      <c r="A241" t="s">
        <v>17</v>
      </c>
      <c r="B241" s="52" t="s">
        <v>57</v>
      </c>
      <c r="C241" s="52" t="s">
        <v>630</v>
      </c>
      <c r="D241" s="52" t="s">
        <v>631</v>
      </c>
      <c r="E241" s="52" t="s">
        <v>387</v>
      </c>
      <c r="F241" s="52" t="s">
        <v>1215</v>
      </c>
      <c r="G241" s="52" t="s">
        <v>60</v>
      </c>
      <c r="H241" s="54">
        <v>46054</v>
      </c>
      <c r="I241" s="52" t="s">
        <v>231</v>
      </c>
      <c r="J241" s="52" t="s">
        <v>250</v>
      </c>
      <c r="K241" s="52" t="s">
        <v>1216</v>
      </c>
      <c r="L241" s="52" t="s">
        <v>1216</v>
      </c>
      <c r="M241" s="52" t="s">
        <v>29</v>
      </c>
      <c r="N241" s="53">
        <v>-2065</v>
      </c>
      <c r="O241" s="100">
        <v>-2065</v>
      </c>
      <c r="P241" s="52" t="s">
        <v>1217</v>
      </c>
      <c r="Q241" s="52" t="s">
        <v>1218</v>
      </c>
      <c r="R241" s="55" t="s">
        <v>64</v>
      </c>
      <c r="S241" s="52" t="s">
        <v>250</v>
      </c>
    </row>
    <row r="242" spans="1:19" outlineLevel="2" x14ac:dyDescent="0.45">
      <c r="A242" t="s">
        <v>17</v>
      </c>
      <c r="B242" s="52" t="s">
        <v>57</v>
      </c>
      <c r="C242" s="52" t="s">
        <v>630</v>
      </c>
      <c r="D242" s="52" t="s">
        <v>631</v>
      </c>
      <c r="E242" s="52" t="s">
        <v>387</v>
      </c>
      <c r="F242" s="52" t="s">
        <v>1219</v>
      </c>
      <c r="G242" s="52" t="s">
        <v>60</v>
      </c>
      <c r="H242" s="54">
        <v>46054</v>
      </c>
      <c r="I242" s="52" t="s">
        <v>231</v>
      </c>
      <c r="J242" s="52" t="s">
        <v>241</v>
      </c>
      <c r="K242" s="52" t="s">
        <v>1220</v>
      </c>
      <c r="L242" s="52" t="s">
        <v>1220</v>
      </c>
      <c r="M242" s="52" t="s">
        <v>29</v>
      </c>
      <c r="N242" s="53">
        <v>-2000</v>
      </c>
      <c r="O242" s="100">
        <v>-2000</v>
      </c>
      <c r="P242" s="52" t="s">
        <v>1221</v>
      </c>
      <c r="Q242" s="52" t="s">
        <v>1116</v>
      </c>
      <c r="R242" s="55" t="s">
        <v>64</v>
      </c>
      <c r="S242" s="52" t="s">
        <v>241</v>
      </c>
    </row>
    <row r="243" spans="1:19" outlineLevel="2" x14ac:dyDescent="0.45">
      <c r="A243" t="s">
        <v>17</v>
      </c>
      <c r="B243" s="52" t="s">
        <v>57</v>
      </c>
      <c r="C243" s="52" t="s">
        <v>811</v>
      </c>
      <c r="D243" s="52" t="s">
        <v>812</v>
      </c>
      <c r="E243" s="52" t="s">
        <v>387</v>
      </c>
      <c r="F243" s="52" t="s">
        <v>1222</v>
      </c>
      <c r="G243" s="52" t="s">
        <v>60</v>
      </c>
      <c r="H243" s="54">
        <v>46054</v>
      </c>
      <c r="I243" s="52" t="s">
        <v>231</v>
      </c>
      <c r="J243" s="52" t="s">
        <v>246</v>
      </c>
      <c r="K243" s="52" t="s">
        <v>1223</v>
      </c>
      <c r="L243" s="52" t="s">
        <v>1223</v>
      </c>
      <c r="M243" s="52" t="s">
        <v>29</v>
      </c>
      <c r="N243" s="53">
        <v>-1987.2</v>
      </c>
      <c r="O243" s="96">
        <v>-1987.2</v>
      </c>
      <c r="P243" s="52" t="s">
        <v>1224</v>
      </c>
      <c r="Q243" s="52" t="s">
        <v>1225</v>
      </c>
      <c r="R243" s="55" t="s">
        <v>64</v>
      </c>
      <c r="S243" s="52" t="s">
        <v>246</v>
      </c>
    </row>
    <row r="244" spans="1:19" outlineLevel="2" x14ac:dyDescent="0.45">
      <c r="A244" t="s">
        <v>17</v>
      </c>
      <c r="B244" s="52" t="s">
        <v>57</v>
      </c>
      <c r="C244" s="52" t="s">
        <v>774</v>
      </c>
      <c r="D244" s="52" t="s">
        <v>775</v>
      </c>
      <c r="E244" s="52" t="s">
        <v>387</v>
      </c>
      <c r="F244" s="52" t="s">
        <v>1226</v>
      </c>
      <c r="G244" s="52" t="s">
        <v>60</v>
      </c>
      <c r="H244" s="54">
        <v>46054</v>
      </c>
      <c r="I244" s="52" t="s">
        <v>231</v>
      </c>
      <c r="J244" s="52" t="s">
        <v>1018</v>
      </c>
      <c r="K244" s="52" t="s">
        <v>777</v>
      </c>
      <c r="L244" s="52" t="s">
        <v>777</v>
      </c>
      <c r="M244" s="52" t="s">
        <v>29</v>
      </c>
      <c r="N244" s="53">
        <v>-1938.71</v>
      </c>
      <c r="O244" s="96">
        <v>-1938.71</v>
      </c>
      <c r="P244" s="52" t="s">
        <v>778</v>
      </c>
      <c r="Q244" s="52" t="s">
        <v>1227</v>
      </c>
      <c r="R244" s="55" t="s">
        <v>64</v>
      </c>
      <c r="S244" s="52" t="s">
        <v>1018</v>
      </c>
    </row>
    <row r="245" spans="1:19" outlineLevel="2" x14ac:dyDescent="0.45">
      <c r="A245" t="s">
        <v>17</v>
      </c>
      <c r="B245" s="52" t="s">
        <v>57</v>
      </c>
      <c r="C245" s="52" t="s">
        <v>1228</v>
      </c>
      <c r="D245" s="52" t="s">
        <v>1229</v>
      </c>
      <c r="E245" s="52" t="s">
        <v>387</v>
      </c>
      <c r="F245" s="52" t="s">
        <v>1230</v>
      </c>
      <c r="G245" s="52" t="s">
        <v>60</v>
      </c>
      <c r="H245" s="54">
        <v>46054</v>
      </c>
      <c r="I245" s="52" t="s">
        <v>231</v>
      </c>
      <c r="J245" s="52" t="s">
        <v>451</v>
      </c>
      <c r="K245" s="52" t="s">
        <v>1231</v>
      </c>
      <c r="L245" s="52" t="s">
        <v>1231</v>
      </c>
      <c r="M245" s="52" t="s">
        <v>29</v>
      </c>
      <c r="N245" s="53">
        <v>-1826.8</v>
      </c>
      <c r="O245" s="96">
        <v>-1826.8</v>
      </c>
      <c r="P245" s="52" t="s">
        <v>1232</v>
      </c>
      <c r="Q245" s="52" t="s">
        <v>1233</v>
      </c>
      <c r="R245" s="55" t="s">
        <v>64</v>
      </c>
      <c r="S245" s="52" t="s">
        <v>451</v>
      </c>
    </row>
    <row r="246" spans="1:19" outlineLevel="2" x14ac:dyDescent="0.45">
      <c r="A246" t="s">
        <v>17</v>
      </c>
      <c r="B246" s="52" t="s">
        <v>57</v>
      </c>
      <c r="C246" s="52" t="s">
        <v>829</v>
      </c>
      <c r="D246" s="52" t="s">
        <v>830</v>
      </c>
      <c r="E246" s="52" t="s">
        <v>387</v>
      </c>
      <c r="F246" s="52" t="s">
        <v>1234</v>
      </c>
      <c r="G246" s="52" t="s">
        <v>60</v>
      </c>
      <c r="H246" s="54">
        <v>46054</v>
      </c>
      <c r="I246" s="52" t="s">
        <v>231</v>
      </c>
      <c r="J246" s="52" t="s">
        <v>1120</v>
      </c>
      <c r="K246" s="52" t="s">
        <v>1235</v>
      </c>
      <c r="L246" s="52" t="s">
        <v>1236</v>
      </c>
      <c r="M246" s="52" t="s">
        <v>29</v>
      </c>
      <c r="N246" s="53">
        <v>-1808.4</v>
      </c>
      <c r="O246" s="96">
        <v>-1808.4</v>
      </c>
      <c r="P246" s="52" t="s">
        <v>834</v>
      </c>
      <c r="Q246" s="52" t="s">
        <v>1237</v>
      </c>
      <c r="R246" s="55" t="s">
        <v>64</v>
      </c>
      <c r="S246" s="52" t="s">
        <v>1120</v>
      </c>
    </row>
    <row r="247" spans="1:19" outlineLevel="2" x14ac:dyDescent="0.45">
      <c r="A247" t="s">
        <v>17</v>
      </c>
      <c r="B247" s="52" t="s">
        <v>57</v>
      </c>
      <c r="C247" s="52" t="s">
        <v>656</v>
      </c>
      <c r="D247" s="52" t="s">
        <v>657</v>
      </c>
      <c r="E247" s="52" t="s">
        <v>387</v>
      </c>
      <c r="F247" s="52" t="s">
        <v>1238</v>
      </c>
      <c r="G247" s="52" t="s">
        <v>60</v>
      </c>
      <c r="H247" s="54">
        <v>46054</v>
      </c>
      <c r="I247" s="52" t="s">
        <v>231</v>
      </c>
      <c r="J247" s="52" t="s">
        <v>1095</v>
      </c>
      <c r="K247" s="52" t="s">
        <v>1239</v>
      </c>
      <c r="L247" s="52" t="s">
        <v>1239</v>
      </c>
      <c r="M247" s="52" t="s">
        <v>29</v>
      </c>
      <c r="N247" s="53">
        <v>-1680.37</v>
      </c>
      <c r="O247" s="96">
        <v>-1680.37</v>
      </c>
      <c r="P247" s="52" t="s">
        <v>1240</v>
      </c>
      <c r="Q247" s="52" t="s">
        <v>1098</v>
      </c>
      <c r="R247" s="55" t="s">
        <v>64</v>
      </c>
      <c r="S247" s="52" t="s">
        <v>1095</v>
      </c>
    </row>
    <row r="248" spans="1:19" outlineLevel="2" x14ac:dyDescent="0.45">
      <c r="A248" t="s">
        <v>17</v>
      </c>
      <c r="B248" s="52" t="s">
        <v>57</v>
      </c>
      <c r="C248" s="52" t="s">
        <v>805</v>
      </c>
      <c r="D248" s="52" t="s">
        <v>806</v>
      </c>
      <c r="E248" s="52" t="s">
        <v>387</v>
      </c>
      <c r="F248" s="52" t="s">
        <v>1241</v>
      </c>
      <c r="G248" s="52" t="s">
        <v>60</v>
      </c>
      <c r="H248" s="54">
        <v>46054</v>
      </c>
      <c r="I248" s="52" t="s">
        <v>231</v>
      </c>
      <c r="J248" s="52" t="s">
        <v>1018</v>
      </c>
      <c r="K248" s="52" t="s">
        <v>1242</v>
      </c>
      <c r="L248" s="52" t="s">
        <v>1242</v>
      </c>
      <c r="M248" s="52" t="s">
        <v>29</v>
      </c>
      <c r="N248" s="53">
        <v>-1652</v>
      </c>
      <c r="O248" s="96">
        <v>-1652</v>
      </c>
      <c r="P248" s="52" t="s">
        <v>1243</v>
      </c>
      <c r="Q248" s="52" t="s">
        <v>1244</v>
      </c>
      <c r="R248" s="55" t="s">
        <v>64</v>
      </c>
      <c r="S248" s="52" t="s">
        <v>1018</v>
      </c>
    </row>
    <row r="249" spans="1:19" outlineLevel="2" x14ac:dyDescent="0.45">
      <c r="A249" t="s">
        <v>17</v>
      </c>
      <c r="B249" s="52" t="s">
        <v>57</v>
      </c>
      <c r="C249" s="52" t="s">
        <v>1245</v>
      </c>
      <c r="D249" s="52" t="s">
        <v>1246</v>
      </c>
      <c r="E249" s="52" t="s">
        <v>387</v>
      </c>
      <c r="F249" s="52" t="s">
        <v>1247</v>
      </c>
      <c r="G249" s="52" t="s">
        <v>60</v>
      </c>
      <c r="H249" s="54">
        <v>46054</v>
      </c>
      <c r="I249" s="52" t="s">
        <v>231</v>
      </c>
      <c r="J249" s="52" t="s">
        <v>1010</v>
      </c>
      <c r="K249" s="52" t="s">
        <v>1248</v>
      </c>
      <c r="L249" s="52" t="s">
        <v>1248</v>
      </c>
      <c r="M249" s="52" t="s">
        <v>29</v>
      </c>
      <c r="N249" s="53">
        <v>-1500</v>
      </c>
      <c r="O249" s="96">
        <v>-1500</v>
      </c>
      <c r="P249" s="52" t="s">
        <v>1249</v>
      </c>
      <c r="Q249" s="52" t="s">
        <v>1250</v>
      </c>
      <c r="R249" s="55" t="s">
        <v>64</v>
      </c>
      <c r="S249" s="52" t="s">
        <v>1010</v>
      </c>
    </row>
    <row r="250" spans="1:19" outlineLevel="2" x14ac:dyDescent="0.45">
      <c r="A250" t="s">
        <v>17</v>
      </c>
      <c r="B250" s="52" t="s">
        <v>57</v>
      </c>
      <c r="C250" s="52" t="s">
        <v>630</v>
      </c>
      <c r="D250" s="52" t="s">
        <v>631</v>
      </c>
      <c r="E250" s="52" t="s">
        <v>387</v>
      </c>
      <c r="F250" s="52" t="s">
        <v>1251</v>
      </c>
      <c r="G250" s="52" t="s">
        <v>60</v>
      </c>
      <c r="H250" s="54">
        <v>46054</v>
      </c>
      <c r="I250" s="52" t="s">
        <v>231</v>
      </c>
      <c r="J250" s="52" t="s">
        <v>312</v>
      </c>
      <c r="K250" s="52" t="s">
        <v>1252</v>
      </c>
      <c r="L250" s="52" t="s">
        <v>1252</v>
      </c>
      <c r="M250" s="52" t="s">
        <v>29</v>
      </c>
      <c r="N250" s="53">
        <v>-1499</v>
      </c>
      <c r="O250" s="100">
        <v>-1499</v>
      </c>
      <c r="P250" s="52" t="s">
        <v>1253</v>
      </c>
      <c r="Q250" s="52" t="s">
        <v>1254</v>
      </c>
      <c r="R250" s="55" t="s">
        <v>64</v>
      </c>
      <c r="S250" s="52" t="s">
        <v>312</v>
      </c>
    </row>
    <row r="251" spans="1:19" outlineLevel="2" x14ac:dyDescent="0.45">
      <c r="A251" t="s">
        <v>17</v>
      </c>
      <c r="B251" s="52" t="s">
        <v>57</v>
      </c>
      <c r="C251" s="52" t="s">
        <v>682</v>
      </c>
      <c r="D251" s="52" t="s">
        <v>683</v>
      </c>
      <c r="E251" s="52" t="s">
        <v>387</v>
      </c>
      <c r="F251" s="52" t="s">
        <v>1255</v>
      </c>
      <c r="G251" s="52" t="s">
        <v>60</v>
      </c>
      <c r="H251" s="54">
        <v>46054</v>
      </c>
      <c r="I251" s="52" t="s">
        <v>231</v>
      </c>
      <c r="J251" s="52" t="s">
        <v>1057</v>
      </c>
      <c r="K251" s="52" t="s">
        <v>1256</v>
      </c>
      <c r="L251" s="52" t="s">
        <v>1256</v>
      </c>
      <c r="M251" s="52" t="s">
        <v>29</v>
      </c>
      <c r="N251" s="53">
        <v>-1439</v>
      </c>
      <c r="O251" s="96">
        <v>-1439</v>
      </c>
      <c r="P251" s="52" t="s">
        <v>1257</v>
      </c>
      <c r="Q251" s="52" t="s">
        <v>946</v>
      </c>
      <c r="R251" s="55" t="s">
        <v>64</v>
      </c>
      <c r="S251" s="52" t="s">
        <v>1057</v>
      </c>
    </row>
    <row r="252" spans="1:19" outlineLevel="2" x14ac:dyDescent="0.45">
      <c r="A252" t="s">
        <v>17</v>
      </c>
      <c r="B252" s="52" t="s">
        <v>57</v>
      </c>
      <c r="C252" s="52" t="s">
        <v>870</v>
      </c>
      <c r="D252" s="52" t="s">
        <v>871</v>
      </c>
      <c r="E252" s="52" t="s">
        <v>387</v>
      </c>
      <c r="F252" s="52" t="s">
        <v>1258</v>
      </c>
      <c r="G252" s="52" t="s">
        <v>60</v>
      </c>
      <c r="H252" s="54">
        <v>46054</v>
      </c>
      <c r="I252" s="52" t="s">
        <v>231</v>
      </c>
      <c r="J252" s="52" t="s">
        <v>241</v>
      </c>
      <c r="K252" s="52"/>
      <c r="L252" s="52"/>
      <c r="M252" s="52" t="s">
        <v>29</v>
      </c>
      <c r="N252" s="53">
        <v>-1314.5</v>
      </c>
      <c r="O252" s="96">
        <v>-1314.5</v>
      </c>
      <c r="P252" s="52" t="s">
        <v>1259</v>
      </c>
      <c r="Q252" s="52" t="s">
        <v>1259</v>
      </c>
      <c r="R252" s="55" t="s">
        <v>64</v>
      </c>
      <c r="S252" s="52" t="s">
        <v>241</v>
      </c>
    </row>
    <row r="253" spans="1:19" outlineLevel="2" x14ac:dyDescent="0.45">
      <c r="A253" t="s">
        <v>17</v>
      </c>
      <c r="B253" s="52" t="s">
        <v>57</v>
      </c>
      <c r="C253" s="52" t="s">
        <v>838</v>
      </c>
      <c r="D253" s="52" t="s">
        <v>839</v>
      </c>
      <c r="E253" s="52" t="s">
        <v>387</v>
      </c>
      <c r="F253" s="52" t="s">
        <v>1260</v>
      </c>
      <c r="G253" s="52" t="s">
        <v>60</v>
      </c>
      <c r="H253" s="54">
        <v>46054</v>
      </c>
      <c r="I253" s="52" t="s">
        <v>231</v>
      </c>
      <c r="J253" s="52" t="s">
        <v>1018</v>
      </c>
      <c r="K253" s="52" t="s">
        <v>1261</v>
      </c>
      <c r="L253" s="52" t="s">
        <v>1261</v>
      </c>
      <c r="M253" s="52" t="s">
        <v>29</v>
      </c>
      <c r="N253" s="53">
        <v>-1185.0899999999999</v>
      </c>
      <c r="O253" s="96">
        <v>-1185.0899999999999</v>
      </c>
      <c r="P253" s="52" t="s">
        <v>1262</v>
      </c>
      <c r="Q253" s="52" t="s">
        <v>1175</v>
      </c>
      <c r="R253" s="55" t="s">
        <v>64</v>
      </c>
      <c r="S253" s="52" t="s">
        <v>1018</v>
      </c>
    </row>
    <row r="254" spans="1:19" outlineLevel="2" x14ac:dyDescent="0.45">
      <c r="A254" t="s">
        <v>17</v>
      </c>
      <c r="B254" s="52" t="s">
        <v>57</v>
      </c>
      <c r="C254" s="52" t="s">
        <v>630</v>
      </c>
      <c r="D254" s="52" t="s">
        <v>631</v>
      </c>
      <c r="E254" s="52" t="s">
        <v>387</v>
      </c>
      <c r="F254" s="52" t="s">
        <v>1263</v>
      </c>
      <c r="G254" s="52" t="s">
        <v>60</v>
      </c>
      <c r="H254" s="54">
        <v>46054</v>
      </c>
      <c r="I254" s="52" t="s">
        <v>231</v>
      </c>
      <c r="J254" s="52" t="s">
        <v>1010</v>
      </c>
      <c r="K254" s="52" t="s">
        <v>1264</v>
      </c>
      <c r="L254" s="52" t="s">
        <v>1264</v>
      </c>
      <c r="M254" s="52" t="s">
        <v>29</v>
      </c>
      <c r="N254" s="53">
        <v>-939.5</v>
      </c>
      <c r="O254" s="100">
        <v>-939.5</v>
      </c>
      <c r="P254" s="52" t="s">
        <v>1265</v>
      </c>
      <c r="Q254" s="52" t="s">
        <v>1192</v>
      </c>
      <c r="R254" s="55" t="s">
        <v>64</v>
      </c>
      <c r="S254" s="52" t="s">
        <v>1010</v>
      </c>
    </row>
    <row r="255" spans="1:19" outlineLevel="2" x14ac:dyDescent="0.45">
      <c r="A255" t="s">
        <v>17</v>
      </c>
      <c r="B255" s="52" t="s">
        <v>57</v>
      </c>
      <c r="C255" s="52" t="s">
        <v>1266</v>
      </c>
      <c r="D255" s="52" t="s">
        <v>1267</v>
      </c>
      <c r="E255" s="52" t="s">
        <v>387</v>
      </c>
      <c r="F255" s="52" t="s">
        <v>1268</v>
      </c>
      <c r="G255" s="52" t="s">
        <v>60</v>
      </c>
      <c r="H255" s="54">
        <v>46054</v>
      </c>
      <c r="I255" s="52" t="s">
        <v>231</v>
      </c>
      <c r="J255" s="52" t="s">
        <v>1018</v>
      </c>
      <c r="K255" s="52" t="s">
        <v>1269</v>
      </c>
      <c r="L255" s="52" t="s">
        <v>1269</v>
      </c>
      <c r="M255" s="52" t="s">
        <v>29</v>
      </c>
      <c r="N255" s="53">
        <v>-853.62</v>
      </c>
      <c r="O255" s="96">
        <v>-853.62</v>
      </c>
      <c r="P255" s="52" t="s">
        <v>1270</v>
      </c>
      <c r="Q255" s="52" t="s">
        <v>1175</v>
      </c>
      <c r="R255" s="55" t="s">
        <v>64</v>
      </c>
      <c r="S255" s="52" t="s">
        <v>1018</v>
      </c>
    </row>
    <row r="256" spans="1:19" outlineLevel="2" x14ac:dyDescent="0.45">
      <c r="A256" t="s">
        <v>17</v>
      </c>
      <c r="B256" s="52" t="s">
        <v>57</v>
      </c>
      <c r="C256" s="52" t="s">
        <v>1266</v>
      </c>
      <c r="D256" s="52" t="s">
        <v>1267</v>
      </c>
      <c r="E256" s="52" t="s">
        <v>387</v>
      </c>
      <c r="F256" s="52" t="s">
        <v>1271</v>
      </c>
      <c r="G256" s="52" t="s">
        <v>60</v>
      </c>
      <c r="H256" s="54">
        <v>46054</v>
      </c>
      <c r="I256" s="52" t="s">
        <v>231</v>
      </c>
      <c r="J256" s="52" t="s">
        <v>241</v>
      </c>
      <c r="K256" s="52" t="s">
        <v>1272</v>
      </c>
      <c r="L256" s="52" t="s">
        <v>1272</v>
      </c>
      <c r="M256" s="52" t="s">
        <v>29</v>
      </c>
      <c r="N256" s="53">
        <v>-853.62</v>
      </c>
      <c r="O256" s="96">
        <v>-853.62</v>
      </c>
      <c r="P256" s="52" t="s">
        <v>1273</v>
      </c>
      <c r="Q256" s="52" t="s">
        <v>1274</v>
      </c>
      <c r="R256" s="55" t="s">
        <v>64</v>
      </c>
      <c r="S256" s="52" t="s">
        <v>241</v>
      </c>
    </row>
    <row r="257" spans="1:19" outlineLevel="2" x14ac:dyDescent="0.45">
      <c r="A257" t="s">
        <v>17</v>
      </c>
      <c r="B257" s="52" t="s">
        <v>57</v>
      </c>
      <c r="C257" s="52" t="s">
        <v>718</v>
      </c>
      <c r="D257" s="52" t="s">
        <v>719</v>
      </c>
      <c r="E257" s="52" t="s">
        <v>387</v>
      </c>
      <c r="F257" s="52" t="s">
        <v>1275</v>
      </c>
      <c r="G257" s="52" t="s">
        <v>60</v>
      </c>
      <c r="H257" s="54">
        <v>46054</v>
      </c>
      <c r="I257" s="52" t="s">
        <v>231</v>
      </c>
      <c r="J257" s="52" t="s">
        <v>1057</v>
      </c>
      <c r="K257" s="52" t="s">
        <v>1137</v>
      </c>
      <c r="L257" s="52" t="s">
        <v>1137</v>
      </c>
      <c r="M257" s="52" t="s">
        <v>29</v>
      </c>
      <c r="N257" s="53">
        <v>-833</v>
      </c>
      <c r="O257" s="96">
        <v>-833</v>
      </c>
      <c r="P257" s="52" t="s">
        <v>1138</v>
      </c>
      <c r="Q257" s="52" t="s">
        <v>946</v>
      </c>
      <c r="R257" s="55" t="s">
        <v>64</v>
      </c>
      <c r="S257" s="52" t="s">
        <v>1057</v>
      </c>
    </row>
    <row r="258" spans="1:19" outlineLevel="2" x14ac:dyDescent="0.45">
      <c r="A258" t="s">
        <v>17</v>
      </c>
      <c r="B258" s="52" t="s">
        <v>57</v>
      </c>
      <c r="C258" s="52"/>
      <c r="D258" s="52" t="s">
        <v>1276</v>
      </c>
      <c r="E258" s="52" t="s">
        <v>387</v>
      </c>
      <c r="F258" s="52" t="s">
        <v>1226</v>
      </c>
      <c r="G258" s="52" t="s">
        <v>60</v>
      </c>
      <c r="H258" s="54">
        <v>46054</v>
      </c>
      <c r="I258" s="52" t="s">
        <v>231</v>
      </c>
      <c r="J258" s="52" t="s">
        <v>1018</v>
      </c>
      <c r="K258" s="52"/>
      <c r="L258" s="52"/>
      <c r="M258" s="52" t="s">
        <v>29</v>
      </c>
      <c r="N258" s="53">
        <v>-793.76</v>
      </c>
      <c r="O258" s="96">
        <v>-793.76</v>
      </c>
      <c r="P258" s="52" t="s">
        <v>1227</v>
      </c>
      <c r="Q258" s="52" t="s">
        <v>1227</v>
      </c>
      <c r="R258" s="55" t="s">
        <v>64</v>
      </c>
      <c r="S258" s="52" t="s">
        <v>1018</v>
      </c>
    </row>
    <row r="259" spans="1:19" outlineLevel="2" x14ac:dyDescent="0.45">
      <c r="A259" t="s">
        <v>17</v>
      </c>
      <c r="B259" s="52" t="s">
        <v>57</v>
      </c>
      <c r="C259" s="52" t="s">
        <v>876</v>
      </c>
      <c r="D259" s="52" t="s">
        <v>877</v>
      </c>
      <c r="E259" s="52" t="s">
        <v>387</v>
      </c>
      <c r="F259" s="52" t="s">
        <v>1277</v>
      </c>
      <c r="G259" s="52" t="s">
        <v>60</v>
      </c>
      <c r="H259" s="54">
        <v>46054</v>
      </c>
      <c r="I259" s="52" t="s">
        <v>231</v>
      </c>
      <c r="J259" s="52" t="s">
        <v>1018</v>
      </c>
      <c r="K259" s="52" t="s">
        <v>1278</v>
      </c>
      <c r="L259" s="52" t="s">
        <v>1278</v>
      </c>
      <c r="M259" s="52" t="s">
        <v>29</v>
      </c>
      <c r="N259" s="53">
        <v>-629.85</v>
      </c>
      <c r="O259" s="96">
        <v>-629.85</v>
      </c>
      <c r="P259" s="52" t="s">
        <v>1279</v>
      </c>
      <c r="Q259" s="52" t="s">
        <v>1175</v>
      </c>
      <c r="R259" s="55" t="s">
        <v>64</v>
      </c>
      <c r="S259" s="52" t="s">
        <v>1018</v>
      </c>
    </row>
    <row r="260" spans="1:19" outlineLevel="2" x14ac:dyDescent="0.45">
      <c r="A260" t="s">
        <v>17</v>
      </c>
      <c r="B260" s="52" t="s">
        <v>57</v>
      </c>
      <c r="C260" s="52" t="s">
        <v>876</v>
      </c>
      <c r="D260" s="52" t="s">
        <v>877</v>
      </c>
      <c r="E260" s="52" t="s">
        <v>387</v>
      </c>
      <c r="F260" s="52" t="s">
        <v>1280</v>
      </c>
      <c r="G260" s="52" t="s">
        <v>60</v>
      </c>
      <c r="H260" s="54">
        <v>46054</v>
      </c>
      <c r="I260" s="52" t="s">
        <v>231</v>
      </c>
      <c r="J260" s="52" t="s">
        <v>241</v>
      </c>
      <c r="K260" s="52" t="s">
        <v>1281</v>
      </c>
      <c r="L260" s="52" t="s">
        <v>1281</v>
      </c>
      <c r="M260" s="52" t="s">
        <v>29</v>
      </c>
      <c r="N260" s="53">
        <v>-629.85</v>
      </c>
      <c r="O260" s="96">
        <v>-629.85</v>
      </c>
      <c r="P260" s="52" t="s">
        <v>1282</v>
      </c>
      <c r="Q260" s="52" t="s">
        <v>1283</v>
      </c>
      <c r="R260" s="55" t="s">
        <v>64</v>
      </c>
      <c r="S260" s="52" t="s">
        <v>241</v>
      </c>
    </row>
    <row r="261" spans="1:19" outlineLevel="2" x14ac:dyDescent="0.45">
      <c r="A261" t="s">
        <v>17</v>
      </c>
      <c r="B261" s="52" t="s">
        <v>57</v>
      </c>
      <c r="C261" s="52" t="s">
        <v>850</v>
      </c>
      <c r="D261" s="52" t="s">
        <v>851</v>
      </c>
      <c r="E261" s="52" t="s">
        <v>387</v>
      </c>
      <c r="F261" s="52" t="s">
        <v>1284</v>
      </c>
      <c r="G261" s="52" t="s">
        <v>60</v>
      </c>
      <c r="H261" s="54">
        <v>46054</v>
      </c>
      <c r="I261" s="52" t="s">
        <v>231</v>
      </c>
      <c r="J261" s="52" t="s">
        <v>246</v>
      </c>
      <c r="K261" s="52" t="s">
        <v>1285</v>
      </c>
      <c r="L261" s="52" t="s">
        <v>1285</v>
      </c>
      <c r="M261" s="52" t="s">
        <v>29</v>
      </c>
      <c r="N261" s="53">
        <v>-600</v>
      </c>
      <c r="O261" s="96">
        <v>-600</v>
      </c>
      <c r="P261" s="52" t="s">
        <v>1286</v>
      </c>
      <c r="Q261" s="52" t="s">
        <v>1287</v>
      </c>
      <c r="R261" s="55" t="s">
        <v>64</v>
      </c>
      <c r="S261" s="52" t="s">
        <v>246</v>
      </c>
    </row>
    <row r="262" spans="1:19" outlineLevel="2" x14ac:dyDescent="0.45">
      <c r="A262" t="s">
        <v>17</v>
      </c>
      <c r="B262" s="52" t="s">
        <v>57</v>
      </c>
      <c r="C262" s="52" t="s">
        <v>870</v>
      </c>
      <c r="D262" s="52" t="s">
        <v>871</v>
      </c>
      <c r="E262" s="52" t="s">
        <v>387</v>
      </c>
      <c r="F262" s="52" t="s">
        <v>1258</v>
      </c>
      <c r="G262" s="52" t="s">
        <v>60</v>
      </c>
      <c r="H262" s="54">
        <v>46054</v>
      </c>
      <c r="I262" s="52" t="s">
        <v>231</v>
      </c>
      <c r="J262" s="52" t="s">
        <v>241</v>
      </c>
      <c r="K262" s="52"/>
      <c r="L262" s="52"/>
      <c r="M262" s="52" t="s">
        <v>29</v>
      </c>
      <c r="N262" s="53">
        <v>-600</v>
      </c>
      <c r="O262" s="96">
        <v>-600</v>
      </c>
      <c r="P262" s="52" t="s">
        <v>1259</v>
      </c>
      <c r="Q262" s="52" t="s">
        <v>1259</v>
      </c>
      <c r="R262" s="55" t="s">
        <v>64</v>
      </c>
      <c r="S262" s="52" t="s">
        <v>241</v>
      </c>
    </row>
    <row r="263" spans="1:19" outlineLevel="2" x14ac:dyDescent="0.45">
      <c r="A263" t="s">
        <v>17</v>
      </c>
      <c r="B263" s="52" t="s">
        <v>57</v>
      </c>
      <c r="C263" s="52" t="s">
        <v>1288</v>
      </c>
      <c r="D263" s="52" t="s">
        <v>1289</v>
      </c>
      <c r="E263" s="52" t="s">
        <v>387</v>
      </c>
      <c r="F263" s="52" t="s">
        <v>1290</v>
      </c>
      <c r="G263" s="52" t="s">
        <v>60</v>
      </c>
      <c r="H263" s="54">
        <v>46054</v>
      </c>
      <c r="I263" s="52" t="s">
        <v>231</v>
      </c>
      <c r="J263" s="52" t="s">
        <v>241</v>
      </c>
      <c r="K263" s="52" t="s">
        <v>1291</v>
      </c>
      <c r="L263" s="52" t="s">
        <v>1291</v>
      </c>
      <c r="M263" s="52" t="s">
        <v>29</v>
      </c>
      <c r="N263" s="53">
        <v>-551.57000000000005</v>
      </c>
      <c r="O263" s="96">
        <v>-551.57000000000005</v>
      </c>
      <c r="P263" s="52" t="s">
        <v>1292</v>
      </c>
      <c r="Q263" s="52" t="s">
        <v>1293</v>
      </c>
      <c r="R263" s="55" t="s">
        <v>64</v>
      </c>
      <c r="S263" s="52" t="s">
        <v>241</v>
      </c>
    </row>
    <row r="264" spans="1:19" outlineLevel="2" x14ac:dyDescent="0.45">
      <c r="A264" t="s">
        <v>17</v>
      </c>
      <c r="B264" s="52" t="s">
        <v>57</v>
      </c>
      <c r="C264" s="52" t="s">
        <v>1288</v>
      </c>
      <c r="D264" s="52" t="s">
        <v>1289</v>
      </c>
      <c r="E264" s="52" t="s">
        <v>387</v>
      </c>
      <c r="F264" s="52" t="s">
        <v>1294</v>
      </c>
      <c r="G264" s="52" t="s">
        <v>60</v>
      </c>
      <c r="H264" s="54">
        <v>46054</v>
      </c>
      <c r="I264" s="52" t="s">
        <v>231</v>
      </c>
      <c r="J264" s="52" t="s">
        <v>241</v>
      </c>
      <c r="K264" s="52" t="s">
        <v>1291</v>
      </c>
      <c r="L264" s="52" t="s">
        <v>1291</v>
      </c>
      <c r="M264" s="52" t="s">
        <v>29</v>
      </c>
      <c r="N264" s="53">
        <v>-551.57000000000005</v>
      </c>
      <c r="O264" s="96">
        <v>-551.57000000000005</v>
      </c>
      <c r="P264" s="52" t="s">
        <v>1292</v>
      </c>
      <c r="Q264" s="52" t="s">
        <v>1293</v>
      </c>
      <c r="R264" s="55" t="s">
        <v>64</v>
      </c>
      <c r="S264" s="52" t="s">
        <v>241</v>
      </c>
    </row>
    <row r="265" spans="1:19" hidden="1" outlineLevel="2" x14ac:dyDescent="0.45">
      <c r="A265" t="s">
        <v>17</v>
      </c>
      <c r="B265" s="52" t="s">
        <v>57</v>
      </c>
      <c r="C265" s="52" t="s">
        <v>376</v>
      </c>
      <c r="D265" s="52" t="s">
        <v>377</v>
      </c>
      <c r="E265" s="52" t="s">
        <v>387</v>
      </c>
      <c r="F265" s="52" t="s">
        <v>1295</v>
      </c>
      <c r="G265" s="52" t="s">
        <v>60</v>
      </c>
      <c r="H265" s="54">
        <v>46054</v>
      </c>
      <c r="I265" s="52" t="s">
        <v>231</v>
      </c>
      <c r="J265" s="52" t="s">
        <v>241</v>
      </c>
      <c r="K265" s="52" t="s">
        <v>1296</v>
      </c>
      <c r="L265" s="52" t="s">
        <v>1296</v>
      </c>
      <c r="M265" s="52" t="s">
        <v>29</v>
      </c>
      <c r="N265" s="53">
        <v>-514.72</v>
      </c>
      <c r="O265" s="97">
        <v>-514.72</v>
      </c>
      <c r="P265" s="52" t="s">
        <v>1297</v>
      </c>
      <c r="Q265" s="52" t="s">
        <v>1184</v>
      </c>
      <c r="R265" s="55" t="s">
        <v>64</v>
      </c>
      <c r="S265" s="52" t="s">
        <v>241</v>
      </c>
    </row>
    <row r="266" spans="1:19" hidden="1" outlineLevel="2" x14ac:dyDescent="0.45">
      <c r="A266" t="s">
        <v>17</v>
      </c>
      <c r="B266" s="52" t="s">
        <v>57</v>
      </c>
      <c r="C266" s="52" t="s">
        <v>376</v>
      </c>
      <c r="D266" s="52" t="s">
        <v>377</v>
      </c>
      <c r="E266" s="52" t="s">
        <v>387</v>
      </c>
      <c r="F266" s="52" t="s">
        <v>1298</v>
      </c>
      <c r="G266" s="52" t="s">
        <v>60</v>
      </c>
      <c r="H266" s="54">
        <v>46054</v>
      </c>
      <c r="I266" s="52" t="s">
        <v>231</v>
      </c>
      <c r="J266" s="52" t="s">
        <v>241</v>
      </c>
      <c r="K266" s="52" t="s">
        <v>1296</v>
      </c>
      <c r="L266" s="52" t="s">
        <v>1296</v>
      </c>
      <c r="M266" s="52" t="s">
        <v>29</v>
      </c>
      <c r="N266" s="53">
        <v>-514.72</v>
      </c>
      <c r="O266" s="97">
        <v>-514.72</v>
      </c>
      <c r="P266" s="52" t="s">
        <v>1297</v>
      </c>
      <c r="Q266" s="52" t="s">
        <v>1299</v>
      </c>
      <c r="R266" s="55" t="s">
        <v>64</v>
      </c>
      <c r="S266" s="52" t="s">
        <v>241</v>
      </c>
    </row>
    <row r="267" spans="1:19" outlineLevel="2" x14ac:dyDescent="0.45">
      <c r="A267" t="s">
        <v>17</v>
      </c>
      <c r="B267" s="52" t="s">
        <v>57</v>
      </c>
      <c r="C267" s="52" t="s">
        <v>785</v>
      </c>
      <c r="D267" s="52" t="s">
        <v>786</v>
      </c>
      <c r="E267" s="52" t="s">
        <v>387</v>
      </c>
      <c r="F267" s="52" t="s">
        <v>1300</v>
      </c>
      <c r="G267" s="52" t="s">
        <v>60</v>
      </c>
      <c r="H267" s="54">
        <v>46054</v>
      </c>
      <c r="I267" s="52" t="s">
        <v>231</v>
      </c>
      <c r="J267" s="52" t="s">
        <v>1057</v>
      </c>
      <c r="K267" s="52" t="s">
        <v>1301</v>
      </c>
      <c r="L267" s="52" t="s">
        <v>1301</v>
      </c>
      <c r="M267" s="52" t="s">
        <v>29</v>
      </c>
      <c r="N267" s="53">
        <v>-439</v>
      </c>
      <c r="O267" s="96">
        <v>-439</v>
      </c>
      <c r="P267" s="52" t="s">
        <v>1302</v>
      </c>
      <c r="Q267" s="52" t="s">
        <v>946</v>
      </c>
      <c r="R267" s="55" t="s">
        <v>64</v>
      </c>
      <c r="S267" s="52" t="s">
        <v>1057</v>
      </c>
    </row>
    <row r="268" spans="1:19" outlineLevel="2" x14ac:dyDescent="0.45">
      <c r="A268" t="s">
        <v>17</v>
      </c>
      <c r="B268" s="52" t="s">
        <v>57</v>
      </c>
      <c r="C268" s="52" t="s">
        <v>752</v>
      </c>
      <c r="D268" s="52" t="s">
        <v>753</v>
      </c>
      <c r="E268" s="52" t="s">
        <v>387</v>
      </c>
      <c r="F268" s="52" t="s">
        <v>1303</v>
      </c>
      <c r="G268" s="52" t="s">
        <v>60</v>
      </c>
      <c r="H268" s="54">
        <v>46054</v>
      </c>
      <c r="I268" s="52" t="s">
        <v>231</v>
      </c>
      <c r="J268" s="52" t="s">
        <v>1057</v>
      </c>
      <c r="K268" s="52" t="s">
        <v>755</v>
      </c>
      <c r="L268" s="52" t="s">
        <v>755</v>
      </c>
      <c r="M268" s="52" t="s">
        <v>29</v>
      </c>
      <c r="N268" s="53">
        <v>-425</v>
      </c>
      <c r="O268" s="96">
        <v>-425</v>
      </c>
      <c r="P268" s="52" t="s">
        <v>756</v>
      </c>
      <c r="Q268" s="52" t="s">
        <v>946</v>
      </c>
      <c r="R268" s="55" t="s">
        <v>64</v>
      </c>
      <c r="S268" s="52" t="s">
        <v>1057</v>
      </c>
    </row>
    <row r="269" spans="1:19" outlineLevel="2" x14ac:dyDescent="0.45">
      <c r="A269" t="s">
        <v>17</v>
      </c>
      <c r="B269" s="52" t="s">
        <v>57</v>
      </c>
      <c r="C269" s="52" t="s">
        <v>1304</v>
      </c>
      <c r="D269" s="52" t="s">
        <v>1305</v>
      </c>
      <c r="E269" s="52" t="s">
        <v>387</v>
      </c>
      <c r="F269" s="52" t="s">
        <v>1306</v>
      </c>
      <c r="G269" s="52" t="s">
        <v>60</v>
      </c>
      <c r="H269" s="54">
        <v>46054</v>
      </c>
      <c r="I269" s="52" t="s">
        <v>231</v>
      </c>
      <c r="J269" s="52" t="s">
        <v>246</v>
      </c>
      <c r="K269" s="52" t="s">
        <v>1307</v>
      </c>
      <c r="L269" s="52" t="s">
        <v>1307</v>
      </c>
      <c r="M269" s="52" t="s">
        <v>29</v>
      </c>
      <c r="N269" s="53">
        <v>-409.9</v>
      </c>
      <c r="O269" s="96">
        <v>-409.9</v>
      </c>
      <c r="P269" s="52" t="s">
        <v>1308</v>
      </c>
      <c r="Q269" s="52" t="s">
        <v>1309</v>
      </c>
      <c r="R269" s="55" t="s">
        <v>64</v>
      </c>
      <c r="S269" s="52" t="s">
        <v>246</v>
      </c>
    </row>
    <row r="270" spans="1:19" outlineLevel="2" x14ac:dyDescent="0.45">
      <c r="A270" t="s">
        <v>17</v>
      </c>
      <c r="B270" s="52" t="s">
        <v>57</v>
      </c>
      <c r="C270" s="52" t="s">
        <v>785</v>
      </c>
      <c r="D270" s="52" t="s">
        <v>786</v>
      </c>
      <c r="E270" s="52" t="s">
        <v>387</v>
      </c>
      <c r="F270" s="52" t="s">
        <v>1310</v>
      </c>
      <c r="G270" s="52" t="s">
        <v>60</v>
      </c>
      <c r="H270" s="54">
        <v>46054</v>
      </c>
      <c r="I270" s="52" t="s">
        <v>231</v>
      </c>
      <c r="J270" s="52" t="s">
        <v>1057</v>
      </c>
      <c r="K270" s="52" t="s">
        <v>788</v>
      </c>
      <c r="L270" s="52" t="s">
        <v>788</v>
      </c>
      <c r="M270" s="52" t="s">
        <v>29</v>
      </c>
      <c r="N270" s="53">
        <v>-305</v>
      </c>
      <c r="O270" s="96">
        <v>-305</v>
      </c>
      <c r="P270" s="52" t="s">
        <v>789</v>
      </c>
      <c r="Q270" s="52" t="s">
        <v>946</v>
      </c>
      <c r="R270" s="55" t="s">
        <v>64</v>
      </c>
      <c r="S270" s="52" t="s">
        <v>1057</v>
      </c>
    </row>
    <row r="271" spans="1:19" outlineLevel="2" x14ac:dyDescent="0.45">
      <c r="A271" t="s">
        <v>17</v>
      </c>
      <c r="B271" s="52" t="s">
        <v>57</v>
      </c>
      <c r="C271" s="52" t="s">
        <v>785</v>
      </c>
      <c r="D271" s="52" t="s">
        <v>786</v>
      </c>
      <c r="E271" s="52" t="s">
        <v>387</v>
      </c>
      <c r="F271" s="52" t="s">
        <v>1311</v>
      </c>
      <c r="G271" s="52" t="s">
        <v>60</v>
      </c>
      <c r="H271" s="54">
        <v>46054</v>
      </c>
      <c r="I271" s="52" t="s">
        <v>231</v>
      </c>
      <c r="J271" s="52" t="s">
        <v>1057</v>
      </c>
      <c r="K271" s="52" t="s">
        <v>792</v>
      </c>
      <c r="L271" s="52" t="s">
        <v>792</v>
      </c>
      <c r="M271" s="52" t="s">
        <v>29</v>
      </c>
      <c r="N271" s="53">
        <v>-305</v>
      </c>
      <c r="O271" s="96">
        <v>-305</v>
      </c>
      <c r="P271" s="52" t="s">
        <v>793</v>
      </c>
      <c r="Q271" s="52" t="s">
        <v>946</v>
      </c>
      <c r="R271" s="55" t="s">
        <v>64</v>
      </c>
      <c r="S271" s="52" t="s">
        <v>1057</v>
      </c>
    </row>
    <row r="272" spans="1:19" outlineLevel="2" x14ac:dyDescent="0.45">
      <c r="A272" t="s">
        <v>17</v>
      </c>
      <c r="B272" s="52" t="s">
        <v>57</v>
      </c>
      <c r="C272" s="52" t="s">
        <v>774</v>
      </c>
      <c r="D272" s="52" t="s">
        <v>775</v>
      </c>
      <c r="E272" s="52" t="s">
        <v>387</v>
      </c>
      <c r="F272" s="52" t="s">
        <v>1226</v>
      </c>
      <c r="G272" s="52" t="s">
        <v>60</v>
      </c>
      <c r="H272" s="54">
        <v>46054</v>
      </c>
      <c r="I272" s="52" t="s">
        <v>231</v>
      </c>
      <c r="J272" s="52" t="s">
        <v>1018</v>
      </c>
      <c r="K272" s="52" t="s">
        <v>777</v>
      </c>
      <c r="L272" s="52" t="s">
        <v>777</v>
      </c>
      <c r="M272" s="52" t="s">
        <v>29</v>
      </c>
      <c r="N272" s="53">
        <v>-267.52999999999997</v>
      </c>
      <c r="O272" s="96">
        <v>-267.52999999999997</v>
      </c>
      <c r="P272" s="52" t="s">
        <v>778</v>
      </c>
      <c r="Q272" s="52" t="s">
        <v>1227</v>
      </c>
      <c r="R272" s="55" t="s">
        <v>64</v>
      </c>
      <c r="S272" s="52" t="s">
        <v>1018</v>
      </c>
    </row>
    <row r="273" spans="1:19" outlineLevel="2" x14ac:dyDescent="0.45">
      <c r="A273" t="s">
        <v>17</v>
      </c>
      <c r="B273" s="52" t="s">
        <v>66</v>
      </c>
      <c r="C273" s="52" t="s">
        <v>349</v>
      </c>
      <c r="D273" s="52" t="s">
        <v>350</v>
      </c>
      <c r="E273" s="52" t="s">
        <v>387</v>
      </c>
      <c r="F273" s="52" t="s">
        <v>1312</v>
      </c>
      <c r="G273" s="52" t="s">
        <v>60</v>
      </c>
      <c r="H273" s="54">
        <v>46054</v>
      </c>
      <c r="I273" s="52" t="s">
        <v>231</v>
      </c>
      <c r="J273" s="52" t="s">
        <v>451</v>
      </c>
      <c r="K273" s="52" t="s">
        <v>1313</v>
      </c>
      <c r="L273" s="52" t="s">
        <v>1313</v>
      </c>
      <c r="M273" s="52" t="s">
        <v>67</v>
      </c>
      <c r="N273" s="53">
        <v>-76</v>
      </c>
      <c r="O273" s="96">
        <v>-255.97</v>
      </c>
      <c r="P273" s="52" t="s">
        <v>1314</v>
      </c>
      <c r="Q273" s="52" t="s">
        <v>1007</v>
      </c>
      <c r="R273" s="55" t="s">
        <v>64</v>
      </c>
      <c r="S273" s="52" t="s">
        <v>451</v>
      </c>
    </row>
    <row r="274" spans="1:19" outlineLevel="2" x14ac:dyDescent="0.45">
      <c r="A274" t="s">
        <v>17</v>
      </c>
      <c r="B274" s="52" t="s">
        <v>57</v>
      </c>
      <c r="C274" s="52" t="s">
        <v>774</v>
      </c>
      <c r="D274" s="52" t="s">
        <v>775</v>
      </c>
      <c r="E274" s="52" t="s">
        <v>387</v>
      </c>
      <c r="F274" s="52" t="s">
        <v>1193</v>
      </c>
      <c r="G274" s="52" t="s">
        <v>60</v>
      </c>
      <c r="H274" s="54">
        <v>46054</v>
      </c>
      <c r="I274" s="52" t="s">
        <v>231</v>
      </c>
      <c r="J274" s="52" t="s">
        <v>1010</v>
      </c>
      <c r="K274" s="52" t="s">
        <v>777</v>
      </c>
      <c r="L274" s="52" t="s">
        <v>777</v>
      </c>
      <c r="M274" s="52" t="s">
        <v>29</v>
      </c>
      <c r="N274" s="53">
        <v>-231.62</v>
      </c>
      <c r="O274" s="96">
        <v>-231.62</v>
      </c>
      <c r="P274" s="52" t="s">
        <v>778</v>
      </c>
      <c r="Q274" s="52" t="s">
        <v>1194</v>
      </c>
      <c r="R274" s="55" t="s">
        <v>64</v>
      </c>
      <c r="S274" s="52" t="s">
        <v>1010</v>
      </c>
    </row>
    <row r="275" spans="1:19" hidden="1" outlineLevel="2" x14ac:dyDescent="0.45">
      <c r="A275" t="s">
        <v>17</v>
      </c>
      <c r="B275" s="52" t="s">
        <v>57</v>
      </c>
      <c r="C275" s="52" t="s">
        <v>376</v>
      </c>
      <c r="D275" s="52" t="s">
        <v>377</v>
      </c>
      <c r="E275" s="52" t="s">
        <v>387</v>
      </c>
      <c r="F275" s="52" t="s">
        <v>1315</v>
      </c>
      <c r="G275" s="52" t="s">
        <v>60</v>
      </c>
      <c r="H275" s="54">
        <v>46054</v>
      </c>
      <c r="I275" s="52" t="s">
        <v>231</v>
      </c>
      <c r="J275" s="52" t="s">
        <v>246</v>
      </c>
      <c r="K275" s="52" t="s">
        <v>1316</v>
      </c>
      <c r="L275" s="52" t="s">
        <v>1316</v>
      </c>
      <c r="M275" s="52" t="s">
        <v>29</v>
      </c>
      <c r="N275" s="53">
        <v>-188.23</v>
      </c>
      <c r="O275" s="97">
        <v>-188.23</v>
      </c>
      <c r="P275" s="52" t="s">
        <v>1317</v>
      </c>
      <c r="Q275" s="52" t="s">
        <v>1318</v>
      </c>
      <c r="R275" s="55" t="s">
        <v>64</v>
      </c>
      <c r="S275" s="52" t="s">
        <v>246</v>
      </c>
    </row>
    <row r="276" spans="1:19" outlineLevel="2" x14ac:dyDescent="0.45">
      <c r="A276" t="s">
        <v>17</v>
      </c>
      <c r="B276" s="52" t="s">
        <v>57</v>
      </c>
      <c r="C276" s="52" t="s">
        <v>838</v>
      </c>
      <c r="D276" s="52" t="s">
        <v>839</v>
      </c>
      <c r="E276" s="52" t="s">
        <v>387</v>
      </c>
      <c r="F276" s="52" t="s">
        <v>1319</v>
      </c>
      <c r="G276" s="52" t="s">
        <v>60</v>
      </c>
      <c r="H276" s="54">
        <v>46054</v>
      </c>
      <c r="I276" s="52" t="s">
        <v>231</v>
      </c>
      <c r="J276" s="52" t="s">
        <v>246</v>
      </c>
      <c r="K276" s="52" t="s">
        <v>1320</v>
      </c>
      <c r="L276" s="52" t="s">
        <v>1320</v>
      </c>
      <c r="M276" s="52" t="s">
        <v>29</v>
      </c>
      <c r="N276" s="53">
        <v>-119.98</v>
      </c>
      <c r="O276" s="96">
        <v>-119.98</v>
      </c>
      <c r="P276" s="52" t="s">
        <v>1321</v>
      </c>
      <c r="Q276" s="52" t="s">
        <v>1309</v>
      </c>
      <c r="R276" s="55" t="s">
        <v>64</v>
      </c>
      <c r="S276" s="52" t="s">
        <v>246</v>
      </c>
    </row>
    <row r="277" spans="1:19" outlineLevel="2" x14ac:dyDescent="0.45">
      <c r="A277" t="s">
        <v>17</v>
      </c>
      <c r="B277" s="52" t="s">
        <v>57</v>
      </c>
      <c r="C277" s="52" t="s">
        <v>1322</v>
      </c>
      <c r="D277" s="52" t="s">
        <v>1323</v>
      </c>
      <c r="E277" s="52" t="s">
        <v>387</v>
      </c>
      <c r="F277" s="52" t="s">
        <v>471</v>
      </c>
      <c r="G277" s="52" t="s">
        <v>60</v>
      </c>
      <c r="H277" s="54">
        <v>46054</v>
      </c>
      <c r="I277" s="52" t="s">
        <v>231</v>
      </c>
      <c r="J277" s="52" t="s">
        <v>241</v>
      </c>
      <c r="K277" s="52" t="s">
        <v>1324</v>
      </c>
      <c r="L277" s="52" t="s">
        <v>1324</v>
      </c>
      <c r="M277" s="52" t="s">
        <v>29</v>
      </c>
      <c r="N277" s="53">
        <v>-118.94</v>
      </c>
      <c r="O277" s="96">
        <v>-118.94</v>
      </c>
      <c r="P277" s="52" t="s">
        <v>1325</v>
      </c>
      <c r="Q277" s="52" t="s">
        <v>472</v>
      </c>
      <c r="R277" s="55" t="s">
        <v>64</v>
      </c>
      <c r="S277" s="52" t="s">
        <v>241</v>
      </c>
    </row>
    <row r="278" spans="1:19" outlineLevel="2" x14ac:dyDescent="0.45">
      <c r="A278" t="s">
        <v>17</v>
      </c>
      <c r="B278" s="52" t="s">
        <v>57</v>
      </c>
      <c r="C278" s="52" t="s">
        <v>870</v>
      </c>
      <c r="D278" s="52" t="s">
        <v>871</v>
      </c>
      <c r="E278" s="52" t="s">
        <v>387</v>
      </c>
      <c r="F278" s="52" t="s">
        <v>1258</v>
      </c>
      <c r="G278" s="52" t="s">
        <v>60</v>
      </c>
      <c r="H278" s="54">
        <v>46054</v>
      </c>
      <c r="I278" s="52" t="s">
        <v>231</v>
      </c>
      <c r="J278" s="52" t="s">
        <v>241</v>
      </c>
      <c r="K278" s="52"/>
      <c r="L278" s="52"/>
      <c r="M278" s="52" t="s">
        <v>29</v>
      </c>
      <c r="N278" s="53">
        <v>-108.4</v>
      </c>
      <c r="O278" s="96">
        <v>-108.4</v>
      </c>
      <c r="P278" s="52" t="s">
        <v>1259</v>
      </c>
      <c r="Q278" s="52" t="s">
        <v>1259</v>
      </c>
      <c r="R278" s="55" t="s">
        <v>64</v>
      </c>
      <c r="S278" s="52" t="s">
        <v>241</v>
      </c>
    </row>
    <row r="279" spans="1:19" outlineLevel="2" x14ac:dyDescent="0.45">
      <c r="A279" t="s">
        <v>17</v>
      </c>
      <c r="B279" s="52" t="s">
        <v>57</v>
      </c>
      <c r="C279" s="52" t="s">
        <v>349</v>
      </c>
      <c r="D279" s="52" t="s">
        <v>350</v>
      </c>
      <c r="E279" s="52" t="s">
        <v>387</v>
      </c>
      <c r="F279" s="52" t="s">
        <v>1326</v>
      </c>
      <c r="G279" s="52" t="s">
        <v>60</v>
      </c>
      <c r="H279" s="54">
        <v>46054</v>
      </c>
      <c r="I279" s="52" t="s">
        <v>231</v>
      </c>
      <c r="J279" s="52" t="s">
        <v>301</v>
      </c>
      <c r="K279" s="52" t="s">
        <v>1327</v>
      </c>
      <c r="L279" s="52" t="s">
        <v>1327</v>
      </c>
      <c r="M279" s="52" t="s">
        <v>29</v>
      </c>
      <c r="N279" s="53">
        <v>-101.65</v>
      </c>
      <c r="O279" s="96">
        <v>-101.65</v>
      </c>
      <c r="P279" s="52" t="s">
        <v>1328</v>
      </c>
      <c r="Q279" s="52" t="s">
        <v>1329</v>
      </c>
      <c r="R279" s="55" t="s">
        <v>64</v>
      </c>
      <c r="S279" s="52" t="s">
        <v>301</v>
      </c>
    </row>
    <row r="280" spans="1:19" outlineLevel="2" x14ac:dyDescent="0.45">
      <c r="A280" t="s">
        <v>17</v>
      </c>
      <c r="B280" s="52" t="s">
        <v>57</v>
      </c>
      <c r="C280" s="52" t="s">
        <v>1245</v>
      </c>
      <c r="D280" s="52" t="s">
        <v>1246</v>
      </c>
      <c r="E280" s="52" t="s">
        <v>387</v>
      </c>
      <c r="F280" s="52" t="s">
        <v>1247</v>
      </c>
      <c r="G280" s="52" t="s">
        <v>60</v>
      </c>
      <c r="H280" s="54">
        <v>46054</v>
      </c>
      <c r="I280" s="52" t="s">
        <v>231</v>
      </c>
      <c r="J280" s="52" t="s">
        <v>1010</v>
      </c>
      <c r="K280" s="52" t="s">
        <v>1330</v>
      </c>
      <c r="L280" s="52" t="s">
        <v>1330</v>
      </c>
      <c r="M280" s="52" t="s">
        <v>29</v>
      </c>
      <c r="N280" s="53">
        <v>-100</v>
      </c>
      <c r="O280" s="96">
        <v>-100</v>
      </c>
      <c r="P280" s="52" t="s">
        <v>1331</v>
      </c>
      <c r="Q280" s="52" t="s">
        <v>1250</v>
      </c>
      <c r="R280" s="55" t="s">
        <v>64</v>
      </c>
      <c r="S280" s="52" t="s">
        <v>1010</v>
      </c>
    </row>
    <row r="281" spans="1:19" outlineLevel="2" x14ac:dyDescent="0.45">
      <c r="A281" t="s">
        <v>17</v>
      </c>
      <c r="B281" s="52" t="s">
        <v>57</v>
      </c>
      <c r="C281" s="52" t="s">
        <v>1332</v>
      </c>
      <c r="D281" s="52" t="s">
        <v>1333</v>
      </c>
      <c r="E281" s="52" t="s">
        <v>387</v>
      </c>
      <c r="F281" s="52" t="s">
        <v>1334</v>
      </c>
      <c r="G281" s="52" t="s">
        <v>60</v>
      </c>
      <c r="H281" s="54">
        <v>46054</v>
      </c>
      <c r="I281" s="52" t="s">
        <v>231</v>
      </c>
      <c r="J281" s="52" t="s">
        <v>451</v>
      </c>
      <c r="K281" s="52" t="s">
        <v>1335</v>
      </c>
      <c r="L281" s="52" t="s">
        <v>1335</v>
      </c>
      <c r="M281" s="52" t="s">
        <v>29</v>
      </c>
      <c r="N281" s="61">
        <v>-10000</v>
      </c>
      <c r="O281" s="103">
        <v>-10000</v>
      </c>
      <c r="P281" s="60" t="s">
        <v>1336</v>
      </c>
      <c r="Q281" s="52" t="s">
        <v>1337</v>
      </c>
      <c r="R281" s="55" t="s">
        <v>64</v>
      </c>
      <c r="S281" s="52" t="s">
        <v>451</v>
      </c>
    </row>
    <row r="282" spans="1:19" s="70" customFormat="1" outlineLevel="2" x14ac:dyDescent="0.45">
      <c r="A282" s="70" t="s">
        <v>17</v>
      </c>
      <c r="B282" s="71" t="s">
        <v>66</v>
      </c>
      <c r="C282" s="71" t="s">
        <v>718</v>
      </c>
      <c r="D282" s="71" t="s">
        <v>719</v>
      </c>
      <c r="E282" s="71" t="s">
        <v>71</v>
      </c>
      <c r="F282" s="71" t="s">
        <v>1338</v>
      </c>
      <c r="G282" s="71" t="s">
        <v>73</v>
      </c>
      <c r="H282" s="72">
        <v>46054</v>
      </c>
      <c r="I282" s="71" t="s">
        <v>231</v>
      </c>
      <c r="J282" s="71" t="s">
        <v>1339</v>
      </c>
      <c r="K282" s="71" t="s">
        <v>1340</v>
      </c>
      <c r="L282" s="71" t="s">
        <v>1340</v>
      </c>
      <c r="M282" s="71" t="s">
        <v>67</v>
      </c>
      <c r="N282" s="73">
        <v>1817.2</v>
      </c>
      <c r="O282" s="104">
        <v>6096.71</v>
      </c>
      <c r="P282" s="71" t="s">
        <v>1341</v>
      </c>
      <c r="Q282" s="71" t="s">
        <v>1341</v>
      </c>
      <c r="R282" s="75" t="s">
        <v>64</v>
      </c>
      <c r="S282" s="71" t="s">
        <v>1339</v>
      </c>
    </row>
    <row r="283" spans="1:19" s="70" customFormat="1" outlineLevel="2" x14ac:dyDescent="0.45">
      <c r="A283" s="70" t="s">
        <v>17</v>
      </c>
      <c r="B283" s="71" t="s">
        <v>66</v>
      </c>
      <c r="C283" s="71" t="s">
        <v>718</v>
      </c>
      <c r="D283" s="71" t="s">
        <v>719</v>
      </c>
      <c r="E283" s="71" t="s">
        <v>387</v>
      </c>
      <c r="F283" s="71" t="s">
        <v>720</v>
      </c>
      <c r="G283" s="71" t="s">
        <v>60</v>
      </c>
      <c r="H283" s="72">
        <v>46023</v>
      </c>
      <c r="I283" s="71" t="s">
        <v>74</v>
      </c>
      <c r="J283" s="71" t="s">
        <v>210</v>
      </c>
      <c r="K283" s="71" t="s">
        <v>721</v>
      </c>
      <c r="L283" s="71" t="s">
        <v>721</v>
      </c>
      <c r="M283" s="71" t="s">
        <v>67</v>
      </c>
      <c r="N283" s="73">
        <v>-1817.2</v>
      </c>
      <c r="O283" s="104">
        <v>-6078.53</v>
      </c>
      <c r="P283" s="71" t="s">
        <v>722</v>
      </c>
      <c r="Q283" s="71" t="s">
        <v>668</v>
      </c>
      <c r="R283" s="75" t="s">
        <v>64</v>
      </c>
      <c r="S283" s="71" t="s">
        <v>210</v>
      </c>
    </row>
    <row r="284" spans="1:19" s="70" customFormat="1" outlineLevel="2" x14ac:dyDescent="0.45">
      <c r="A284" s="70" t="s">
        <v>17</v>
      </c>
      <c r="B284" s="71" t="s">
        <v>57</v>
      </c>
      <c r="C284" s="71" t="s">
        <v>1332</v>
      </c>
      <c r="D284" s="71" t="s">
        <v>1333</v>
      </c>
      <c r="E284" s="71" t="s">
        <v>71</v>
      </c>
      <c r="F284" s="71" t="s">
        <v>1342</v>
      </c>
      <c r="G284" s="71" t="s">
        <v>73</v>
      </c>
      <c r="H284" s="72">
        <v>46054</v>
      </c>
      <c r="I284" s="71" t="s">
        <v>231</v>
      </c>
      <c r="J284" s="71" t="s">
        <v>451</v>
      </c>
      <c r="K284" s="71" t="s">
        <v>1343</v>
      </c>
      <c r="L284" s="71" t="s">
        <v>1343</v>
      </c>
      <c r="M284" s="71" t="s">
        <v>29</v>
      </c>
      <c r="N284" s="73">
        <v>10000</v>
      </c>
      <c r="O284" s="104">
        <v>10000</v>
      </c>
      <c r="P284" s="71" t="s">
        <v>696</v>
      </c>
      <c r="Q284" s="71" t="s">
        <v>1344</v>
      </c>
      <c r="R284" s="75" t="s">
        <v>64</v>
      </c>
      <c r="S284" s="71" t="s">
        <v>451</v>
      </c>
    </row>
    <row r="285" spans="1:19" hidden="1" outlineLevel="2" x14ac:dyDescent="0.45">
      <c r="A285" t="s">
        <v>17</v>
      </c>
      <c r="B285" s="52" t="s">
        <v>57</v>
      </c>
      <c r="C285" s="52" t="s">
        <v>376</v>
      </c>
      <c r="D285" s="52" t="s">
        <v>377</v>
      </c>
      <c r="E285" s="52" t="s">
        <v>387</v>
      </c>
      <c r="F285" s="52" t="s">
        <v>1345</v>
      </c>
      <c r="G285" s="52" t="s">
        <v>60</v>
      </c>
      <c r="H285" s="54">
        <v>46082</v>
      </c>
      <c r="I285" s="52" t="s">
        <v>271</v>
      </c>
      <c r="J285" s="52" t="s">
        <v>276</v>
      </c>
      <c r="K285" s="52" t="s">
        <v>1346</v>
      </c>
      <c r="L285" s="52" t="s">
        <v>1346</v>
      </c>
      <c r="M285" s="52" t="s">
        <v>29</v>
      </c>
      <c r="N285" s="53">
        <v>-108167</v>
      </c>
      <c r="O285" s="97">
        <v>-108167</v>
      </c>
      <c r="P285" s="52" t="s">
        <v>1347</v>
      </c>
      <c r="Q285" s="52" t="s">
        <v>1348</v>
      </c>
      <c r="R285" s="55" t="s">
        <v>64</v>
      </c>
      <c r="S285" s="52" t="s">
        <v>276</v>
      </c>
    </row>
    <row r="286" spans="1:19" hidden="1" outlineLevel="2" x14ac:dyDescent="0.45">
      <c r="A286" t="s">
        <v>17</v>
      </c>
      <c r="B286" s="52" t="s">
        <v>57</v>
      </c>
      <c r="C286" s="52" t="s">
        <v>376</v>
      </c>
      <c r="D286" s="52" t="s">
        <v>377</v>
      </c>
      <c r="E286" s="52" t="s">
        <v>387</v>
      </c>
      <c r="F286" s="52" t="s">
        <v>1349</v>
      </c>
      <c r="G286" s="52" t="s">
        <v>60</v>
      </c>
      <c r="H286" s="54">
        <v>46082</v>
      </c>
      <c r="I286" s="52" t="s">
        <v>271</v>
      </c>
      <c r="J286" s="52" t="s">
        <v>276</v>
      </c>
      <c r="K286" s="52" t="s">
        <v>1346</v>
      </c>
      <c r="L286" s="52" t="s">
        <v>1346</v>
      </c>
      <c r="M286" s="52" t="s">
        <v>29</v>
      </c>
      <c r="N286" s="53">
        <v>-107309</v>
      </c>
      <c r="O286" s="97">
        <v>-107309</v>
      </c>
      <c r="P286" s="52" t="s">
        <v>1347</v>
      </c>
      <c r="Q286" s="52" t="s">
        <v>1350</v>
      </c>
      <c r="R286" s="55" t="s">
        <v>64</v>
      </c>
      <c r="S286" s="52" t="s">
        <v>276</v>
      </c>
    </row>
    <row r="287" spans="1:19" hidden="1" outlineLevel="2" x14ac:dyDescent="0.45">
      <c r="A287" t="s">
        <v>17</v>
      </c>
      <c r="B287" s="52" t="s">
        <v>57</v>
      </c>
      <c r="C287" s="52" t="s">
        <v>376</v>
      </c>
      <c r="D287" s="52" t="s">
        <v>377</v>
      </c>
      <c r="E287" s="52" t="s">
        <v>387</v>
      </c>
      <c r="F287" s="52" t="s">
        <v>1351</v>
      </c>
      <c r="G287" s="52" t="s">
        <v>60</v>
      </c>
      <c r="H287" s="54">
        <v>46082</v>
      </c>
      <c r="I287" s="52" t="s">
        <v>271</v>
      </c>
      <c r="J287" s="52" t="s">
        <v>276</v>
      </c>
      <c r="K287" s="52" t="s">
        <v>1346</v>
      </c>
      <c r="L287" s="52" t="s">
        <v>1346</v>
      </c>
      <c r="M287" s="52" t="s">
        <v>29</v>
      </c>
      <c r="N287" s="53">
        <v>-106451</v>
      </c>
      <c r="O287" s="97">
        <v>-106451</v>
      </c>
      <c r="P287" s="52" t="s">
        <v>1347</v>
      </c>
      <c r="Q287" s="52" t="s">
        <v>1352</v>
      </c>
      <c r="R287" s="55" t="s">
        <v>64</v>
      </c>
      <c r="S287" s="52" t="s">
        <v>276</v>
      </c>
    </row>
    <row r="288" spans="1:19" hidden="1" outlineLevel="2" x14ac:dyDescent="0.45">
      <c r="A288" t="s">
        <v>17</v>
      </c>
      <c r="B288" s="52" t="s">
        <v>57</v>
      </c>
      <c r="C288" s="52"/>
      <c r="D288" s="52" t="s">
        <v>610</v>
      </c>
      <c r="E288" s="52" t="s">
        <v>387</v>
      </c>
      <c r="F288" s="52" t="s">
        <v>1353</v>
      </c>
      <c r="G288" s="52" t="s">
        <v>60</v>
      </c>
      <c r="H288" s="54">
        <v>46082</v>
      </c>
      <c r="I288" s="52" t="s">
        <v>271</v>
      </c>
      <c r="J288" s="52" t="s">
        <v>526</v>
      </c>
      <c r="K288" s="52" t="s">
        <v>1354</v>
      </c>
      <c r="L288" s="52" t="s">
        <v>1354</v>
      </c>
      <c r="M288" s="52" t="s">
        <v>29</v>
      </c>
      <c r="N288" s="53">
        <v>-40000</v>
      </c>
      <c r="O288" s="94">
        <v>-40000</v>
      </c>
      <c r="P288" s="52" t="s">
        <v>1355</v>
      </c>
      <c r="Q288" s="52" t="s">
        <v>1356</v>
      </c>
      <c r="R288" s="55" t="s">
        <v>64</v>
      </c>
      <c r="S288" s="52" t="s">
        <v>526</v>
      </c>
    </row>
    <row r="289" spans="1:19" outlineLevel="2" x14ac:dyDescent="0.45">
      <c r="A289" t="s">
        <v>17</v>
      </c>
      <c r="B289" s="52" t="s">
        <v>57</v>
      </c>
      <c r="C289" s="52" t="s">
        <v>1099</v>
      </c>
      <c r="D289" s="52" t="s">
        <v>1100</v>
      </c>
      <c r="E289" s="52" t="s">
        <v>387</v>
      </c>
      <c r="F289" s="52" t="s">
        <v>1357</v>
      </c>
      <c r="G289" s="52" t="s">
        <v>60</v>
      </c>
      <c r="H289" s="54">
        <v>46082</v>
      </c>
      <c r="I289" s="52" t="s">
        <v>271</v>
      </c>
      <c r="J289" s="52" t="s">
        <v>319</v>
      </c>
      <c r="K289" s="52" t="s">
        <v>1358</v>
      </c>
      <c r="L289" s="52" t="s">
        <v>1358</v>
      </c>
      <c r="M289" s="52" t="s">
        <v>29</v>
      </c>
      <c r="N289" s="53">
        <v>-29250</v>
      </c>
      <c r="O289" s="96">
        <v>-29250</v>
      </c>
      <c r="P289" s="52" t="s">
        <v>1359</v>
      </c>
      <c r="Q289" s="52" t="s">
        <v>1360</v>
      </c>
      <c r="R289" s="55" t="s">
        <v>64</v>
      </c>
      <c r="S289" s="52" t="s">
        <v>319</v>
      </c>
    </row>
    <row r="290" spans="1:19" hidden="1" outlineLevel="2" x14ac:dyDescent="0.45">
      <c r="A290" t="s">
        <v>17</v>
      </c>
      <c r="B290" s="52" t="s">
        <v>57</v>
      </c>
      <c r="C290" s="52" t="s">
        <v>376</v>
      </c>
      <c r="D290" s="52" t="s">
        <v>377</v>
      </c>
      <c r="E290" s="52" t="s">
        <v>387</v>
      </c>
      <c r="F290" s="52" t="s">
        <v>1361</v>
      </c>
      <c r="G290" s="52" t="s">
        <v>60</v>
      </c>
      <c r="H290" s="54">
        <v>46082</v>
      </c>
      <c r="I290" s="52" t="s">
        <v>271</v>
      </c>
      <c r="J290" s="52" t="s">
        <v>314</v>
      </c>
      <c r="K290" s="52" t="s">
        <v>1362</v>
      </c>
      <c r="L290" s="52" t="s">
        <v>1362</v>
      </c>
      <c r="M290" s="52" t="s">
        <v>29</v>
      </c>
      <c r="N290" s="53">
        <v>-27652.11</v>
      </c>
      <c r="O290" s="97">
        <v>-27652.11</v>
      </c>
      <c r="P290" s="52" t="s">
        <v>1363</v>
      </c>
      <c r="Q290" s="52" t="s">
        <v>1364</v>
      </c>
      <c r="R290" s="55" t="s">
        <v>64</v>
      </c>
      <c r="S290" s="52" t="s">
        <v>314</v>
      </c>
    </row>
    <row r="291" spans="1:19" outlineLevel="2" x14ac:dyDescent="0.45">
      <c r="A291" t="s">
        <v>17</v>
      </c>
      <c r="B291" s="52" t="s">
        <v>66</v>
      </c>
      <c r="C291" s="52" t="s">
        <v>1365</v>
      </c>
      <c r="D291" s="52" t="s">
        <v>1366</v>
      </c>
      <c r="E291" s="52" t="s">
        <v>387</v>
      </c>
      <c r="F291" s="52" t="s">
        <v>1367</v>
      </c>
      <c r="G291" s="52" t="s">
        <v>60</v>
      </c>
      <c r="H291" s="54">
        <v>46082</v>
      </c>
      <c r="I291" s="52" t="s">
        <v>271</v>
      </c>
      <c r="J291" s="52" t="s">
        <v>1368</v>
      </c>
      <c r="K291" s="52" t="s">
        <v>1369</v>
      </c>
      <c r="L291" s="52" t="s">
        <v>1369</v>
      </c>
      <c r="M291" s="52" t="s">
        <v>67</v>
      </c>
      <c r="N291" s="53">
        <v>-7788</v>
      </c>
      <c r="O291" s="96">
        <v>-26611.599999999999</v>
      </c>
      <c r="P291" s="52" t="s">
        <v>1370</v>
      </c>
      <c r="Q291" s="52" t="s">
        <v>1371</v>
      </c>
      <c r="R291" s="55" t="s">
        <v>64</v>
      </c>
      <c r="S291" s="52" t="s">
        <v>1368</v>
      </c>
    </row>
    <row r="292" spans="1:19" hidden="1" outlineLevel="2" x14ac:dyDescent="0.45">
      <c r="A292" t="s">
        <v>17</v>
      </c>
      <c r="B292" s="52" t="s">
        <v>57</v>
      </c>
      <c r="C292" s="52" t="s">
        <v>376</v>
      </c>
      <c r="D292" s="52" t="s">
        <v>377</v>
      </c>
      <c r="E292" s="52" t="s">
        <v>387</v>
      </c>
      <c r="F292" s="52" t="s">
        <v>1372</v>
      </c>
      <c r="G292" s="52" t="s">
        <v>60</v>
      </c>
      <c r="H292" s="54">
        <v>46082</v>
      </c>
      <c r="I292" s="52" t="s">
        <v>271</v>
      </c>
      <c r="J292" s="52" t="s">
        <v>526</v>
      </c>
      <c r="K292" s="52" t="s">
        <v>1373</v>
      </c>
      <c r="L292" s="52" t="s">
        <v>1373</v>
      </c>
      <c r="M292" s="52" t="s">
        <v>29</v>
      </c>
      <c r="N292" s="53">
        <v>-25000</v>
      </c>
      <c r="O292" s="97">
        <v>-25000</v>
      </c>
      <c r="P292" s="52" t="s">
        <v>1374</v>
      </c>
      <c r="Q292" s="52" t="s">
        <v>1375</v>
      </c>
      <c r="R292" s="55" t="s">
        <v>64</v>
      </c>
      <c r="S292" s="52" t="s">
        <v>526</v>
      </c>
    </row>
    <row r="293" spans="1:19" hidden="1" outlineLevel="2" x14ac:dyDescent="0.45">
      <c r="A293" t="s">
        <v>17</v>
      </c>
      <c r="B293" s="52" t="s">
        <v>57</v>
      </c>
      <c r="C293" s="52" t="s">
        <v>376</v>
      </c>
      <c r="D293" s="52" t="s">
        <v>377</v>
      </c>
      <c r="E293" s="52" t="s">
        <v>387</v>
      </c>
      <c r="F293" s="52" t="s">
        <v>1033</v>
      </c>
      <c r="G293" s="52" t="s">
        <v>60</v>
      </c>
      <c r="H293" s="54">
        <v>46082</v>
      </c>
      <c r="I293" s="52" t="s">
        <v>271</v>
      </c>
      <c r="J293" s="52" t="s">
        <v>526</v>
      </c>
      <c r="K293" s="52" t="s">
        <v>1373</v>
      </c>
      <c r="L293" s="52" t="s">
        <v>1373</v>
      </c>
      <c r="M293" s="52" t="s">
        <v>29</v>
      </c>
      <c r="N293" s="53">
        <v>-25000</v>
      </c>
      <c r="O293" s="97">
        <v>-25000</v>
      </c>
      <c r="P293" s="52" t="s">
        <v>1374</v>
      </c>
      <c r="Q293" s="52" t="s">
        <v>1376</v>
      </c>
      <c r="R293" s="55" t="s">
        <v>64</v>
      </c>
      <c r="S293" s="52" t="s">
        <v>526</v>
      </c>
    </row>
    <row r="294" spans="1:19" hidden="1" outlineLevel="2" x14ac:dyDescent="0.45">
      <c r="A294" t="s">
        <v>17</v>
      </c>
      <c r="B294" s="52" t="s">
        <v>57</v>
      </c>
      <c r="C294" s="52" t="s">
        <v>376</v>
      </c>
      <c r="D294" s="52" t="s">
        <v>377</v>
      </c>
      <c r="E294" s="52" t="s">
        <v>387</v>
      </c>
      <c r="F294" s="52" t="s">
        <v>1377</v>
      </c>
      <c r="G294" s="52" t="s">
        <v>60</v>
      </c>
      <c r="H294" s="54">
        <v>46082</v>
      </c>
      <c r="I294" s="52" t="s">
        <v>271</v>
      </c>
      <c r="J294" s="52" t="s">
        <v>314</v>
      </c>
      <c r="K294" s="52" t="s">
        <v>1378</v>
      </c>
      <c r="L294" s="52" t="s">
        <v>1378</v>
      </c>
      <c r="M294" s="52" t="s">
        <v>29</v>
      </c>
      <c r="N294" s="53">
        <v>-25000</v>
      </c>
      <c r="O294" s="97">
        <v>-25000</v>
      </c>
      <c r="P294" s="52" t="s">
        <v>1379</v>
      </c>
      <c r="Q294" s="52" t="s">
        <v>1380</v>
      </c>
      <c r="R294" s="55" t="s">
        <v>64</v>
      </c>
      <c r="S294" s="52" t="s">
        <v>314</v>
      </c>
    </row>
    <row r="295" spans="1:19" hidden="1" outlineLevel="2" x14ac:dyDescent="0.45">
      <c r="A295" t="s">
        <v>17</v>
      </c>
      <c r="B295" s="52" t="s">
        <v>57</v>
      </c>
      <c r="C295" s="52" t="s">
        <v>376</v>
      </c>
      <c r="D295" s="52" t="s">
        <v>377</v>
      </c>
      <c r="E295" s="52" t="s">
        <v>387</v>
      </c>
      <c r="F295" s="52" t="s">
        <v>1381</v>
      </c>
      <c r="G295" s="52" t="s">
        <v>60</v>
      </c>
      <c r="H295" s="54">
        <v>46082</v>
      </c>
      <c r="I295" s="52" t="s">
        <v>271</v>
      </c>
      <c r="J295" s="52" t="s">
        <v>314</v>
      </c>
      <c r="K295" s="52" t="s">
        <v>1378</v>
      </c>
      <c r="L295" s="52" t="s">
        <v>1378</v>
      </c>
      <c r="M295" s="52" t="s">
        <v>29</v>
      </c>
      <c r="N295" s="53">
        <v>-23993.21</v>
      </c>
      <c r="O295" s="97">
        <v>-23993.21</v>
      </c>
      <c r="P295" s="52" t="s">
        <v>1379</v>
      </c>
      <c r="Q295" s="52" t="s">
        <v>1380</v>
      </c>
      <c r="R295" s="55" t="s">
        <v>64</v>
      </c>
      <c r="S295" s="52" t="s">
        <v>314</v>
      </c>
    </row>
    <row r="296" spans="1:19" hidden="1" outlineLevel="2" x14ac:dyDescent="0.45">
      <c r="A296" t="s">
        <v>17</v>
      </c>
      <c r="B296" s="52" t="s">
        <v>57</v>
      </c>
      <c r="C296" s="52" t="s">
        <v>376</v>
      </c>
      <c r="D296" s="52" t="s">
        <v>377</v>
      </c>
      <c r="E296" s="52" t="s">
        <v>387</v>
      </c>
      <c r="F296" s="52" t="s">
        <v>1312</v>
      </c>
      <c r="G296" s="52" t="s">
        <v>60</v>
      </c>
      <c r="H296" s="54">
        <v>46082</v>
      </c>
      <c r="I296" s="52" t="s">
        <v>271</v>
      </c>
      <c r="J296" s="52" t="s">
        <v>526</v>
      </c>
      <c r="K296" s="52" t="s">
        <v>1373</v>
      </c>
      <c r="L296" s="52" t="s">
        <v>1373</v>
      </c>
      <c r="M296" s="52" t="s">
        <v>29</v>
      </c>
      <c r="N296" s="53">
        <v>-23343.75</v>
      </c>
      <c r="O296" s="97">
        <v>-23343.75</v>
      </c>
      <c r="P296" s="52" t="s">
        <v>1374</v>
      </c>
      <c r="Q296" s="52" t="s">
        <v>1382</v>
      </c>
      <c r="R296" s="55" t="s">
        <v>64</v>
      </c>
      <c r="S296" s="52" t="s">
        <v>526</v>
      </c>
    </row>
    <row r="297" spans="1:19" hidden="1" outlineLevel="2" x14ac:dyDescent="0.45">
      <c r="A297" t="s">
        <v>17</v>
      </c>
      <c r="B297" s="52" t="s">
        <v>57</v>
      </c>
      <c r="C297" s="52" t="s">
        <v>376</v>
      </c>
      <c r="D297" s="52" t="s">
        <v>377</v>
      </c>
      <c r="E297" s="52" t="s">
        <v>387</v>
      </c>
      <c r="F297" s="52" t="s">
        <v>1036</v>
      </c>
      <c r="G297" s="52" t="s">
        <v>60</v>
      </c>
      <c r="H297" s="54">
        <v>46082</v>
      </c>
      <c r="I297" s="52" t="s">
        <v>271</v>
      </c>
      <c r="J297" s="52" t="s">
        <v>526</v>
      </c>
      <c r="K297" s="52" t="s">
        <v>1373</v>
      </c>
      <c r="L297" s="52" t="s">
        <v>1373</v>
      </c>
      <c r="M297" s="52" t="s">
        <v>29</v>
      </c>
      <c r="N297" s="53">
        <v>-20000.71</v>
      </c>
      <c r="O297" s="97">
        <v>-20000.71</v>
      </c>
      <c r="P297" s="52" t="s">
        <v>1374</v>
      </c>
      <c r="Q297" s="52" t="s">
        <v>1375</v>
      </c>
      <c r="R297" s="55" t="s">
        <v>64</v>
      </c>
      <c r="S297" s="52" t="s">
        <v>526</v>
      </c>
    </row>
    <row r="298" spans="1:19" hidden="1" outlineLevel="2" x14ac:dyDescent="0.45">
      <c r="A298" t="s">
        <v>17</v>
      </c>
      <c r="B298" s="52" t="s">
        <v>57</v>
      </c>
      <c r="C298" s="52" t="s">
        <v>376</v>
      </c>
      <c r="D298" s="52" t="s">
        <v>377</v>
      </c>
      <c r="E298" s="52" t="s">
        <v>387</v>
      </c>
      <c r="F298" s="52" t="s">
        <v>990</v>
      </c>
      <c r="G298" s="52" t="s">
        <v>60</v>
      </c>
      <c r="H298" s="54">
        <v>46082</v>
      </c>
      <c r="I298" s="52" t="s">
        <v>271</v>
      </c>
      <c r="J298" s="52" t="s">
        <v>519</v>
      </c>
      <c r="K298" s="52" t="s">
        <v>1383</v>
      </c>
      <c r="L298" s="52" t="s">
        <v>1383</v>
      </c>
      <c r="M298" s="52" t="s">
        <v>29</v>
      </c>
      <c r="N298" s="53">
        <v>-20000</v>
      </c>
      <c r="O298" s="97">
        <v>-20000</v>
      </c>
      <c r="P298" s="52" t="s">
        <v>1384</v>
      </c>
      <c r="Q298" s="52" t="s">
        <v>1385</v>
      </c>
      <c r="R298" s="55" t="s">
        <v>64</v>
      </c>
      <c r="S298" s="52" t="s">
        <v>519</v>
      </c>
    </row>
    <row r="299" spans="1:19" hidden="1" outlineLevel="2" x14ac:dyDescent="0.45">
      <c r="A299" t="s">
        <v>17</v>
      </c>
      <c r="B299" s="52" t="s">
        <v>57</v>
      </c>
      <c r="C299" s="52" t="s">
        <v>376</v>
      </c>
      <c r="D299" s="52" t="s">
        <v>377</v>
      </c>
      <c r="E299" s="52" t="s">
        <v>387</v>
      </c>
      <c r="F299" s="52" t="s">
        <v>362</v>
      </c>
      <c r="G299" s="52" t="s">
        <v>60</v>
      </c>
      <c r="H299" s="54">
        <v>46082</v>
      </c>
      <c r="I299" s="52" t="s">
        <v>271</v>
      </c>
      <c r="J299" s="52" t="s">
        <v>526</v>
      </c>
      <c r="K299" s="52" t="s">
        <v>1386</v>
      </c>
      <c r="L299" s="52" t="s">
        <v>1386</v>
      </c>
      <c r="M299" s="52" t="s">
        <v>29</v>
      </c>
      <c r="N299" s="53">
        <v>-20000</v>
      </c>
      <c r="O299" s="97">
        <v>-20000</v>
      </c>
      <c r="P299" s="52" t="s">
        <v>1387</v>
      </c>
      <c r="Q299" s="52" t="s">
        <v>1388</v>
      </c>
      <c r="R299" s="55" t="s">
        <v>64</v>
      </c>
      <c r="S299" s="52" t="s">
        <v>526</v>
      </c>
    </row>
    <row r="300" spans="1:19" hidden="1" outlineLevel="2" x14ac:dyDescent="0.45">
      <c r="A300" t="s">
        <v>17</v>
      </c>
      <c r="B300" s="52" t="s">
        <v>57</v>
      </c>
      <c r="C300" s="52" t="s">
        <v>376</v>
      </c>
      <c r="D300" s="52" t="s">
        <v>377</v>
      </c>
      <c r="E300" s="52" t="s">
        <v>387</v>
      </c>
      <c r="F300" s="52" t="s">
        <v>1389</v>
      </c>
      <c r="G300" s="52" t="s">
        <v>60</v>
      </c>
      <c r="H300" s="54">
        <v>46082</v>
      </c>
      <c r="I300" s="52" t="s">
        <v>271</v>
      </c>
      <c r="J300" s="52" t="s">
        <v>526</v>
      </c>
      <c r="K300" s="52" t="s">
        <v>1386</v>
      </c>
      <c r="L300" s="52" t="s">
        <v>1386</v>
      </c>
      <c r="M300" s="52" t="s">
        <v>29</v>
      </c>
      <c r="N300" s="53">
        <v>-20000</v>
      </c>
      <c r="O300" s="97">
        <v>-20000</v>
      </c>
      <c r="P300" s="52" t="s">
        <v>1387</v>
      </c>
      <c r="Q300" s="52" t="s">
        <v>1390</v>
      </c>
      <c r="R300" s="55" t="s">
        <v>64</v>
      </c>
      <c r="S300" s="52" t="s">
        <v>526</v>
      </c>
    </row>
    <row r="301" spans="1:19" hidden="1" outlineLevel="2" x14ac:dyDescent="0.45">
      <c r="A301" t="s">
        <v>17</v>
      </c>
      <c r="B301" s="52" t="s">
        <v>57</v>
      </c>
      <c r="C301" s="52" t="s">
        <v>376</v>
      </c>
      <c r="D301" s="52" t="s">
        <v>377</v>
      </c>
      <c r="E301" s="52" t="s">
        <v>387</v>
      </c>
      <c r="F301" s="52" t="s">
        <v>1391</v>
      </c>
      <c r="G301" s="52" t="s">
        <v>60</v>
      </c>
      <c r="H301" s="54">
        <v>46082</v>
      </c>
      <c r="I301" s="52" t="s">
        <v>271</v>
      </c>
      <c r="J301" s="52" t="s">
        <v>526</v>
      </c>
      <c r="K301" s="52" t="s">
        <v>1392</v>
      </c>
      <c r="L301" s="52" t="s">
        <v>1392</v>
      </c>
      <c r="M301" s="52" t="s">
        <v>29</v>
      </c>
      <c r="N301" s="53">
        <v>-20000</v>
      </c>
      <c r="O301" s="97">
        <v>-20000</v>
      </c>
      <c r="P301" s="52" t="s">
        <v>1393</v>
      </c>
      <c r="Q301" s="52" t="s">
        <v>1394</v>
      </c>
      <c r="R301" s="55" t="s">
        <v>64</v>
      </c>
      <c r="S301" s="52" t="s">
        <v>526</v>
      </c>
    </row>
    <row r="302" spans="1:19" hidden="1" outlineLevel="2" x14ac:dyDescent="0.45">
      <c r="A302" t="s">
        <v>17</v>
      </c>
      <c r="B302" s="52" t="s">
        <v>57</v>
      </c>
      <c r="C302" s="52" t="s">
        <v>376</v>
      </c>
      <c r="D302" s="52" t="s">
        <v>377</v>
      </c>
      <c r="E302" s="52" t="s">
        <v>387</v>
      </c>
      <c r="F302" s="52" t="s">
        <v>1395</v>
      </c>
      <c r="G302" s="52" t="s">
        <v>60</v>
      </c>
      <c r="H302" s="54">
        <v>46082</v>
      </c>
      <c r="I302" s="52" t="s">
        <v>271</v>
      </c>
      <c r="J302" s="52" t="s">
        <v>314</v>
      </c>
      <c r="K302" s="52" t="s">
        <v>1396</v>
      </c>
      <c r="L302" s="52" t="s">
        <v>1396</v>
      </c>
      <c r="M302" s="52" t="s">
        <v>29</v>
      </c>
      <c r="N302" s="53">
        <v>-20000</v>
      </c>
      <c r="O302" s="97">
        <v>-20000</v>
      </c>
      <c r="P302" s="52" t="s">
        <v>1379</v>
      </c>
      <c r="Q302" s="52" t="s">
        <v>1397</v>
      </c>
      <c r="R302" s="55" t="s">
        <v>64</v>
      </c>
      <c r="S302" s="52" t="s">
        <v>314</v>
      </c>
    </row>
    <row r="303" spans="1:19" hidden="1" outlineLevel="2" x14ac:dyDescent="0.45">
      <c r="A303" t="s">
        <v>17</v>
      </c>
      <c r="B303" s="52" t="s">
        <v>57</v>
      </c>
      <c r="C303" s="52" t="s">
        <v>376</v>
      </c>
      <c r="D303" s="52" t="s">
        <v>377</v>
      </c>
      <c r="E303" s="52" t="s">
        <v>387</v>
      </c>
      <c r="F303" s="52" t="s">
        <v>1398</v>
      </c>
      <c r="G303" s="52" t="s">
        <v>60</v>
      </c>
      <c r="H303" s="54">
        <v>46082</v>
      </c>
      <c r="I303" s="52" t="s">
        <v>271</v>
      </c>
      <c r="J303" s="52" t="s">
        <v>314</v>
      </c>
      <c r="K303" s="52" t="s">
        <v>1378</v>
      </c>
      <c r="L303" s="52" t="s">
        <v>1378</v>
      </c>
      <c r="M303" s="52" t="s">
        <v>29</v>
      </c>
      <c r="N303" s="53">
        <v>-20000</v>
      </c>
      <c r="O303" s="97">
        <v>-20000</v>
      </c>
      <c r="P303" s="52" t="s">
        <v>1379</v>
      </c>
      <c r="Q303" s="52" t="s">
        <v>1380</v>
      </c>
      <c r="R303" s="55" t="s">
        <v>64</v>
      </c>
      <c r="S303" s="52" t="s">
        <v>314</v>
      </c>
    </row>
    <row r="304" spans="1:19" hidden="1" outlineLevel="2" x14ac:dyDescent="0.45">
      <c r="A304" t="s">
        <v>17</v>
      </c>
      <c r="B304" s="52" t="s">
        <v>57</v>
      </c>
      <c r="C304" s="52" t="s">
        <v>376</v>
      </c>
      <c r="D304" s="52" t="s">
        <v>377</v>
      </c>
      <c r="E304" s="52" t="s">
        <v>387</v>
      </c>
      <c r="F304" s="52" t="s">
        <v>1399</v>
      </c>
      <c r="G304" s="52" t="s">
        <v>60</v>
      </c>
      <c r="H304" s="54">
        <v>46082</v>
      </c>
      <c r="I304" s="52" t="s">
        <v>271</v>
      </c>
      <c r="J304" s="52" t="s">
        <v>314</v>
      </c>
      <c r="K304" s="52" t="s">
        <v>1378</v>
      </c>
      <c r="L304" s="52" t="s">
        <v>1378</v>
      </c>
      <c r="M304" s="52" t="s">
        <v>29</v>
      </c>
      <c r="N304" s="53">
        <v>-20000</v>
      </c>
      <c r="O304" s="97">
        <v>-20000</v>
      </c>
      <c r="P304" s="52" t="s">
        <v>1379</v>
      </c>
      <c r="Q304" s="52" t="s">
        <v>1380</v>
      </c>
      <c r="R304" s="55" t="s">
        <v>64</v>
      </c>
      <c r="S304" s="52" t="s">
        <v>314</v>
      </c>
    </row>
    <row r="305" spans="1:19" hidden="1" outlineLevel="2" x14ac:dyDescent="0.45">
      <c r="A305" t="s">
        <v>17</v>
      </c>
      <c r="B305" s="52" t="s">
        <v>57</v>
      </c>
      <c r="C305" s="52" t="s">
        <v>376</v>
      </c>
      <c r="D305" s="52" t="s">
        <v>377</v>
      </c>
      <c r="E305" s="52" t="s">
        <v>387</v>
      </c>
      <c r="F305" s="52" t="s">
        <v>1400</v>
      </c>
      <c r="G305" s="52" t="s">
        <v>60</v>
      </c>
      <c r="H305" s="54">
        <v>46082</v>
      </c>
      <c r="I305" s="52" t="s">
        <v>271</v>
      </c>
      <c r="J305" s="52" t="s">
        <v>314</v>
      </c>
      <c r="K305" s="52" t="s">
        <v>1378</v>
      </c>
      <c r="L305" s="52" t="s">
        <v>1378</v>
      </c>
      <c r="M305" s="52" t="s">
        <v>29</v>
      </c>
      <c r="N305" s="53">
        <v>-20000</v>
      </c>
      <c r="O305" s="97">
        <v>-20000</v>
      </c>
      <c r="P305" s="52" t="s">
        <v>1379</v>
      </c>
      <c r="Q305" s="52" t="s">
        <v>1380</v>
      </c>
      <c r="R305" s="55" t="s">
        <v>64</v>
      </c>
      <c r="S305" s="52" t="s">
        <v>314</v>
      </c>
    </row>
    <row r="306" spans="1:19" outlineLevel="2" x14ac:dyDescent="0.45">
      <c r="A306" t="s">
        <v>17</v>
      </c>
      <c r="B306" s="52" t="s">
        <v>57</v>
      </c>
      <c r="C306" s="52" t="s">
        <v>656</v>
      </c>
      <c r="D306" s="52" t="s">
        <v>657</v>
      </c>
      <c r="E306" s="52" t="s">
        <v>387</v>
      </c>
      <c r="F306" s="52" t="s">
        <v>486</v>
      </c>
      <c r="G306" s="52" t="s">
        <v>60</v>
      </c>
      <c r="H306" s="54">
        <v>46082</v>
      </c>
      <c r="I306" s="52" t="s">
        <v>271</v>
      </c>
      <c r="J306" s="52" t="s">
        <v>319</v>
      </c>
      <c r="K306" s="52" t="s">
        <v>1401</v>
      </c>
      <c r="L306" s="52" t="s">
        <v>1401</v>
      </c>
      <c r="M306" s="52" t="s">
        <v>29</v>
      </c>
      <c r="N306" s="53">
        <v>-18952</v>
      </c>
      <c r="O306" s="96">
        <v>-18952</v>
      </c>
      <c r="P306" s="52" t="s">
        <v>1402</v>
      </c>
      <c r="Q306" s="52" t="s">
        <v>1403</v>
      </c>
      <c r="R306" s="55" t="s">
        <v>64</v>
      </c>
      <c r="S306" s="52" t="s">
        <v>319</v>
      </c>
    </row>
    <row r="307" spans="1:19" hidden="1" outlineLevel="2" x14ac:dyDescent="0.45">
      <c r="A307" t="s">
        <v>17</v>
      </c>
      <c r="B307" s="52" t="s">
        <v>57</v>
      </c>
      <c r="C307" s="52" t="s">
        <v>376</v>
      </c>
      <c r="D307" s="52" t="s">
        <v>377</v>
      </c>
      <c r="E307" s="52" t="s">
        <v>387</v>
      </c>
      <c r="F307" s="52" t="s">
        <v>1404</v>
      </c>
      <c r="G307" s="52" t="s">
        <v>60</v>
      </c>
      <c r="H307" s="54">
        <v>46082</v>
      </c>
      <c r="I307" s="52" t="s">
        <v>271</v>
      </c>
      <c r="J307" s="52" t="s">
        <v>526</v>
      </c>
      <c r="K307" s="52" t="s">
        <v>1386</v>
      </c>
      <c r="L307" s="52" t="s">
        <v>1386</v>
      </c>
      <c r="M307" s="52" t="s">
        <v>29</v>
      </c>
      <c r="N307" s="53">
        <v>-17000</v>
      </c>
      <c r="O307" s="97">
        <v>-17000</v>
      </c>
      <c r="P307" s="52" t="s">
        <v>1387</v>
      </c>
      <c r="Q307" s="52" t="s">
        <v>1405</v>
      </c>
      <c r="R307" s="55" t="s">
        <v>64</v>
      </c>
      <c r="S307" s="52" t="s">
        <v>526</v>
      </c>
    </row>
    <row r="308" spans="1:19" hidden="1" outlineLevel="2" x14ac:dyDescent="0.45">
      <c r="A308" t="s">
        <v>17</v>
      </c>
      <c r="B308" s="52" t="s">
        <v>57</v>
      </c>
      <c r="C308" s="52" t="s">
        <v>376</v>
      </c>
      <c r="D308" s="52" t="s">
        <v>377</v>
      </c>
      <c r="E308" s="52" t="s">
        <v>387</v>
      </c>
      <c r="F308" s="52" t="s">
        <v>1406</v>
      </c>
      <c r="G308" s="52" t="s">
        <v>60</v>
      </c>
      <c r="H308" s="54">
        <v>46082</v>
      </c>
      <c r="I308" s="52" t="s">
        <v>271</v>
      </c>
      <c r="J308" s="52" t="s">
        <v>314</v>
      </c>
      <c r="K308" s="52" t="s">
        <v>1378</v>
      </c>
      <c r="L308" s="52" t="s">
        <v>1378</v>
      </c>
      <c r="M308" s="52" t="s">
        <v>29</v>
      </c>
      <c r="N308" s="53">
        <v>-17000</v>
      </c>
      <c r="O308" s="97">
        <v>-17000</v>
      </c>
      <c r="P308" s="52" t="s">
        <v>1379</v>
      </c>
      <c r="Q308" s="52" t="s">
        <v>1380</v>
      </c>
      <c r="R308" s="55" t="s">
        <v>64</v>
      </c>
      <c r="S308" s="52" t="s">
        <v>314</v>
      </c>
    </row>
    <row r="309" spans="1:19" hidden="1" outlineLevel="2" x14ac:dyDescent="0.45">
      <c r="A309" t="s">
        <v>17</v>
      </c>
      <c r="B309" s="52" t="s">
        <v>57</v>
      </c>
      <c r="C309" s="52" t="s">
        <v>376</v>
      </c>
      <c r="D309" s="52" t="s">
        <v>377</v>
      </c>
      <c r="E309" s="52" t="s">
        <v>387</v>
      </c>
      <c r="F309" s="52" t="s">
        <v>1078</v>
      </c>
      <c r="G309" s="52" t="s">
        <v>60</v>
      </c>
      <c r="H309" s="54">
        <v>46082</v>
      </c>
      <c r="I309" s="52" t="s">
        <v>271</v>
      </c>
      <c r="J309" s="52" t="s">
        <v>526</v>
      </c>
      <c r="K309" s="52" t="s">
        <v>1407</v>
      </c>
      <c r="L309" s="52" t="s">
        <v>1407</v>
      </c>
      <c r="M309" s="52" t="s">
        <v>29</v>
      </c>
      <c r="N309" s="53">
        <v>-14747</v>
      </c>
      <c r="O309" s="97">
        <v>-14747</v>
      </c>
      <c r="P309" s="52" t="s">
        <v>1393</v>
      </c>
      <c r="Q309" s="52" t="s">
        <v>1408</v>
      </c>
      <c r="R309" s="55" t="s">
        <v>64</v>
      </c>
      <c r="S309" s="52" t="s">
        <v>526</v>
      </c>
    </row>
    <row r="310" spans="1:19" hidden="1" outlineLevel="2" x14ac:dyDescent="0.45">
      <c r="A310" t="s">
        <v>17</v>
      </c>
      <c r="B310" s="52" t="s">
        <v>57</v>
      </c>
      <c r="C310" s="52" t="s">
        <v>376</v>
      </c>
      <c r="D310" s="52" t="s">
        <v>377</v>
      </c>
      <c r="E310" s="52" t="s">
        <v>387</v>
      </c>
      <c r="F310" s="52" t="s">
        <v>1409</v>
      </c>
      <c r="G310" s="52" t="s">
        <v>60</v>
      </c>
      <c r="H310" s="54">
        <v>46082</v>
      </c>
      <c r="I310" s="52" t="s">
        <v>271</v>
      </c>
      <c r="J310" s="52" t="s">
        <v>1368</v>
      </c>
      <c r="K310" s="52" t="s">
        <v>1410</v>
      </c>
      <c r="L310" s="52" t="s">
        <v>1410</v>
      </c>
      <c r="M310" s="52" t="s">
        <v>29</v>
      </c>
      <c r="N310" s="53">
        <v>-14747</v>
      </c>
      <c r="O310" s="97">
        <v>-14747</v>
      </c>
      <c r="P310" s="52" t="s">
        <v>1347</v>
      </c>
      <c r="Q310" s="52" t="s">
        <v>1411</v>
      </c>
      <c r="R310" s="55" t="s">
        <v>64</v>
      </c>
      <c r="S310" s="52" t="s">
        <v>1368</v>
      </c>
    </row>
    <row r="311" spans="1:19" hidden="1" outlineLevel="2" x14ac:dyDescent="0.45">
      <c r="A311" t="s">
        <v>17</v>
      </c>
      <c r="B311" s="52" t="s">
        <v>57</v>
      </c>
      <c r="C311" s="52" t="s">
        <v>376</v>
      </c>
      <c r="D311" s="52" t="s">
        <v>377</v>
      </c>
      <c r="E311" s="52" t="s">
        <v>387</v>
      </c>
      <c r="F311" s="52" t="s">
        <v>1412</v>
      </c>
      <c r="G311" s="52" t="s">
        <v>60</v>
      </c>
      <c r="H311" s="54">
        <v>46082</v>
      </c>
      <c r="I311" s="52" t="s">
        <v>271</v>
      </c>
      <c r="J311" s="52" t="s">
        <v>298</v>
      </c>
      <c r="K311" s="52" t="s">
        <v>1413</v>
      </c>
      <c r="L311" s="52" t="s">
        <v>1413</v>
      </c>
      <c r="M311" s="52" t="s">
        <v>29</v>
      </c>
      <c r="N311" s="53">
        <v>-14310</v>
      </c>
      <c r="O311" s="97">
        <v>-14310</v>
      </c>
      <c r="P311" s="52" t="s">
        <v>1414</v>
      </c>
      <c r="Q311" s="52" t="s">
        <v>1415</v>
      </c>
      <c r="R311" s="55" t="s">
        <v>64</v>
      </c>
      <c r="S311" s="52" t="s">
        <v>298</v>
      </c>
    </row>
    <row r="312" spans="1:19" outlineLevel="2" x14ac:dyDescent="0.45">
      <c r="A312" t="s">
        <v>17</v>
      </c>
      <c r="B312" s="52" t="s">
        <v>57</v>
      </c>
      <c r="C312" s="52" t="s">
        <v>630</v>
      </c>
      <c r="D312" s="52" t="s">
        <v>631</v>
      </c>
      <c r="E312" s="52" t="s">
        <v>387</v>
      </c>
      <c r="F312" s="52" t="s">
        <v>1416</v>
      </c>
      <c r="G312" s="52" t="s">
        <v>60</v>
      </c>
      <c r="H312" s="54">
        <v>46082</v>
      </c>
      <c r="I312" s="52" t="s">
        <v>271</v>
      </c>
      <c r="J312" s="52" t="s">
        <v>314</v>
      </c>
      <c r="K312" s="52" t="s">
        <v>1417</v>
      </c>
      <c r="L312" s="52" t="s">
        <v>1417</v>
      </c>
      <c r="M312" s="52" t="s">
        <v>29</v>
      </c>
      <c r="N312" s="53">
        <v>-13431</v>
      </c>
      <c r="O312" s="100">
        <v>-13431</v>
      </c>
      <c r="P312" s="52" t="s">
        <v>1418</v>
      </c>
      <c r="Q312" s="52" t="s">
        <v>1419</v>
      </c>
      <c r="R312" s="55" t="s">
        <v>64</v>
      </c>
      <c r="S312" s="52" t="s">
        <v>314</v>
      </c>
    </row>
    <row r="313" spans="1:19" outlineLevel="2" x14ac:dyDescent="0.45">
      <c r="A313" t="s">
        <v>17</v>
      </c>
      <c r="B313" s="52" t="s">
        <v>57</v>
      </c>
      <c r="C313" s="52" t="s">
        <v>1420</v>
      </c>
      <c r="D313" s="52" t="s">
        <v>1421</v>
      </c>
      <c r="E313" s="52" t="s">
        <v>387</v>
      </c>
      <c r="F313" s="52" t="s">
        <v>1422</v>
      </c>
      <c r="G313" s="52" t="s">
        <v>60</v>
      </c>
      <c r="H313" s="54">
        <v>46082</v>
      </c>
      <c r="I313" s="52" t="s">
        <v>271</v>
      </c>
      <c r="J313" s="52" t="s">
        <v>314</v>
      </c>
      <c r="K313" s="52" t="s">
        <v>1423</v>
      </c>
      <c r="L313" s="52" t="s">
        <v>1423</v>
      </c>
      <c r="M313" s="52" t="s">
        <v>29</v>
      </c>
      <c r="N313" s="53">
        <v>-13134.9</v>
      </c>
      <c r="O313" s="96">
        <v>-13134.9</v>
      </c>
      <c r="P313" s="52" t="s">
        <v>1424</v>
      </c>
      <c r="Q313" s="52" t="s">
        <v>1425</v>
      </c>
      <c r="R313" s="55" t="s">
        <v>64</v>
      </c>
      <c r="S313" s="52" t="s">
        <v>314</v>
      </c>
    </row>
    <row r="314" spans="1:19" hidden="1" outlineLevel="2" x14ac:dyDescent="0.45">
      <c r="A314" t="s">
        <v>17</v>
      </c>
      <c r="B314" s="52" t="s">
        <v>66</v>
      </c>
      <c r="C314" s="52"/>
      <c r="D314" s="52" t="s">
        <v>610</v>
      </c>
      <c r="E314" s="52" t="s">
        <v>387</v>
      </c>
      <c r="F314" s="52" t="s">
        <v>1426</v>
      </c>
      <c r="G314" s="52" t="s">
        <v>60</v>
      </c>
      <c r="H314" s="54">
        <v>46082</v>
      </c>
      <c r="I314" s="52" t="s">
        <v>271</v>
      </c>
      <c r="J314" s="52" t="s">
        <v>323</v>
      </c>
      <c r="K314" s="52" t="s">
        <v>1427</v>
      </c>
      <c r="L314" s="52" t="s">
        <v>1427</v>
      </c>
      <c r="M314" s="52" t="s">
        <v>67</v>
      </c>
      <c r="N314" s="53">
        <v>-3540</v>
      </c>
      <c r="O314" s="94">
        <v>-12131.58</v>
      </c>
      <c r="P314" s="52" t="s">
        <v>1428</v>
      </c>
      <c r="Q314" s="52" t="s">
        <v>1429</v>
      </c>
      <c r="R314" s="55" t="s">
        <v>64</v>
      </c>
      <c r="S314" s="52" t="s">
        <v>323</v>
      </c>
    </row>
    <row r="315" spans="1:19" hidden="1" outlineLevel="2" x14ac:dyDescent="0.45">
      <c r="A315" t="s">
        <v>17</v>
      </c>
      <c r="B315" s="52" t="s">
        <v>57</v>
      </c>
      <c r="C315" s="52" t="s">
        <v>376</v>
      </c>
      <c r="D315" s="52" t="s">
        <v>377</v>
      </c>
      <c r="E315" s="52" t="s">
        <v>387</v>
      </c>
      <c r="F315" s="52" t="s">
        <v>1430</v>
      </c>
      <c r="G315" s="52" t="s">
        <v>60</v>
      </c>
      <c r="H315" s="54">
        <v>46082</v>
      </c>
      <c r="I315" s="52" t="s">
        <v>271</v>
      </c>
      <c r="J315" s="52" t="s">
        <v>314</v>
      </c>
      <c r="K315" s="52" t="s">
        <v>1362</v>
      </c>
      <c r="L315" s="52" t="s">
        <v>1362</v>
      </c>
      <c r="M315" s="52" t="s">
        <v>29</v>
      </c>
      <c r="N315" s="53">
        <v>-11110.63</v>
      </c>
      <c r="O315" s="97">
        <v>-11110.63</v>
      </c>
      <c r="P315" s="52" t="s">
        <v>1363</v>
      </c>
      <c r="Q315" s="52" t="s">
        <v>1364</v>
      </c>
      <c r="R315" s="55" t="s">
        <v>64</v>
      </c>
      <c r="S315" s="52" t="s">
        <v>314</v>
      </c>
    </row>
    <row r="316" spans="1:19" outlineLevel="2" x14ac:dyDescent="0.45">
      <c r="A316" t="s">
        <v>17</v>
      </c>
      <c r="B316" s="52" t="s">
        <v>66</v>
      </c>
      <c r="C316" s="52" t="s">
        <v>682</v>
      </c>
      <c r="D316" s="52" t="s">
        <v>683</v>
      </c>
      <c r="E316" s="52" t="s">
        <v>387</v>
      </c>
      <c r="F316" s="52" t="s">
        <v>1431</v>
      </c>
      <c r="G316" s="52" t="s">
        <v>60</v>
      </c>
      <c r="H316" s="54">
        <v>46082</v>
      </c>
      <c r="I316" s="52" t="s">
        <v>271</v>
      </c>
      <c r="J316" s="52" t="s">
        <v>272</v>
      </c>
      <c r="K316" s="52" t="s">
        <v>1432</v>
      </c>
      <c r="L316" s="52" t="s">
        <v>1432</v>
      </c>
      <c r="M316" s="52" t="s">
        <v>67</v>
      </c>
      <c r="N316" s="53">
        <v>-3115.2</v>
      </c>
      <c r="O316" s="96">
        <v>-10837.78</v>
      </c>
      <c r="P316" s="52" t="s">
        <v>1433</v>
      </c>
      <c r="Q316" s="52" t="s">
        <v>1434</v>
      </c>
      <c r="R316" s="55" t="s">
        <v>64</v>
      </c>
      <c r="S316" s="52" t="s">
        <v>272</v>
      </c>
    </row>
    <row r="317" spans="1:19" outlineLevel="2" x14ac:dyDescent="0.45">
      <c r="A317" t="s">
        <v>17</v>
      </c>
      <c r="B317" s="52" t="s">
        <v>66</v>
      </c>
      <c r="C317" s="52" t="s">
        <v>682</v>
      </c>
      <c r="D317" s="52" t="s">
        <v>683</v>
      </c>
      <c r="E317" s="52" t="s">
        <v>387</v>
      </c>
      <c r="F317" s="52" t="s">
        <v>1435</v>
      </c>
      <c r="G317" s="52" t="s">
        <v>60</v>
      </c>
      <c r="H317" s="54">
        <v>46082</v>
      </c>
      <c r="I317" s="52" t="s">
        <v>271</v>
      </c>
      <c r="J317" s="52" t="s">
        <v>519</v>
      </c>
      <c r="K317" s="52" t="s">
        <v>822</v>
      </c>
      <c r="L317" s="52" t="s">
        <v>822</v>
      </c>
      <c r="M317" s="52" t="s">
        <v>67</v>
      </c>
      <c r="N317" s="53">
        <v>-3115.2</v>
      </c>
      <c r="O317" s="96">
        <v>-10470.19</v>
      </c>
      <c r="P317" s="52" t="s">
        <v>823</v>
      </c>
      <c r="Q317" s="52" t="s">
        <v>1436</v>
      </c>
      <c r="R317" s="55" t="s">
        <v>64</v>
      </c>
      <c r="S317" s="52" t="s">
        <v>519</v>
      </c>
    </row>
    <row r="318" spans="1:19" outlineLevel="2" x14ac:dyDescent="0.45">
      <c r="A318" t="s">
        <v>17</v>
      </c>
      <c r="B318" s="52" t="s">
        <v>57</v>
      </c>
      <c r="C318" s="52" t="s">
        <v>697</v>
      </c>
      <c r="D318" s="52" t="s">
        <v>698</v>
      </c>
      <c r="E318" s="52" t="s">
        <v>387</v>
      </c>
      <c r="F318" s="52" t="s">
        <v>1437</v>
      </c>
      <c r="G318" s="52" t="s">
        <v>60</v>
      </c>
      <c r="H318" s="54">
        <v>46082</v>
      </c>
      <c r="I318" s="52" t="s">
        <v>271</v>
      </c>
      <c r="J318" s="52" t="s">
        <v>306</v>
      </c>
      <c r="K318" s="52" t="s">
        <v>1438</v>
      </c>
      <c r="L318" s="52" t="s">
        <v>1439</v>
      </c>
      <c r="M318" s="52" t="s">
        <v>29</v>
      </c>
      <c r="N318" s="53">
        <v>-10261.06</v>
      </c>
      <c r="O318" s="96">
        <v>-10261.06</v>
      </c>
      <c r="P318" s="52" t="s">
        <v>702</v>
      </c>
      <c r="Q318" s="52" t="s">
        <v>1440</v>
      </c>
      <c r="R318" s="55" t="s">
        <v>64</v>
      </c>
      <c r="S318" s="52" t="s">
        <v>306</v>
      </c>
    </row>
    <row r="319" spans="1:19" hidden="1" outlineLevel="2" x14ac:dyDescent="0.45">
      <c r="A319" t="s">
        <v>17</v>
      </c>
      <c r="B319" s="52" t="s">
        <v>57</v>
      </c>
      <c r="C319" s="52" t="s">
        <v>376</v>
      </c>
      <c r="D319" s="52" t="s">
        <v>377</v>
      </c>
      <c r="E319" s="52" t="s">
        <v>387</v>
      </c>
      <c r="F319" s="52" t="s">
        <v>1441</v>
      </c>
      <c r="G319" s="52" t="s">
        <v>60</v>
      </c>
      <c r="H319" s="54">
        <v>46082</v>
      </c>
      <c r="I319" s="52" t="s">
        <v>271</v>
      </c>
      <c r="J319" s="52" t="s">
        <v>298</v>
      </c>
      <c r="K319" s="52" t="s">
        <v>1442</v>
      </c>
      <c r="L319" s="52" t="s">
        <v>1442</v>
      </c>
      <c r="M319" s="52" t="s">
        <v>29</v>
      </c>
      <c r="N319" s="53">
        <v>-10000</v>
      </c>
      <c r="O319" s="97">
        <v>-10000</v>
      </c>
      <c r="P319" s="52" t="s">
        <v>1443</v>
      </c>
      <c r="Q319" s="52" t="s">
        <v>1444</v>
      </c>
      <c r="R319" s="55" t="s">
        <v>64</v>
      </c>
      <c r="S319" s="52" t="s">
        <v>298</v>
      </c>
    </row>
    <row r="320" spans="1:19" hidden="1" outlineLevel="2" x14ac:dyDescent="0.45">
      <c r="A320" t="s">
        <v>17</v>
      </c>
      <c r="B320" s="52" t="s">
        <v>57</v>
      </c>
      <c r="C320" s="52" t="s">
        <v>376</v>
      </c>
      <c r="D320" s="52" t="s">
        <v>377</v>
      </c>
      <c r="E320" s="52" t="s">
        <v>387</v>
      </c>
      <c r="F320" s="52" t="s">
        <v>1008</v>
      </c>
      <c r="G320" s="52" t="s">
        <v>60</v>
      </c>
      <c r="H320" s="54">
        <v>46082</v>
      </c>
      <c r="I320" s="52" t="s">
        <v>271</v>
      </c>
      <c r="J320" s="52" t="s">
        <v>526</v>
      </c>
      <c r="K320" s="52" t="s">
        <v>1392</v>
      </c>
      <c r="L320" s="52" t="s">
        <v>1392</v>
      </c>
      <c r="M320" s="52" t="s">
        <v>29</v>
      </c>
      <c r="N320" s="53">
        <v>-10000</v>
      </c>
      <c r="O320" s="97">
        <v>-10000</v>
      </c>
      <c r="P320" s="52" t="s">
        <v>1393</v>
      </c>
      <c r="Q320" s="52" t="s">
        <v>1445</v>
      </c>
      <c r="R320" s="55" t="s">
        <v>64</v>
      </c>
      <c r="S320" s="52" t="s">
        <v>526</v>
      </c>
    </row>
    <row r="321" spans="1:19" hidden="1" outlineLevel="2" x14ac:dyDescent="0.45">
      <c r="A321" t="s">
        <v>17</v>
      </c>
      <c r="B321" s="52" t="s">
        <v>57</v>
      </c>
      <c r="C321" s="52" t="s">
        <v>376</v>
      </c>
      <c r="D321" s="52" t="s">
        <v>377</v>
      </c>
      <c r="E321" s="52" t="s">
        <v>387</v>
      </c>
      <c r="F321" s="52" t="s">
        <v>1004</v>
      </c>
      <c r="G321" s="52" t="s">
        <v>60</v>
      </c>
      <c r="H321" s="54">
        <v>46082</v>
      </c>
      <c r="I321" s="52" t="s">
        <v>271</v>
      </c>
      <c r="J321" s="52" t="s">
        <v>526</v>
      </c>
      <c r="K321" s="52" t="s">
        <v>1392</v>
      </c>
      <c r="L321" s="52" t="s">
        <v>1392</v>
      </c>
      <c r="M321" s="52" t="s">
        <v>29</v>
      </c>
      <c r="N321" s="53">
        <v>-10000</v>
      </c>
      <c r="O321" s="97">
        <v>-10000</v>
      </c>
      <c r="P321" s="52" t="s">
        <v>1393</v>
      </c>
      <c r="Q321" s="52" t="s">
        <v>1446</v>
      </c>
      <c r="R321" s="55" t="s">
        <v>64</v>
      </c>
      <c r="S321" s="52" t="s">
        <v>526</v>
      </c>
    </row>
    <row r="322" spans="1:19" hidden="1" outlineLevel="2" x14ac:dyDescent="0.45">
      <c r="A322" t="s">
        <v>17</v>
      </c>
      <c r="B322" s="52" t="s">
        <v>57</v>
      </c>
      <c r="C322" s="52" t="s">
        <v>376</v>
      </c>
      <c r="D322" s="52" t="s">
        <v>377</v>
      </c>
      <c r="E322" s="52" t="s">
        <v>387</v>
      </c>
      <c r="F322" s="52" t="s">
        <v>1447</v>
      </c>
      <c r="G322" s="52" t="s">
        <v>60</v>
      </c>
      <c r="H322" s="54">
        <v>46082</v>
      </c>
      <c r="I322" s="52" t="s">
        <v>271</v>
      </c>
      <c r="J322" s="52" t="s">
        <v>314</v>
      </c>
      <c r="K322" s="52" t="s">
        <v>1396</v>
      </c>
      <c r="L322" s="52" t="s">
        <v>1396</v>
      </c>
      <c r="M322" s="52" t="s">
        <v>29</v>
      </c>
      <c r="N322" s="53">
        <v>-10000</v>
      </c>
      <c r="O322" s="97">
        <v>-10000</v>
      </c>
      <c r="P322" s="52" t="s">
        <v>1379</v>
      </c>
      <c r="Q322" s="52" t="s">
        <v>1448</v>
      </c>
      <c r="R322" s="55" t="s">
        <v>64</v>
      </c>
      <c r="S322" s="52" t="s">
        <v>314</v>
      </c>
    </row>
    <row r="323" spans="1:19" hidden="1" outlineLevel="2" x14ac:dyDescent="0.45">
      <c r="A323" t="s">
        <v>17</v>
      </c>
      <c r="B323" s="52" t="s">
        <v>57</v>
      </c>
      <c r="C323" s="52" t="s">
        <v>376</v>
      </c>
      <c r="D323" s="52" t="s">
        <v>377</v>
      </c>
      <c r="E323" s="52" t="s">
        <v>387</v>
      </c>
      <c r="F323" s="52" t="s">
        <v>1449</v>
      </c>
      <c r="G323" s="52" t="s">
        <v>60</v>
      </c>
      <c r="H323" s="54">
        <v>46082</v>
      </c>
      <c r="I323" s="52" t="s">
        <v>271</v>
      </c>
      <c r="J323" s="52" t="s">
        <v>314</v>
      </c>
      <c r="K323" s="52" t="s">
        <v>1378</v>
      </c>
      <c r="L323" s="52" t="s">
        <v>1378</v>
      </c>
      <c r="M323" s="52" t="s">
        <v>29</v>
      </c>
      <c r="N323" s="53">
        <v>-10000</v>
      </c>
      <c r="O323" s="97">
        <v>-10000</v>
      </c>
      <c r="P323" s="52" t="s">
        <v>1379</v>
      </c>
      <c r="Q323" s="52" t="s">
        <v>1380</v>
      </c>
      <c r="R323" s="55" t="s">
        <v>64</v>
      </c>
      <c r="S323" s="52" t="s">
        <v>314</v>
      </c>
    </row>
    <row r="324" spans="1:19" hidden="1" outlineLevel="2" x14ac:dyDescent="0.45">
      <c r="A324" t="s">
        <v>17</v>
      </c>
      <c r="B324" s="52" t="s">
        <v>57</v>
      </c>
      <c r="C324" s="52" t="s">
        <v>376</v>
      </c>
      <c r="D324" s="52" t="s">
        <v>377</v>
      </c>
      <c r="E324" s="52" t="s">
        <v>387</v>
      </c>
      <c r="F324" s="52" t="s">
        <v>1450</v>
      </c>
      <c r="G324" s="52" t="s">
        <v>60</v>
      </c>
      <c r="H324" s="54">
        <v>46082</v>
      </c>
      <c r="I324" s="52" t="s">
        <v>271</v>
      </c>
      <c r="J324" s="52" t="s">
        <v>314</v>
      </c>
      <c r="K324" s="52" t="s">
        <v>1378</v>
      </c>
      <c r="L324" s="52" t="s">
        <v>1378</v>
      </c>
      <c r="M324" s="52" t="s">
        <v>29</v>
      </c>
      <c r="N324" s="53">
        <v>-10000</v>
      </c>
      <c r="O324" s="97">
        <v>-10000</v>
      </c>
      <c r="P324" s="52" t="s">
        <v>1379</v>
      </c>
      <c r="Q324" s="52" t="s">
        <v>1380</v>
      </c>
      <c r="R324" s="55" t="s">
        <v>64</v>
      </c>
      <c r="S324" s="52" t="s">
        <v>314</v>
      </c>
    </row>
    <row r="325" spans="1:19" outlineLevel="2" x14ac:dyDescent="0.45">
      <c r="A325" t="s">
        <v>17</v>
      </c>
      <c r="B325" s="52" t="s">
        <v>66</v>
      </c>
      <c r="C325" s="52" t="s">
        <v>398</v>
      </c>
      <c r="D325" s="52" t="s">
        <v>399</v>
      </c>
      <c r="E325" s="52" t="s">
        <v>387</v>
      </c>
      <c r="F325" s="52" t="s">
        <v>1451</v>
      </c>
      <c r="G325" s="52" t="s">
        <v>60</v>
      </c>
      <c r="H325" s="54">
        <v>46082</v>
      </c>
      <c r="I325" s="52" t="s">
        <v>271</v>
      </c>
      <c r="J325" s="52" t="s">
        <v>519</v>
      </c>
      <c r="K325" s="52" t="s">
        <v>1452</v>
      </c>
      <c r="L325" s="52" t="s">
        <v>1452</v>
      </c>
      <c r="M325" s="52" t="s">
        <v>67</v>
      </c>
      <c r="N325" s="53">
        <v>-2760</v>
      </c>
      <c r="O325" s="96">
        <v>-9276.36</v>
      </c>
      <c r="P325" s="52" t="s">
        <v>1453</v>
      </c>
      <c r="Q325" s="52" t="s">
        <v>522</v>
      </c>
      <c r="R325" s="55" t="s">
        <v>64</v>
      </c>
      <c r="S325" s="52" t="s">
        <v>519</v>
      </c>
    </row>
    <row r="326" spans="1:19" hidden="1" outlineLevel="2" x14ac:dyDescent="0.45">
      <c r="A326" t="s">
        <v>17</v>
      </c>
      <c r="B326" s="52" t="s">
        <v>57</v>
      </c>
      <c r="C326" s="52" t="s">
        <v>376</v>
      </c>
      <c r="D326" s="52" t="s">
        <v>377</v>
      </c>
      <c r="E326" s="52" t="s">
        <v>387</v>
      </c>
      <c r="F326" s="52" t="s">
        <v>1454</v>
      </c>
      <c r="G326" s="52" t="s">
        <v>60</v>
      </c>
      <c r="H326" s="54">
        <v>46082</v>
      </c>
      <c r="I326" s="52" t="s">
        <v>271</v>
      </c>
      <c r="J326" s="52" t="s">
        <v>526</v>
      </c>
      <c r="K326" s="52" t="s">
        <v>1392</v>
      </c>
      <c r="L326" s="52" t="s">
        <v>1392</v>
      </c>
      <c r="M326" s="52" t="s">
        <v>29</v>
      </c>
      <c r="N326" s="53">
        <v>-8000</v>
      </c>
      <c r="O326" s="97">
        <v>-8000</v>
      </c>
      <c r="P326" s="52" t="s">
        <v>1393</v>
      </c>
      <c r="Q326" s="52" t="s">
        <v>1455</v>
      </c>
      <c r="R326" s="55" t="s">
        <v>64</v>
      </c>
      <c r="S326" s="52" t="s">
        <v>526</v>
      </c>
    </row>
    <row r="327" spans="1:19" hidden="1" outlineLevel="2" x14ac:dyDescent="0.45">
      <c r="A327" t="s">
        <v>17</v>
      </c>
      <c r="B327" s="52" t="s">
        <v>57</v>
      </c>
      <c r="C327" s="52" t="s">
        <v>376</v>
      </c>
      <c r="D327" s="52" t="s">
        <v>377</v>
      </c>
      <c r="E327" s="52" t="s">
        <v>387</v>
      </c>
      <c r="F327" s="52" t="s">
        <v>1456</v>
      </c>
      <c r="G327" s="52" t="s">
        <v>60</v>
      </c>
      <c r="H327" s="54">
        <v>46082</v>
      </c>
      <c r="I327" s="52" t="s">
        <v>271</v>
      </c>
      <c r="J327" s="52" t="s">
        <v>314</v>
      </c>
      <c r="K327" s="52" t="s">
        <v>1378</v>
      </c>
      <c r="L327" s="52" t="s">
        <v>1378</v>
      </c>
      <c r="M327" s="52" t="s">
        <v>29</v>
      </c>
      <c r="N327" s="53">
        <v>-8000</v>
      </c>
      <c r="O327" s="97">
        <v>-8000</v>
      </c>
      <c r="P327" s="52" t="s">
        <v>1379</v>
      </c>
      <c r="Q327" s="52" t="s">
        <v>1380</v>
      </c>
      <c r="R327" s="55" t="s">
        <v>64</v>
      </c>
      <c r="S327" s="52" t="s">
        <v>314</v>
      </c>
    </row>
    <row r="328" spans="1:19" outlineLevel="2" x14ac:dyDescent="0.45">
      <c r="A328" t="s">
        <v>17</v>
      </c>
      <c r="B328" s="52" t="s">
        <v>57</v>
      </c>
      <c r="C328" s="52" t="s">
        <v>707</v>
      </c>
      <c r="D328" s="52" t="s">
        <v>708</v>
      </c>
      <c r="E328" s="52" t="s">
        <v>387</v>
      </c>
      <c r="F328" s="52" t="s">
        <v>1457</v>
      </c>
      <c r="G328" s="52" t="s">
        <v>60</v>
      </c>
      <c r="H328" s="54">
        <v>46082</v>
      </c>
      <c r="I328" s="52" t="s">
        <v>271</v>
      </c>
      <c r="J328" s="52" t="s">
        <v>306</v>
      </c>
      <c r="K328" s="52" t="s">
        <v>1458</v>
      </c>
      <c r="L328" s="52" t="s">
        <v>1459</v>
      </c>
      <c r="M328" s="52" t="s">
        <v>29</v>
      </c>
      <c r="N328" s="53">
        <v>-7658.37</v>
      </c>
      <c r="O328" s="96">
        <v>-7658.37</v>
      </c>
      <c r="P328" s="52" t="s">
        <v>712</v>
      </c>
      <c r="Q328" s="52" t="s">
        <v>1440</v>
      </c>
      <c r="R328" s="55" t="s">
        <v>64</v>
      </c>
      <c r="S328" s="52" t="s">
        <v>306</v>
      </c>
    </row>
    <row r="329" spans="1:19" outlineLevel="2" x14ac:dyDescent="0.45">
      <c r="A329" t="s">
        <v>17</v>
      </c>
      <c r="B329" s="52" t="s">
        <v>66</v>
      </c>
      <c r="C329" s="52" t="s">
        <v>1460</v>
      </c>
      <c r="D329" s="52" t="s">
        <v>1461</v>
      </c>
      <c r="E329" s="52" t="s">
        <v>387</v>
      </c>
      <c r="F329" s="52" t="s">
        <v>995</v>
      </c>
      <c r="G329" s="52" t="s">
        <v>60</v>
      </c>
      <c r="H329" s="54">
        <v>46082</v>
      </c>
      <c r="I329" s="52" t="s">
        <v>271</v>
      </c>
      <c r="J329" s="52" t="s">
        <v>298</v>
      </c>
      <c r="K329" s="52" t="s">
        <v>1462</v>
      </c>
      <c r="L329" s="52" t="s">
        <v>1462</v>
      </c>
      <c r="M329" s="52" t="s">
        <v>67</v>
      </c>
      <c r="N329" s="53">
        <v>-1892</v>
      </c>
      <c r="O329" s="96">
        <v>-6447.94</v>
      </c>
      <c r="P329" s="52" t="s">
        <v>1463</v>
      </c>
      <c r="Q329" s="52" t="s">
        <v>1464</v>
      </c>
      <c r="R329" s="55" t="s">
        <v>64</v>
      </c>
      <c r="S329" s="52" t="s">
        <v>298</v>
      </c>
    </row>
    <row r="330" spans="1:19" outlineLevel="2" x14ac:dyDescent="0.45">
      <c r="A330" t="s">
        <v>17</v>
      </c>
      <c r="B330" s="52" t="s">
        <v>57</v>
      </c>
      <c r="C330" s="52" t="s">
        <v>774</v>
      </c>
      <c r="D330" s="52" t="s">
        <v>775</v>
      </c>
      <c r="E330" s="52" t="s">
        <v>387</v>
      </c>
      <c r="F330" s="52" t="s">
        <v>1465</v>
      </c>
      <c r="G330" s="52" t="s">
        <v>60</v>
      </c>
      <c r="H330" s="54">
        <v>46082</v>
      </c>
      <c r="I330" s="52" t="s">
        <v>271</v>
      </c>
      <c r="J330" s="52" t="s">
        <v>272</v>
      </c>
      <c r="K330" s="52"/>
      <c r="L330" s="52"/>
      <c r="M330" s="52" t="s">
        <v>29</v>
      </c>
      <c r="N330" s="53">
        <v>-6295.3</v>
      </c>
      <c r="O330" s="96">
        <v>-6295.3</v>
      </c>
      <c r="P330" s="52" t="s">
        <v>1466</v>
      </c>
      <c r="Q330" s="52" t="s">
        <v>1466</v>
      </c>
      <c r="R330" s="55" t="s">
        <v>64</v>
      </c>
      <c r="S330" s="52" t="s">
        <v>272</v>
      </c>
    </row>
    <row r="331" spans="1:19" outlineLevel="2" x14ac:dyDescent="0.45">
      <c r="A331" t="s">
        <v>17</v>
      </c>
      <c r="B331" s="52" t="s">
        <v>57</v>
      </c>
      <c r="C331" s="52" t="s">
        <v>774</v>
      </c>
      <c r="D331" s="52" t="s">
        <v>775</v>
      </c>
      <c r="E331" s="52" t="s">
        <v>387</v>
      </c>
      <c r="F331" s="52" t="s">
        <v>1338</v>
      </c>
      <c r="G331" s="52" t="s">
        <v>60</v>
      </c>
      <c r="H331" s="54">
        <v>46082</v>
      </c>
      <c r="I331" s="52" t="s">
        <v>271</v>
      </c>
      <c r="J331" s="52" t="s">
        <v>272</v>
      </c>
      <c r="K331" s="52"/>
      <c r="L331" s="52"/>
      <c r="M331" s="52" t="s">
        <v>29</v>
      </c>
      <c r="N331" s="53">
        <v>-5757.47</v>
      </c>
      <c r="O331" s="96">
        <v>-5757.47</v>
      </c>
      <c r="P331" s="52" t="s">
        <v>1467</v>
      </c>
      <c r="Q331" s="52" t="s">
        <v>1467</v>
      </c>
      <c r="R331" s="55" t="s">
        <v>64</v>
      </c>
      <c r="S331" s="52" t="s">
        <v>272</v>
      </c>
    </row>
    <row r="332" spans="1:19" hidden="1" outlineLevel="2" x14ac:dyDescent="0.45">
      <c r="A332" t="s">
        <v>17</v>
      </c>
      <c r="B332" s="52" t="s">
        <v>57</v>
      </c>
      <c r="C332" s="52" t="s">
        <v>376</v>
      </c>
      <c r="D332" s="52" t="s">
        <v>377</v>
      </c>
      <c r="E332" s="52" t="s">
        <v>387</v>
      </c>
      <c r="F332" s="52" t="s">
        <v>1468</v>
      </c>
      <c r="G332" s="52" t="s">
        <v>60</v>
      </c>
      <c r="H332" s="54">
        <v>46082</v>
      </c>
      <c r="I332" s="52" t="s">
        <v>271</v>
      </c>
      <c r="J332" s="52" t="s">
        <v>526</v>
      </c>
      <c r="K332" s="52" t="s">
        <v>1469</v>
      </c>
      <c r="L332" s="52" t="s">
        <v>1469</v>
      </c>
      <c r="M332" s="52" t="s">
        <v>29</v>
      </c>
      <c r="N332" s="53">
        <v>-5407.68</v>
      </c>
      <c r="O332" s="97">
        <v>-5407.68</v>
      </c>
      <c r="P332" s="52" t="s">
        <v>1379</v>
      </c>
      <c r="Q332" s="52" t="s">
        <v>1470</v>
      </c>
      <c r="R332" s="55" t="s">
        <v>64</v>
      </c>
      <c r="S332" s="52" t="s">
        <v>526</v>
      </c>
    </row>
    <row r="333" spans="1:19" hidden="1" outlineLevel="2" x14ac:dyDescent="0.45">
      <c r="A333" t="s">
        <v>17</v>
      </c>
      <c r="B333" s="52" t="s">
        <v>57</v>
      </c>
      <c r="C333" s="52"/>
      <c r="D333" s="52" t="s">
        <v>610</v>
      </c>
      <c r="E333" s="52" t="s">
        <v>387</v>
      </c>
      <c r="F333" s="52" t="s">
        <v>1471</v>
      </c>
      <c r="G333" s="52" t="s">
        <v>60</v>
      </c>
      <c r="H333" s="54">
        <v>46082</v>
      </c>
      <c r="I333" s="52" t="s">
        <v>271</v>
      </c>
      <c r="J333" s="52" t="s">
        <v>323</v>
      </c>
      <c r="K333" s="52" t="s">
        <v>1472</v>
      </c>
      <c r="L333" s="52" t="s">
        <v>1472</v>
      </c>
      <c r="M333" s="52" t="s">
        <v>29</v>
      </c>
      <c r="N333" s="53">
        <v>-5400</v>
      </c>
      <c r="O333" s="94">
        <v>-5400</v>
      </c>
      <c r="P333" s="52" t="s">
        <v>1473</v>
      </c>
      <c r="Q333" s="52" t="s">
        <v>1474</v>
      </c>
      <c r="R333" s="55" t="s">
        <v>64</v>
      </c>
      <c r="S333" s="52" t="s">
        <v>323</v>
      </c>
    </row>
    <row r="334" spans="1:19" hidden="1" outlineLevel="2" x14ac:dyDescent="0.45">
      <c r="A334" t="s">
        <v>17</v>
      </c>
      <c r="B334" s="52" t="s">
        <v>57</v>
      </c>
      <c r="C334" s="52" t="s">
        <v>376</v>
      </c>
      <c r="D334" s="52" t="s">
        <v>377</v>
      </c>
      <c r="E334" s="52" t="s">
        <v>387</v>
      </c>
      <c r="F334" s="52" t="s">
        <v>1475</v>
      </c>
      <c r="G334" s="52" t="s">
        <v>60</v>
      </c>
      <c r="H334" s="54">
        <v>46082</v>
      </c>
      <c r="I334" s="52" t="s">
        <v>271</v>
      </c>
      <c r="J334" s="52" t="s">
        <v>526</v>
      </c>
      <c r="K334" s="52" t="s">
        <v>1469</v>
      </c>
      <c r="L334" s="52" t="s">
        <v>1469</v>
      </c>
      <c r="M334" s="52" t="s">
        <v>29</v>
      </c>
      <c r="N334" s="53">
        <v>-5364.76</v>
      </c>
      <c r="O334" s="97">
        <v>-5364.76</v>
      </c>
      <c r="P334" s="52" t="s">
        <v>1379</v>
      </c>
      <c r="Q334" s="52" t="s">
        <v>1470</v>
      </c>
      <c r="R334" s="55" t="s">
        <v>64</v>
      </c>
      <c r="S334" s="52" t="s">
        <v>526</v>
      </c>
    </row>
    <row r="335" spans="1:19" hidden="1" outlineLevel="2" x14ac:dyDescent="0.45">
      <c r="A335" t="s">
        <v>17</v>
      </c>
      <c r="B335" s="52" t="s">
        <v>57</v>
      </c>
      <c r="C335" s="52" t="s">
        <v>376</v>
      </c>
      <c r="D335" s="52" t="s">
        <v>377</v>
      </c>
      <c r="E335" s="52" t="s">
        <v>387</v>
      </c>
      <c r="F335" s="52" t="s">
        <v>1476</v>
      </c>
      <c r="G335" s="52" t="s">
        <v>60</v>
      </c>
      <c r="H335" s="54">
        <v>46082</v>
      </c>
      <c r="I335" s="52" t="s">
        <v>271</v>
      </c>
      <c r="J335" s="52" t="s">
        <v>314</v>
      </c>
      <c r="K335" s="52" t="s">
        <v>1477</v>
      </c>
      <c r="L335" s="52" t="s">
        <v>1477</v>
      </c>
      <c r="M335" s="52" t="s">
        <v>29</v>
      </c>
      <c r="N335" s="53">
        <v>-5288.11</v>
      </c>
      <c r="O335" s="97">
        <v>-5288.11</v>
      </c>
      <c r="P335" s="52" t="s">
        <v>1478</v>
      </c>
      <c r="Q335" s="52" t="s">
        <v>1479</v>
      </c>
      <c r="R335" s="55" t="s">
        <v>64</v>
      </c>
      <c r="S335" s="52" t="s">
        <v>314</v>
      </c>
    </row>
    <row r="336" spans="1:19" hidden="1" outlineLevel="2" x14ac:dyDescent="0.45">
      <c r="A336" t="s">
        <v>17</v>
      </c>
      <c r="B336" s="52" t="s">
        <v>57</v>
      </c>
      <c r="C336" s="52" t="s">
        <v>376</v>
      </c>
      <c r="D336" s="52" t="s">
        <v>377</v>
      </c>
      <c r="E336" s="52" t="s">
        <v>387</v>
      </c>
      <c r="F336" s="52" t="s">
        <v>1480</v>
      </c>
      <c r="G336" s="52" t="s">
        <v>60</v>
      </c>
      <c r="H336" s="54">
        <v>46082</v>
      </c>
      <c r="I336" s="52" t="s">
        <v>271</v>
      </c>
      <c r="J336" s="52" t="s">
        <v>526</v>
      </c>
      <c r="K336" s="52" t="s">
        <v>1481</v>
      </c>
      <c r="L336" s="52" t="s">
        <v>1481</v>
      </c>
      <c r="M336" s="52" t="s">
        <v>29</v>
      </c>
      <c r="N336" s="53">
        <v>-5000</v>
      </c>
      <c r="O336" s="97">
        <v>-5000</v>
      </c>
      <c r="P336" s="52" t="s">
        <v>1379</v>
      </c>
      <c r="Q336" s="52" t="s">
        <v>1482</v>
      </c>
      <c r="R336" s="55" t="s">
        <v>64</v>
      </c>
      <c r="S336" s="52" t="s">
        <v>526</v>
      </c>
    </row>
    <row r="337" spans="1:52" hidden="1" outlineLevel="2" x14ac:dyDescent="0.45">
      <c r="A337" t="s">
        <v>17</v>
      </c>
      <c r="B337" s="52" t="s">
        <v>57</v>
      </c>
      <c r="C337" s="52" t="s">
        <v>376</v>
      </c>
      <c r="D337" s="52" t="s">
        <v>377</v>
      </c>
      <c r="E337" s="52" t="s">
        <v>387</v>
      </c>
      <c r="F337" s="52" t="s">
        <v>1483</v>
      </c>
      <c r="G337" s="52" t="s">
        <v>60</v>
      </c>
      <c r="H337" s="54">
        <v>46082</v>
      </c>
      <c r="I337" s="52" t="s">
        <v>271</v>
      </c>
      <c r="J337" s="52" t="s">
        <v>314</v>
      </c>
      <c r="K337" s="52" t="s">
        <v>1396</v>
      </c>
      <c r="L337" s="52" t="s">
        <v>1396</v>
      </c>
      <c r="M337" s="52" t="s">
        <v>29</v>
      </c>
      <c r="N337" s="53">
        <v>-5000</v>
      </c>
      <c r="O337" s="97">
        <v>-5000</v>
      </c>
      <c r="P337" s="52" t="s">
        <v>1379</v>
      </c>
      <c r="Q337" s="52" t="s">
        <v>1484</v>
      </c>
      <c r="R337" s="55" t="s">
        <v>64</v>
      </c>
      <c r="S337" s="52" t="s">
        <v>314</v>
      </c>
    </row>
    <row r="338" spans="1:52" hidden="1" outlineLevel="2" x14ac:dyDescent="0.45">
      <c r="A338" t="s">
        <v>17</v>
      </c>
      <c r="B338" s="52" t="s">
        <v>57</v>
      </c>
      <c r="C338" s="52" t="s">
        <v>376</v>
      </c>
      <c r="D338" s="52" t="s">
        <v>377</v>
      </c>
      <c r="E338" s="52" t="s">
        <v>387</v>
      </c>
      <c r="F338" s="52" t="s">
        <v>1485</v>
      </c>
      <c r="G338" s="52" t="s">
        <v>60</v>
      </c>
      <c r="H338" s="54">
        <v>46082</v>
      </c>
      <c r="I338" s="52" t="s">
        <v>271</v>
      </c>
      <c r="J338" s="52" t="s">
        <v>314</v>
      </c>
      <c r="K338" s="52" t="s">
        <v>1378</v>
      </c>
      <c r="L338" s="52" t="s">
        <v>1378</v>
      </c>
      <c r="M338" s="52" t="s">
        <v>29</v>
      </c>
      <c r="N338" s="53">
        <v>-5000</v>
      </c>
      <c r="O338" s="97">
        <v>-5000</v>
      </c>
      <c r="P338" s="52" t="s">
        <v>1379</v>
      </c>
      <c r="Q338" s="52" t="s">
        <v>1380</v>
      </c>
      <c r="R338" s="55" t="s">
        <v>64</v>
      </c>
      <c r="S338" s="52" t="s">
        <v>314</v>
      </c>
      <c r="T338" s="59"/>
      <c r="U338" s="59"/>
      <c r="V338" s="59"/>
      <c r="W338" s="59"/>
      <c r="X338" s="59"/>
      <c r="Y338" s="59"/>
      <c r="Z338" s="59"/>
      <c r="AA338" s="59"/>
      <c r="AB338" s="59"/>
      <c r="AC338" s="59"/>
      <c r="AD338" s="59"/>
      <c r="AE338" s="59"/>
      <c r="AF338" s="59"/>
      <c r="AG338" s="59"/>
      <c r="AH338" s="59"/>
      <c r="AI338" s="59"/>
      <c r="AJ338" s="59"/>
      <c r="AK338" s="59"/>
      <c r="AL338" s="59"/>
      <c r="AM338" s="59"/>
      <c r="AN338" s="59"/>
      <c r="AO338" s="59"/>
      <c r="AP338" s="59"/>
      <c r="AQ338" s="59"/>
      <c r="AR338" s="59"/>
      <c r="AS338" s="59"/>
      <c r="AT338" s="59"/>
      <c r="AU338" s="59"/>
      <c r="AV338" s="59"/>
      <c r="AW338" s="59"/>
      <c r="AX338" s="59"/>
      <c r="AY338" s="59"/>
      <c r="AZ338" s="59"/>
    </row>
    <row r="339" spans="1:52" hidden="1" outlineLevel="2" x14ac:dyDescent="0.45">
      <c r="A339" t="s">
        <v>17</v>
      </c>
      <c r="B339" s="52" t="s">
        <v>57</v>
      </c>
      <c r="C339" s="52" t="s">
        <v>376</v>
      </c>
      <c r="D339" s="52" t="s">
        <v>377</v>
      </c>
      <c r="E339" s="52" t="s">
        <v>387</v>
      </c>
      <c r="F339" s="52" t="s">
        <v>1486</v>
      </c>
      <c r="G339" s="52" t="s">
        <v>60</v>
      </c>
      <c r="H339" s="54">
        <v>46082</v>
      </c>
      <c r="I339" s="52" t="s">
        <v>271</v>
      </c>
      <c r="J339" s="52" t="s">
        <v>314</v>
      </c>
      <c r="K339" s="52" t="s">
        <v>1378</v>
      </c>
      <c r="L339" s="52" t="s">
        <v>1378</v>
      </c>
      <c r="M339" s="52" t="s">
        <v>29</v>
      </c>
      <c r="N339" s="53">
        <v>-5000</v>
      </c>
      <c r="O339" s="97">
        <v>-5000</v>
      </c>
      <c r="P339" s="52" t="s">
        <v>1379</v>
      </c>
      <c r="Q339" s="52" t="s">
        <v>1380</v>
      </c>
      <c r="R339" s="55" t="s">
        <v>64</v>
      </c>
      <c r="S339" s="52" t="s">
        <v>314</v>
      </c>
    </row>
    <row r="340" spans="1:52" hidden="1" outlineLevel="2" x14ac:dyDescent="0.45">
      <c r="A340" t="s">
        <v>17</v>
      </c>
      <c r="B340" s="52" t="s">
        <v>57</v>
      </c>
      <c r="C340" s="52" t="s">
        <v>376</v>
      </c>
      <c r="D340" s="52" t="s">
        <v>377</v>
      </c>
      <c r="E340" s="52" t="s">
        <v>387</v>
      </c>
      <c r="F340" s="52" t="s">
        <v>1487</v>
      </c>
      <c r="G340" s="52" t="s">
        <v>60</v>
      </c>
      <c r="H340" s="54">
        <v>46082</v>
      </c>
      <c r="I340" s="52" t="s">
        <v>271</v>
      </c>
      <c r="J340" s="52" t="s">
        <v>314</v>
      </c>
      <c r="K340" s="52" t="s">
        <v>1378</v>
      </c>
      <c r="L340" s="52" t="s">
        <v>1378</v>
      </c>
      <c r="M340" s="52" t="s">
        <v>29</v>
      </c>
      <c r="N340" s="53">
        <v>-5000</v>
      </c>
      <c r="O340" s="97">
        <v>-5000</v>
      </c>
      <c r="P340" s="52" t="s">
        <v>1379</v>
      </c>
      <c r="Q340" s="52" t="s">
        <v>1380</v>
      </c>
      <c r="R340" s="55" t="s">
        <v>64</v>
      </c>
      <c r="S340" s="52" t="s">
        <v>314</v>
      </c>
      <c r="T340" s="59"/>
      <c r="U340" s="59"/>
      <c r="V340" s="59"/>
      <c r="W340" s="59"/>
      <c r="X340" s="59"/>
      <c r="Y340" s="59"/>
      <c r="Z340" s="59"/>
      <c r="AA340" s="59"/>
      <c r="AB340" s="59"/>
      <c r="AC340" s="59"/>
      <c r="AD340" s="59"/>
      <c r="AE340" s="59"/>
      <c r="AF340" s="59"/>
      <c r="AG340" s="59"/>
      <c r="AH340" s="59"/>
      <c r="AI340" s="59"/>
      <c r="AJ340" s="59"/>
      <c r="AK340" s="59"/>
      <c r="AL340" s="59"/>
      <c r="AM340" s="59"/>
      <c r="AN340" s="59"/>
      <c r="AO340" s="59"/>
      <c r="AP340" s="59"/>
      <c r="AQ340" s="59"/>
      <c r="AR340" s="59"/>
      <c r="AS340" s="59"/>
      <c r="AT340" s="59"/>
      <c r="AU340" s="59"/>
      <c r="AV340" s="59"/>
      <c r="AW340" s="59"/>
      <c r="AX340" s="59"/>
      <c r="AY340" s="59"/>
      <c r="AZ340" s="59"/>
    </row>
    <row r="341" spans="1:52" hidden="1" outlineLevel="2" x14ac:dyDescent="0.45">
      <c r="A341" t="s">
        <v>17</v>
      </c>
      <c r="B341" s="52" t="s">
        <v>57</v>
      </c>
      <c r="C341" s="52" t="s">
        <v>376</v>
      </c>
      <c r="D341" s="52" t="s">
        <v>377</v>
      </c>
      <c r="E341" s="52" t="s">
        <v>387</v>
      </c>
      <c r="F341" s="52" t="s">
        <v>1488</v>
      </c>
      <c r="G341" s="52" t="s">
        <v>60</v>
      </c>
      <c r="H341" s="54">
        <v>46082</v>
      </c>
      <c r="I341" s="52" t="s">
        <v>271</v>
      </c>
      <c r="J341" s="52" t="s">
        <v>526</v>
      </c>
      <c r="K341" s="52" t="s">
        <v>1407</v>
      </c>
      <c r="L341" s="52" t="s">
        <v>1407</v>
      </c>
      <c r="M341" s="52" t="s">
        <v>29</v>
      </c>
      <c r="N341" s="53">
        <v>-4999</v>
      </c>
      <c r="O341" s="97">
        <v>-4999</v>
      </c>
      <c r="P341" s="52" t="s">
        <v>1393</v>
      </c>
      <c r="Q341" s="52" t="s">
        <v>1489</v>
      </c>
      <c r="R341" s="55" t="s">
        <v>64</v>
      </c>
      <c r="S341" s="52" t="s">
        <v>526</v>
      </c>
    </row>
    <row r="342" spans="1:52" hidden="1" outlineLevel="2" x14ac:dyDescent="0.45">
      <c r="A342" t="s">
        <v>17</v>
      </c>
      <c r="B342" s="52" t="s">
        <v>57</v>
      </c>
      <c r="C342" s="52" t="s">
        <v>376</v>
      </c>
      <c r="D342" s="52" t="s">
        <v>377</v>
      </c>
      <c r="E342" s="52" t="s">
        <v>387</v>
      </c>
      <c r="F342" s="52" t="s">
        <v>1490</v>
      </c>
      <c r="G342" s="52" t="s">
        <v>60</v>
      </c>
      <c r="H342" s="54">
        <v>46082</v>
      </c>
      <c r="I342" s="52" t="s">
        <v>271</v>
      </c>
      <c r="J342" s="52" t="s">
        <v>1368</v>
      </c>
      <c r="K342" s="52" t="s">
        <v>1410</v>
      </c>
      <c r="L342" s="52" t="s">
        <v>1410</v>
      </c>
      <c r="M342" s="52" t="s">
        <v>29</v>
      </c>
      <c r="N342" s="53">
        <v>-4999</v>
      </c>
      <c r="O342" s="97">
        <v>-4999</v>
      </c>
      <c r="P342" s="52" t="s">
        <v>1347</v>
      </c>
      <c r="Q342" s="52" t="s">
        <v>1411</v>
      </c>
      <c r="R342" s="55" t="s">
        <v>64</v>
      </c>
      <c r="S342" s="52" t="s">
        <v>1368</v>
      </c>
    </row>
    <row r="343" spans="1:52" hidden="1" outlineLevel="2" x14ac:dyDescent="0.45">
      <c r="A343" t="s">
        <v>17</v>
      </c>
      <c r="B343" s="52" t="s">
        <v>57</v>
      </c>
      <c r="C343" s="52" t="s">
        <v>376</v>
      </c>
      <c r="D343" s="52" t="s">
        <v>377</v>
      </c>
      <c r="E343" s="52" t="s">
        <v>387</v>
      </c>
      <c r="F343" s="52" t="s">
        <v>1491</v>
      </c>
      <c r="G343" s="52" t="s">
        <v>60</v>
      </c>
      <c r="H343" s="54">
        <v>46082</v>
      </c>
      <c r="I343" s="52" t="s">
        <v>271</v>
      </c>
      <c r="J343" s="52" t="s">
        <v>314</v>
      </c>
      <c r="K343" s="52" t="s">
        <v>1396</v>
      </c>
      <c r="L343" s="52" t="s">
        <v>1396</v>
      </c>
      <c r="M343" s="52" t="s">
        <v>29</v>
      </c>
      <c r="N343" s="53">
        <v>-4935.22</v>
      </c>
      <c r="O343" s="97">
        <v>-4935.22</v>
      </c>
      <c r="P343" s="52" t="s">
        <v>1379</v>
      </c>
      <c r="Q343" s="52" t="s">
        <v>1492</v>
      </c>
      <c r="R343" s="55" t="s">
        <v>64</v>
      </c>
      <c r="S343" s="52" t="s">
        <v>314</v>
      </c>
    </row>
    <row r="344" spans="1:52" outlineLevel="2" x14ac:dyDescent="0.45">
      <c r="A344" t="s">
        <v>17</v>
      </c>
      <c r="B344" s="52" t="s">
        <v>57</v>
      </c>
      <c r="C344" s="52" t="s">
        <v>734</v>
      </c>
      <c r="D344" s="52" t="s">
        <v>735</v>
      </c>
      <c r="E344" s="52" t="s">
        <v>387</v>
      </c>
      <c r="F344" s="52" t="s">
        <v>1326</v>
      </c>
      <c r="G344" s="52" t="s">
        <v>60</v>
      </c>
      <c r="H344" s="54">
        <v>46082</v>
      </c>
      <c r="I344" s="52" t="s">
        <v>271</v>
      </c>
      <c r="J344" s="52" t="s">
        <v>306</v>
      </c>
      <c r="K344" s="52" t="s">
        <v>1493</v>
      </c>
      <c r="L344" s="52" t="s">
        <v>1494</v>
      </c>
      <c r="M344" s="52" t="s">
        <v>29</v>
      </c>
      <c r="N344" s="53">
        <v>-4670.9399999999996</v>
      </c>
      <c r="O344" s="96">
        <v>-4670.9399999999996</v>
      </c>
      <c r="P344" s="52" t="s">
        <v>739</v>
      </c>
      <c r="Q344" s="52" t="s">
        <v>1440</v>
      </c>
      <c r="R344" s="55" t="s">
        <v>64</v>
      </c>
      <c r="S344" s="52" t="s">
        <v>306</v>
      </c>
    </row>
    <row r="345" spans="1:52" hidden="1" outlineLevel="2" x14ac:dyDescent="0.45">
      <c r="A345" t="s">
        <v>17</v>
      </c>
      <c r="B345" s="52" t="s">
        <v>57</v>
      </c>
      <c r="C345" s="52" t="s">
        <v>376</v>
      </c>
      <c r="D345" s="52" t="s">
        <v>377</v>
      </c>
      <c r="E345" s="52" t="s">
        <v>387</v>
      </c>
      <c r="F345" s="52" t="s">
        <v>1495</v>
      </c>
      <c r="G345" s="52" t="s">
        <v>60</v>
      </c>
      <c r="H345" s="54">
        <v>46082</v>
      </c>
      <c r="I345" s="52" t="s">
        <v>271</v>
      </c>
      <c r="J345" s="52" t="s">
        <v>314</v>
      </c>
      <c r="K345" s="52" t="s">
        <v>1362</v>
      </c>
      <c r="L345" s="52" t="s">
        <v>1362</v>
      </c>
      <c r="M345" s="52" t="s">
        <v>29</v>
      </c>
      <c r="N345" s="53">
        <v>-4466.32</v>
      </c>
      <c r="O345" s="97">
        <v>-4466.32</v>
      </c>
      <c r="P345" s="52" t="s">
        <v>1363</v>
      </c>
      <c r="Q345" s="52" t="s">
        <v>1364</v>
      </c>
      <c r="R345" s="55" t="s">
        <v>64</v>
      </c>
      <c r="S345" s="52" t="s">
        <v>314</v>
      </c>
    </row>
    <row r="346" spans="1:52" hidden="1" outlineLevel="2" x14ac:dyDescent="0.45">
      <c r="A346" t="s">
        <v>17</v>
      </c>
      <c r="B346" s="52" t="s">
        <v>57</v>
      </c>
      <c r="C346" s="52" t="s">
        <v>376</v>
      </c>
      <c r="D346" s="52" t="s">
        <v>377</v>
      </c>
      <c r="E346" s="52" t="s">
        <v>387</v>
      </c>
      <c r="F346" s="52" t="s">
        <v>1496</v>
      </c>
      <c r="G346" s="52" t="s">
        <v>60</v>
      </c>
      <c r="H346" s="54">
        <v>46082</v>
      </c>
      <c r="I346" s="52" t="s">
        <v>271</v>
      </c>
      <c r="J346" s="52" t="s">
        <v>314</v>
      </c>
      <c r="K346" s="52" t="s">
        <v>1378</v>
      </c>
      <c r="L346" s="52" t="s">
        <v>1378</v>
      </c>
      <c r="M346" s="52" t="s">
        <v>29</v>
      </c>
      <c r="N346" s="53">
        <v>-4250</v>
      </c>
      <c r="O346" s="97">
        <v>-4250</v>
      </c>
      <c r="P346" s="52" t="s">
        <v>1379</v>
      </c>
      <c r="Q346" s="52" t="s">
        <v>1380</v>
      </c>
      <c r="R346" s="55" t="s">
        <v>64</v>
      </c>
      <c r="S346" s="52" t="s">
        <v>314</v>
      </c>
    </row>
    <row r="347" spans="1:52" outlineLevel="2" x14ac:dyDescent="0.45">
      <c r="A347" t="s">
        <v>17</v>
      </c>
      <c r="B347" s="52" t="s">
        <v>57</v>
      </c>
      <c r="C347" s="52" t="s">
        <v>758</v>
      </c>
      <c r="D347" s="52" t="s">
        <v>759</v>
      </c>
      <c r="E347" s="52" t="s">
        <v>387</v>
      </c>
      <c r="F347" s="52" t="s">
        <v>1497</v>
      </c>
      <c r="G347" s="52" t="s">
        <v>60</v>
      </c>
      <c r="H347" s="54">
        <v>46082</v>
      </c>
      <c r="I347" s="52" t="s">
        <v>271</v>
      </c>
      <c r="J347" s="52" t="s">
        <v>325</v>
      </c>
      <c r="K347" s="52" t="s">
        <v>1498</v>
      </c>
      <c r="L347" s="52" t="s">
        <v>1498</v>
      </c>
      <c r="M347" s="52" t="s">
        <v>29</v>
      </c>
      <c r="N347" s="53">
        <v>-4248</v>
      </c>
      <c r="O347" s="96">
        <v>-4248</v>
      </c>
      <c r="P347" s="52" t="s">
        <v>1499</v>
      </c>
      <c r="Q347" s="52" t="s">
        <v>1500</v>
      </c>
      <c r="R347" s="55" t="s">
        <v>64</v>
      </c>
      <c r="S347" s="52" t="s">
        <v>325</v>
      </c>
    </row>
    <row r="348" spans="1:52" outlineLevel="2" x14ac:dyDescent="0.45">
      <c r="A348" t="s">
        <v>17</v>
      </c>
      <c r="B348" s="52" t="s">
        <v>66</v>
      </c>
      <c r="C348" s="52"/>
      <c r="D348" s="52" t="s">
        <v>1276</v>
      </c>
      <c r="E348" s="52" t="s">
        <v>387</v>
      </c>
      <c r="F348" s="52" t="s">
        <v>1501</v>
      </c>
      <c r="G348" s="52" t="s">
        <v>60</v>
      </c>
      <c r="H348" s="54">
        <v>46082</v>
      </c>
      <c r="I348" s="52" t="s">
        <v>271</v>
      </c>
      <c r="J348" s="52" t="s">
        <v>272</v>
      </c>
      <c r="K348" s="52"/>
      <c r="L348" s="52"/>
      <c r="M348" s="52" t="s">
        <v>67</v>
      </c>
      <c r="N348" s="53">
        <v>-1205.42</v>
      </c>
      <c r="O348" s="96">
        <v>-4193.66</v>
      </c>
      <c r="P348" s="52" t="s">
        <v>1502</v>
      </c>
      <c r="Q348" s="52" t="s">
        <v>1502</v>
      </c>
      <c r="R348" s="55" t="s">
        <v>64</v>
      </c>
      <c r="S348" s="52" t="s">
        <v>272</v>
      </c>
      <c r="T348" s="59"/>
      <c r="U348" s="59"/>
      <c r="V348" s="59"/>
      <c r="W348" s="59"/>
      <c r="X348" s="59"/>
      <c r="Y348" s="59"/>
      <c r="Z348" s="59"/>
      <c r="AA348" s="59"/>
      <c r="AB348" s="59"/>
      <c r="AC348" s="59"/>
      <c r="AD348" s="59"/>
      <c r="AE348" s="59"/>
      <c r="AF348" s="59"/>
      <c r="AG348" s="59"/>
      <c r="AH348" s="59"/>
      <c r="AI348" s="59"/>
      <c r="AJ348" s="59"/>
      <c r="AK348" s="59"/>
      <c r="AL348" s="59"/>
      <c r="AM348" s="59"/>
      <c r="AN348" s="59"/>
      <c r="AO348" s="59"/>
      <c r="AP348" s="59"/>
      <c r="AQ348" s="59"/>
      <c r="AR348" s="59"/>
      <c r="AS348" s="59"/>
      <c r="AT348" s="59"/>
      <c r="AU348" s="59"/>
      <c r="AV348" s="59"/>
      <c r="AW348" s="59"/>
      <c r="AX348" s="59"/>
      <c r="AY348" s="59"/>
      <c r="AZ348" s="59"/>
    </row>
    <row r="349" spans="1:52" outlineLevel="2" x14ac:dyDescent="0.45">
      <c r="A349" t="s">
        <v>17</v>
      </c>
      <c r="B349" s="52" t="s">
        <v>57</v>
      </c>
      <c r="C349" s="52"/>
      <c r="D349" s="52" t="s">
        <v>1503</v>
      </c>
      <c r="E349" s="52" t="s">
        <v>387</v>
      </c>
      <c r="F349" s="52" t="s">
        <v>1504</v>
      </c>
      <c r="G349" s="52" t="s">
        <v>60</v>
      </c>
      <c r="H349" s="54">
        <v>46082</v>
      </c>
      <c r="I349" s="52" t="s">
        <v>271</v>
      </c>
      <c r="J349" s="52" t="s">
        <v>526</v>
      </c>
      <c r="K349" s="52" t="s">
        <v>1505</v>
      </c>
      <c r="L349" s="52" t="s">
        <v>1505</v>
      </c>
      <c r="M349" s="52" t="s">
        <v>29</v>
      </c>
      <c r="N349" s="53">
        <v>-4056.89</v>
      </c>
      <c r="O349" s="96">
        <v>-4056.89</v>
      </c>
      <c r="P349" s="52" t="s">
        <v>1506</v>
      </c>
      <c r="Q349" s="52" t="s">
        <v>1507</v>
      </c>
      <c r="R349" s="55" t="s">
        <v>64</v>
      </c>
      <c r="S349" s="52" t="s">
        <v>526</v>
      </c>
    </row>
    <row r="350" spans="1:52" outlineLevel="2" x14ac:dyDescent="0.45">
      <c r="A350" t="s">
        <v>17</v>
      </c>
      <c r="B350" s="52" t="s">
        <v>57</v>
      </c>
      <c r="C350" s="52"/>
      <c r="D350" s="52" t="s">
        <v>1503</v>
      </c>
      <c r="E350" s="52" t="s">
        <v>387</v>
      </c>
      <c r="F350" s="52" t="s">
        <v>1476</v>
      </c>
      <c r="G350" s="52" t="s">
        <v>60</v>
      </c>
      <c r="H350" s="54">
        <v>46082</v>
      </c>
      <c r="I350" s="52" t="s">
        <v>271</v>
      </c>
      <c r="J350" s="52" t="s">
        <v>314</v>
      </c>
      <c r="K350" s="52" t="s">
        <v>1508</v>
      </c>
      <c r="L350" s="52" t="s">
        <v>1508</v>
      </c>
      <c r="M350" s="52" t="s">
        <v>29</v>
      </c>
      <c r="N350" s="53">
        <v>-4056.2</v>
      </c>
      <c r="O350" s="96">
        <v>-4056.2</v>
      </c>
      <c r="P350" s="52" t="s">
        <v>1509</v>
      </c>
      <c r="Q350" s="52" t="s">
        <v>1479</v>
      </c>
      <c r="R350" s="55" t="s">
        <v>64</v>
      </c>
      <c r="S350" s="52" t="s">
        <v>314</v>
      </c>
    </row>
    <row r="351" spans="1:52" hidden="1" outlineLevel="2" x14ac:dyDescent="0.45">
      <c r="A351" t="s">
        <v>17</v>
      </c>
      <c r="B351" s="52" t="s">
        <v>57</v>
      </c>
      <c r="C351" s="52" t="s">
        <v>376</v>
      </c>
      <c r="D351" s="52" t="s">
        <v>377</v>
      </c>
      <c r="E351" s="52" t="s">
        <v>387</v>
      </c>
      <c r="F351" s="52" t="s">
        <v>1068</v>
      </c>
      <c r="G351" s="52" t="s">
        <v>60</v>
      </c>
      <c r="H351" s="54">
        <v>46082</v>
      </c>
      <c r="I351" s="52" t="s">
        <v>271</v>
      </c>
      <c r="J351" s="52" t="s">
        <v>526</v>
      </c>
      <c r="K351" s="52" t="s">
        <v>1392</v>
      </c>
      <c r="L351" s="52" t="s">
        <v>1392</v>
      </c>
      <c r="M351" s="52" t="s">
        <v>29</v>
      </c>
      <c r="N351" s="53">
        <v>-4000</v>
      </c>
      <c r="O351" s="97">
        <v>-4000</v>
      </c>
      <c r="P351" s="52" t="s">
        <v>1393</v>
      </c>
      <c r="Q351" s="52" t="s">
        <v>1510</v>
      </c>
      <c r="R351" s="55" t="s">
        <v>64</v>
      </c>
      <c r="S351" s="52" t="s">
        <v>526</v>
      </c>
    </row>
    <row r="352" spans="1:52" hidden="1" outlineLevel="2" x14ac:dyDescent="0.45">
      <c r="A352" t="s">
        <v>17</v>
      </c>
      <c r="B352" s="52" t="s">
        <v>57</v>
      </c>
      <c r="C352" s="52" t="s">
        <v>376</v>
      </c>
      <c r="D352" s="52" t="s">
        <v>377</v>
      </c>
      <c r="E352" s="52" t="s">
        <v>387</v>
      </c>
      <c r="F352" s="52" t="s">
        <v>1511</v>
      </c>
      <c r="G352" s="52" t="s">
        <v>60</v>
      </c>
      <c r="H352" s="54">
        <v>46082</v>
      </c>
      <c r="I352" s="52" t="s">
        <v>271</v>
      </c>
      <c r="J352" s="52" t="s">
        <v>314</v>
      </c>
      <c r="K352" s="52" t="s">
        <v>1378</v>
      </c>
      <c r="L352" s="52" t="s">
        <v>1378</v>
      </c>
      <c r="M352" s="52" t="s">
        <v>29</v>
      </c>
      <c r="N352" s="53">
        <v>-4000</v>
      </c>
      <c r="O352" s="97">
        <v>-4000</v>
      </c>
      <c r="P352" s="52" t="s">
        <v>1379</v>
      </c>
      <c r="Q352" s="52" t="s">
        <v>1380</v>
      </c>
      <c r="R352" s="55" t="s">
        <v>64</v>
      </c>
      <c r="S352" s="52" t="s">
        <v>314</v>
      </c>
    </row>
    <row r="353" spans="1:52" hidden="1" outlineLevel="2" x14ac:dyDescent="0.45">
      <c r="A353" t="s">
        <v>17</v>
      </c>
      <c r="B353" s="52" t="s">
        <v>57</v>
      </c>
      <c r="C353" s="52" t="s">
        <v>376</v>
      </c>
      <c r="D353" s="52" t="s">
        <v>377</v>
      </c>
      <c r="E353" s="52" t="s">
        <v>387</v>
      </c>
      <c r="F353" s="52" t="s">
        <v>1512</v>
      </c>
      <c r="G353" s="52" t="s">
        <v>60</v>
      </c>
      <c r="H353" s="54">
        <v>46082</v>
      </c>
      <c r="I353" s="52" t="s">
        <v>271</v>
      </c>
      <c r="J353" s="52" t="s">
        <v>314</v>
      </c>
      <c r="K353" s="52" t="s">
        <v>1378</v>
      </c>
      <c r="L353" s="52" t="s">
        <v>1378</v>
      </c>
      <c r="M353" s="52" t="s">
        <v>29</v>
      </c>
      <c r="N353" s="53">
        <v>-4000</v>
      </c>
      <c r="O353" s="97">
        <v>-4000</v>
      </c>
      <c r="P353" s="52" t="s">
        <v>1379</v>
      </c>
      <c r="Q353" s="52" t="s">
        <v>1513</v>
      </c>
      <c r="R353" s="55" t="s">
        <v>64</v>
      </c>
      <c r="S353" s="52" t="s">
        <v>314</v>
      </c>
    </row>
    <row r="354" spans="1:52" hidden="1" outlineLevel="2" x14ac:dyDescent="0.45">
      <c r="A354" t="s">
        <v>17</v>
      </c>
      <c r="B354" s="52" t="s">
        <v>57</v>
      </c>
      <c r="C354" s="52" t="s">
        <v>376</v>
      </c>
      <c r="D354" s="52" t="s">
        <v>377</v>
      </c>
      <c r="E354" s="52" t="s">
        <v>387</v>
      </c>
      <c r="F354" s="52" t="s">
        <v>1514</v>
      </c>
      <c r="G354" s="52" t="s">
        <v>60</v>
      </c>
      <c r="H354" s="54">
        <v>46082</v>
      </c>
      <c r="I354" s="52" t="s">
        <v>271</v>
      </c>
      <c r="J354" s="52" t="s">
        <v>526</v>
      </c>
      <c r="K354" s="52" t="s">
        <v>1373</v>
      </c>
      <c r="L354" s="52" t="s">
        <v>1373</v>
      </c>
      <c r="M354" s="52" t="s">
        <v>29</v>
      </c>
      <c r="N354" s="53">
        <v>-3863.05</v>
      </c>
      <c r="O354" s="97">
        <v>-3863.05</v>
      </c>
      <c r="P354" s="52" t="s">
        <v>1374</v>
      </c>
      <c r="Q354" s="52" t="s">
        <v>1515</v>
      </c>
      <c r="R354" s="55" t="s">
        <v>64</v>
      </c>
      <c r="S354" s="52" t="s">
        <v>526</v>
      </c>
    </row>
    <row r="355" spans="1:52" hidden="1" outlineLevel="2" x14ac:dyDescent="0.45">
      <c r="A355" t="s">
        <v>17</v>
      </c>
      <c r="B355" s="52" t="s">
        <v>57</v>
      </c>
      <c r="C355" s="52" t="s">
        <v>376</v>
      </c>
      <c r="D355" s="52" t="s">
        <v>377</v>
      </c>
      <c r="E355" s="52" t="s">
        <v>387</v>
      </c>
      <c r="F355" s="52" t="s">
        <v>1516</v>
      </c>
      <c r="G355" s="52" t="s">
        <v>60</v>
      </c>
      <c r="H355" s="54">
        <v>46082</v>
      </c>
      <c r="I355" s="52" t="s">
        <v>271</v>
      </c>
      <c r="J355" s="52" t="s">
        <v>526</v>
      </c>
      <c r="K355" s="52" t="s">
        <v>1373</v>
      </c>
      <c r="L355" s="52" t="s">
        <v>1373</v>
      </c>
      <c r="M355" s="52" t="s">
        <v>29</v>
      </c>
      <c r="N355" s="53">
        <v>-3500</v>
      </c>
      <c r="O355" s="97">
        <v>-3500</v>
      </c>
      <c r="P355" s="52" t="s">
        <v>1374</v>
      </c>
      <c r="Q355" s="52" t="s">
        <v>1517</v>
      </c>
      <c r="R355" s="55" t="s">
        <v>64</v>
      </c>
      <c r="S355" s="52" t="s">
        <v>526</v>
      </c>
    </row>
    <row r="356" spans="1:52" s="59" customFormat="1" hidden="1" outlineLevel="2" x14ac:dyDescent="0.45">
      <c r="A356" t="s">
        <v>17</v>
      </c>
      <c r="B356" s="52" t="s">
        <v>57</v>
      </c>
      <c r="C356" s="52" t="s">
        <v>376</v>
      </c>
      <c r="D356" s="52" t="s">
        <v>377</v>
      </c>
      <c r="E356" s="52" t="s">
        <v>387</v>
      </c>
      <c r="F356" s="52" t="s">
        <v>1518</v>
      </c>
      <c r="G356" s="52" t="s">
        <v>60</v>
      </c>
      <c r="H356" s="54">
        <v>46082</v>
      </c>
      <c r="I356" s="52" t="s">
        <v>271</v>
      </c>
      <c r="J356" s="52" t="s">
        <v>314</v>
      </c>
      <c r="K356" s="52" t="s">
        <v>1378</v>
      </c>
      <c r="L356" s="52" t="s">
        <v>1378</v>
      </c>
      <c r="M356" s="52" t="s">
        <v>29</v>
      </c>
      <c r="N356" s="53">
        <v>-3500</v>
      </c>
      <c r="O356" s="97">
        <v>-3500</v>
      </c>
      <c r="P356" s="52" t="s">
        <v>1379</v>
      </c>
      <c r="Q356" s="52" t="s">
        <v>1380</v>
      </c>
      <c r="R356" s="55" t="s">
        <v>64</v>
      </c>
      <c r="S356" s="52" t="s">
        <v>314</v>
      </c>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row>
    <row r="357" spans="1:52" outlineLevel="2" x14ac:dyDescent="0.45">
      <c r="A357" t="s">
        <v>17</v>
      </c>
      <c r="B357" s="52" t="s">
        <v>57</v>
      </c>
      <c r="C357" s="52" t="s">
        <v>870</v>
      </c>
      <c r="D357" s="52" t="s">
        <v>871</v>
      </c>
      <c r="E357" s="52" t="s">
        <v>387</v>
      </c>
      <c r="F357" s="52" t="s">
        <v>1519</v>
      </c>
      <c r="G357" s="52" t="s">
        <v>60</v>
      </c>
      <c r="H357" s="54">
        <v>46082</v>
      </c>
      <c r="I357" s="52" t="s">
        <v>271</v>
      </c>
      <c r="J357" s="52" t="s">
        <v>513</v>
      </c>
      <c r="K357" s="52"/>
      <c r="L357" s="52"/>
      <c r="M357" s="52" t="s">
        <v>29</v>
      </c>
      <c r="N357" s="53">
        <v>-3323.01</v>
      </c>
      <c r="O357" s="96">
        <v>-3323.01</v>
      </c>
      <c r="P357" s="52" t="s">
        <v>1520</v>
      </c>
      <c r="Q357" s="52" t="s">
        <v>1520</v>
      </c>
      <c r="R357" s="55" t="s">
        <v>64</v>
      </c>
      <c r="S357" s="52" t="s">
        <v>513</v>
      </c>
    </row>
    <row r="358" spans="1:52" s="59" customFormat="1" hidden="1" outlineLevel="2" x14ac:dyDescent="0.45">
      <c r="A358" t="s">
        <v>17</v>
      </c>
      <c r="B358" s="52" t="s">
        <v>57</v>
      </c>
      <c r="C358" s="52" t="s">
        <v>376</v>
      </c>
      <c r="D358" s="52" t="s">
        <v>377</v>
      </c>
      <c r="E358" s="52" t="s">
        <v>387</v>
      </c>
      <c r="F358" s="52" t="s">
        <v>1521</v>
      </c>
      <c r="G358" s="52" t="s">
        <v>60</v>
      </c>
      <c r="H358" s="54">
        <v>46082</v>
      </c>
      <c r="I358" s="52" t="s">
        <v>271</v>
      </c>
      <c r="J358" s="52" t="s">
        <v>314</v>
      </c>
      <c r="K358" s="52" t="s">
        <v>1362</v>
      </c>
      <c r="L358" s="52" t="s">
        <v>1362</v>
      </c>
      <c r="M358" s="52" t="s">
        <v>29</v>
      </c>
      <c r="N358" s="53">
        <v>-3297.06</v>
      </c>
      <c r="O358" s="97">
        <v>-3297.06</v>
      </c>
      <c r="P358" s="52" t="s">
        <v>1363</v>
      </c>
      <c r="Q358" s="52" t="s">
        <v>1364</v>
      </c>
      <c r="R358" s="55" t="s">
        <v>64</v>
      </c>
      <c r="S358" s="52" t="s">
        <v>314</v>
      </c>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row>
    <row r="359" spans="1:52" outlineLevel="2" x14ac:dyDescent="0.45">
      <c r="A359" t="s">
        <v>17</v>
      </c>
      <c r="B359" s="52" t="s">
        <v>57</v>
      </c>
      <c r="C359" s="52" t="s">
        <v>620</v>
      </c>
      <c r="D359" s="52" t="s">
        <v>621</v>
      </c>
      <c r="E359" s="52" t="s">
        <v>387</v>
      </c>
      <c r="F359" s="52" t="s">
        <v>903</v>
      </c>
      <c r="G359" s="52" t="s">
        <v>60</v>
      </c>
      <c r="H359" s="54">
        <v>46082</v>
      </c>
      <c r="I359" s="52" t="s">
        <v>271</v>
      </c>
      <c r="J359" s="52" t="s">
        <v>1522</v>
      </c>
      <c r="K359" s="52" t="s">
        <v>1523</v>
      </c>
      <c r="L359" s="52" t="s">
        <v>1523</v>
      </c>
      <c r="M359" s="52" t="s">
        <v>29</v>
      </c>
      <c r="N359" s="53">
        <v>-3281</v>
      </c>
      <c r="O359" s="53">
        <v>-3281</v>
      </c>
      <c r="P359" s="52" t="s">
        <v>1524</v>
      </c>
      <c r="Q359" s="52" t="s">
        <v>1525</v>
      </c>
      <c r="R359" s="55" t="s">
        <v>64</v>
      </c>
      <c r="S359" s="52" t="s">
        <v>1522</v>
      </c>
    </row>
    <row r="360" spans="1:52" hidden="1" outlineLevel="2" x14ac:dyDescent="0.45">
      <c r="A360" t="s">
        <v>17</v>
      </c>
      <c r="B360" s="52" t="s">
        <v>57</v>
      </c>
      <c r="C360" s="52" t="s">
        <v>376</v>
      </c>
      <c r="D360" s="52" t="s">
        <v>377</v>
      </c>
      <c r="E360" s="52" t="s">
        <v>387</v>
      </c>
      <c r="F360" s="52" t="s">
        <v>1526</v>
      </c>
      <c r="G360" s="52" t="s">
        <v>60</v>
      </c>
      <c r="H360" s="54">
        <v>46082</v>
      </c>
      <c r="I360" s="52" t="s">
        <v>271</v>
      </c>
      <c r="J360" s="52" t="s">
        <v>526</v>
      </c>
      <c r="K360" s="52" t="s">
        <v>1481</v>
      </c>
      <c r="L360" s="52" t="s">
        <v>1481</v>
      </c>
      <c r="M360" s="52" t="s">
        <v>29</v>
      </c>
      <c r="N360" s="53">
        <v>-3115</v>
      </c>
      <c r="O360" s="97">
        <v>-3115</v>
      </c>
      <c r="P360" s="52" t="s">
        <v>1379</v>
      </c>
      <c r="Q360" s="52" t="s">
        <v>1482</v>
      </c>
      <c r="R360" s="55" t="s">
        <v>64</v>
      </c>
      <c r="S360" s="52" t="s">
        <v>526</v>
      </c>
    </row>
    <row r="361" spans="1:52" hidden="1" outlineLevel="2" x14ac:dyDescent="0.45">
      <c r="A361" t="s">
        <v>17</v>
      </c>
      <c r="B361" s="52" t="s">
        <v>57</v>
      </c>
      <c r="C361" s="52" t="s">
        <v>376</v>
      </c>
      <c r="D361" s="52" t="s">
        <v>377</v>
      </c>
      <c r="E361" s="52" t="s">
        <v>387</v>
      </c>
      <c r="F361" s="52" t="s">
        <v>1136</v>
      </c>
      <c r="G361" s="52" t="s">
        <v>60</v>
      </c>
      <c r="H361" s="54">
        <v>46082</v>
      </c>
      <c r="I361" s="52" t="s">
        <v>271</v>
      </c>
      <c r="J361" s="52" t="s">
        <v>526</v>
      </c>
      <c r="K361" s="52" t="s">
        <v>1407</v>
      </c>
      <c r="L361" s="52" t="s">
        <v>1407</v>
      </c>
      <c r="M361" s="52" t="s">
        <v>29</v>
      </c>
      <c r="N361" s="53">
        <v>-3004</v>
      </c>
      <c r="O361" s="97">
        <v>-3004</v>
      </c>
      <c r="P361" s="52" t="s">
        <v>1393</v>
      </c>
      <c r="Q361" s="52" t="s">
        <v>1489</v>
      </c>
      <c r="R361" s="55" t="s">
        <v>64</v>
      </c>
      <c r="S361" s="52" t="s">
        <v>526</v>
      </c>
    </row>
    <row r="362" spans="1:52" outlineLevel="2" x14ac:dyDescent="0.45">
      <c r="A362" t="s">
        <v>17</v>
      </c>
      <c r="B362" s="52" t="s">
        <v>57</v>
      </c>
      <c r="C362" s="52" t="s">
        <v>747</v>
      </c>
      <c r="D362" s="52" t="s">
        <v>748</v>
      </c>
      <c r="E362" s="52" t="s">
        <v>387</v>
      </c>
      <c r="F362" s="52" t="s">
        <v>1251</v>
      </c>
      <c r="G362" s="52" t="s">
        <v>60</v>
      </c>
      <c r="H362" s="54">
        <v>46082</v>
      </c>
      <c r="I362" s="52" t="s">
        <v>271</v>
      </c>
      <c r="J362" s="52" t="s">
        <v>319</v>
      </c>
      <c r="K362" s="52" t="s">
        <v>1527</v>
      </c>
      <c r="L362" s="52" t="s">
        <v>1527</v>
      </c>
      <c r="M362" s="52" t="s">
        <v>29</v>
      </c>
      <c r="N362" s="53">
        <v>-2713.9</v>
      </c>
      <c r="O362" s="96">
        <v>-2713.9</v>
      </c>
      <c r="P362" s="52" t="s">
        <v>1528</v>
      </c>
      <c r="Q362" s="52" t="s">
        <v>1529</v>
      </c>
      <c r="R362" s="55" t="s">
        <v>64</v>
      </c>
      <c r="S362" s="52" t="s">
        <v>319</v>
      </c>
    </row>
    <row r="363" spans="1:52" hidden="1" outlineLevel="2" x14ac:dyDescent="0.45">
      <c r="A363" t="s">
        <v>17</v>
      </c>
      <c r="B363" s="52" t="s">
        <v>57</v>
      </c>
      <c r="C363" s="52" t="s">
        <v>376</v>
      </c>
      <c r="D363" s="52" t="s">
        <v>377</v>
      </c>
      <c r="E363" s="52" t="s">
        <v>387</v>
      </c>
      <c r="F363" s="52" t="s">
        <v>1530</v>
      </c>
      <c r="G363" s="52" t="s">
        <v>60</v>
      </c>
      <c r="H363" s="54">
        <v>46082</v>
      </c>
      <c r="I363" s="52" t="s">
        <v>271</v>
      </c>
      <c r="J363" s="52" t="s">
        <v>526</v>
      </c>
      <c r="K363" s="52" t="s">
        <v>1469</v>
      </c>
      <c r="L363" s="52" t="s">
        <v>1469</v>
      </c>
      <c r="M363" s="52" t="s">
        <v>29</v>
      </c>
      <c r="N363" s="53">
        <v>-2622.54</v>
      </c>
      <c r="O363" s="97">
        <v>-2622.54</v>
      </c>
      <c r="P363" s="52" t="s">
        <v>1379</v>
      </c>
      <c r="Q363" s="52" t="s">
        <v>1470</v>
      </c>
      <c r="R363" s="55" t="s">
        <v>64</v>
      </c>
      <c r="S363" s="52" t="s">
        <v>526</v>
      </c>
    </row>
    <row r="364" spans="1:52" hidden="1" outlineLevel="2" x14ac:dyDescent="0.45">
      <c r="A364" t="s">
        <v>17</v>
      </c>
      <c r="B364" s="52" t="s">
        <v>57</v>
      </c>
      <c r="C364" s="52" t="s">
        <v>376</v>
      </c>
      <c r="D364" s="52" t="s">
        <v>377</v>
      </c>
      <c r="E364" s="52" t="s">
        <v>387</v>
      </c>
      <c r="F364" s="52" t="s">
        <v>1531</v>
      </c>
      <c r="G364" s="52" t="s">
        <v>60</v>
      </c>
      <c r="H364" s="54">
        <v>46082</v>
      </c>
      <c r="I364" s="52" t="s">
        <v>271</v>
      </c>
      <c r="J364" s="52" t="s">
        <v>526</v>
      </c>
      <c r="K364" s="52" t="s">
        <v>1469</v>
      </c>
      <c r="L364" s="52" t="s">
        <v>1469</v>
      </c>
      <c r="M364" s="52" t="s">
        <v>29</v>
      </c>
      <c r="N364" s="53">
        <v>-2601.73</v>
      </c>
      <c r="O364" s="97">
        <v>-2601.73</v>
      </c>
      <c r="P364" s="52" t="s">
        <v>1379</v>
      </c>
      <c r="Q364" s="52" t="s">
        <v>1470</v>
      </c>
      <c r="R364" s="55" t="s">
        <v>64</v>
      </c>
      <c r="S364" s="52" t="s">
        <v>526</v>
      </c>
    </row>
    <row r="365" spans="1:52" outlineLevel="2" x14ac:dyDescent="0.45">
      <c r="A365" t="s">
        <v>17</v>
      </c>
      <c r="B365" s="52" t="s">
        <v>57</v>
      </c>
      <c r="C365" s="52" t="s">
        <v>870</v>
      </c>
      <c r="D365" s="52" t="s">
        <v>871</v>
      </c>
      <c r="E365" s="52" t="s">
        <v>387</v>
      </c>
      <c r="F365" s="52" t="s">
        <v>1532</v>
      </c>
      <c r="G365" s="52" t="s">
        <v>60</v>
      </c>
      <c r="H365" s="54">
        <v>46082</v>
      </c>
      <c r="I365" s="52" t="s">
        <v>271</v>
      </c>
      <c r="J365" s="52" t="s">
        <v>314</v>
      </c>
      <c r="K365" s="52"/>
      <c r="L365" s="52"/>
      <c r="M365" s="52" t="s">
        <v>29</v>
      </c>
      <c r="N365" s="53">
        <v>-2556.1799999999998</v>
      </c>
      <c r="O365" s="96">
        <v>-2556.1799999999998</v>
      </c>
      <c r="P365" s="52" t="s">
        <v>1533</v>
      </c>
      <c r="Q365" s="52" t="s">
        <v>1533</v>
      </c>
      <c r="R365" s="55" t="s">
        <v>64</v>
      </c>
      <c r="S365" s="52" t="s">
        <v>314</v>
      </c>
    </row>
    <row r="366" spans="1:52" s="59" customFormat="1" outlineLevel="2" x14ac:dyDescent="0.45">
      <c r="A366" t="s">
        <v>17</v>
      </c>
      <c r="B366" s="52" t="s">
        <v>57</v>
      </c>
      <c r="C366" s="52" t="s">
        <v>747</v>
      </c>
      <c r="D366" s="52" t="s">
        <v>748</v>
      </c>
      <c r="E366" s="52" t="s">
        <v>387</v>
      </c>
      <c r="F366" s="52" t="s">
        <v>1251</v>
      </c>
      <c r="G366" s="52" t="s">
        <v>60</v>
      </c>
      <c r="H366" s="54">
        <v>46082</v>
      </c>
      <c r="I366" s="52" t="s">
        <v>271</v>
      </c>
      <c r="J366" s="52" t="s">
        <v>319</v>
      </c>
      <c r="K366" s="52" t="s">
        <v>1534</v>
      </c>
      <c r="L366" s="52" t="s">
        <v>1534</v>
      </c>
      <c r="M366" s="52" t="s">
        <v>29</v>
      </c>
      <c r="N366" s="53">
        <v>-2548.1999999999998</v>
      </c>
      <c r="O366" s="96">
        <v>-2548.1999999999998</v>
      </c>
      <c r="P366" s="52" t="s">
        <v>1535</v>
      </c>
      <c r="Q366" s="52" t="s">
        <v>1529</v>
      </c>
      <c r="R366" s="55" t="s">
        <v>64</v>
      </c>
      <c r="S366" s="52" t="s">
        <v>319</v>
      </c>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row>
    <row r="367" spans="1:52" outlineLevel="2" x14ac:dyDescent="0.45">
      <c r="A367" t="s">
        <v>17</v>
      </c>
      <c r="B367" s="52" t="s">
        <v>57</v>
      </c>
      <c r="C367" s="52" t="s">
        <v>758</v>
      </c>
      <c r="D367" s="52" t="s">
        <v>759</v>
      </c>
      <c r="E367" s="52" t="s">
        <v>387</v>
      </c>
      <c r="F367" s="52" t="s">
        <v>1536</v>
      </c>
      <c r="G367" s="52" t="s">
        <v>60</v>
      </c>
      <c r="H367" s="54">
        <v>46082</v>
      </c>
      <c r="I367" s="52" t="s">
        <v>271</v>
      </c>
      <c r="J367" s="52" t="s">
        <v>325</v>
      </c>
      <c r="K367" s="52" t="s">
        <v>1537</v>
      </c>
      <c r="L367" s="52" t="s">
        <v>1537</v>
      </c>
      <c r="M367" s="52" t="s">
        <v>29</v>
      </c>
      <c r="N367" s="53">
        <v>-2370.3000000000002</v>
      </c>
      <c r="O367" s="96">
        <v>-2370.3000000000002</v>
      </c>
      <c r="P367" s="52" t="s">
        <v>1538</v>
      </c>
      <c r="Q367" s="52" t="s">
        <v>1500</v>
      </c>
      <c r="R367" s="55" t="s">
        <v>64</v>
      </c>
      <c r="S367" s="52" t="s">
        <v>325</v>
      </c>
    </row>
    <row r="368" spans="1:52" hidden="1" outlineLevel="2" x14ac:dyDescent="0.45">
      <c r="A368" t="s">
        <v>17</v>
      </c>
      <c r="B368" s="52" t="s">
        <v>57</v>
      </c>
      <c r="C368" s="52" t="s">
        <v>376</v>
      </c>
      <c r="D368" s="52" t="s">
        <v>377</v>
      </c>
      <c r="E368" s="52" t="s">
        <v>387</v>
      </c>
      <c r="F368" s="52" t="s">
        <v>1504</v>
      </c>
      <c r="G368" s="52" t="s">
        <v>60</v>
      </c>
      <c r="H368" s="54">
        <v>46082</v>
      </c>
      <c r="I368" s="52" t="s">
        <v>271</v>
      </c>
      <c r="J368" s="52" t="s">
        <v>526</v>
      </c>
      <c r="K368" s="52" t="s">
        <v>1539</v>
      </c>
      <c r="L368" s="52" t="s">
        <v>1539</v>
      </c>
      <c r="M368" s="52" t="s">
        <v>29</v>
      </c>
      <c r="N368" s="53">
        <v>-2288.11</v>
      </c>
      <c r="O368" s="97">
        <v>-2288.11</v>
      </c>
      <c r="P368" s="52" t="s">
        <v>1374</v>
      </c>
      <c r="Q368" s="52" t="s">
        <v>1507</v>
      </c>
      <c r="R368" s="55" t="s">
        <v>64</v>
      </c>
      <c r="S368" s="52" t="s">
        <v>526</v>
      </c>
    </row>
    <row r="369" spans="1:52" outlineLevel="2" x14ac:dyDescent="0.45">
      <c r="A369" t="s">
        <v>17</v>
      </c>
      <c r="B369" s="52" t="s">
        <v>57</v>
      </c>
      <c r="C369" s="52" t="s">
        <v>785</v>
      </c>
      <c r="D369" s="52" t="s">
        <v>786</v>
      </c>
      <c r="E369" s="52" t="s">
        <v>387</v>
      </c>
      <c r="F369" s="52" t="s">
        <v>1540</v>
      </c>
      <c r="G369" s="52" t="s">
        <v>60</v>
      </c>
      <c r="H369" s="54">
        <v>46082</v>
      </c>
      <c r="I369" s="52" t="s">
        <v>271</v>
      </c>
      <c r="J369" s="52" t="s">
        <v>314</v>
      </c>
      <c r="K369" s="52" t="s">
        <v>1541</v>
      </c>
      <c r="L369" s="52" t="s">
        <v>1541</v>
      </c>
      <c r="M369" s="52" t="s">
        <v>29</v>
      </c>
      <c r="N369" s="53">
        <v>-2232.56</v>
      </c>
      <c r="O369" s="96">
        <v>-2232.56</v>
      </c>
      <c r="P369" s="52" t="s">
        <v>1542</v>
      </c>
      <c r="Q369" s="52" t="s">
        <v>1543</v>
      </c>
      <c r="R369" s="55" t="s">
        <v>64</v>
      </c>
      <c r="S369" s="52" t="s">
        <v>314</v>
      </c>
    </row>
    <row r="370" spans="1:52" outlineLevel="2" x14ac:dyDescent="0.45">
      <c r="A370" t="s">
        <v>17</v>
      </c>
      <c r="B370" s="52" t="s">
        <v>57</v>
      </c>
      <c r="C370" s="52" t="s">
        <v>774</v>
      </c>
      <c r="D370" s="52" t="s">
        <v>775</v>
      </c>
      <c r="E370" s="52" t="s">
        <v>387</v>
      </c>
      <c r="F370" s="52" t="s">
        <v>1544</v>
      </c>
      <c r="G370" s="52" t="s">
        <v>60</v>
      </c>
      <c r="H370" s="54">
        <v>46082</v>
      </c>
      <c r="I370" s="52" t="s">
        <v>271</v>
      </c>
      <c r="J370" s="52" t="s">
        <v>314</v>
      </c>
      <c r="K370" s="52" t="s">
        <v>777</v>
      </c>
      <c r="L370" s="52" t="s">
        <v>777</v>
      </c>
      <c r="M370" s="52" t="s">
        <v>29</v>
      </c>
      <c r="N370" s="53">
        <v>-2101.16</v>
      </c>
      <c r="O370" s="96">
        <v>-2101.16</v>
      </c>
      <c r="P370" s="52" t="s">
        <v>778</v>
      </c>
      <c r="Q370" s="52" t="s">
        <v>1545</v>
      </c>
      <c r="R370" s="55" t="s">
        <v>64</v>
      </c>
      <c r="S370" s="52" t="s">
        <v>314</v>
      </c>
    </row>
    <row r="371" spans="1:52" hidden="1" outlineLevel="2" x14ac:dyDescent="0.45">
      <c r="A371" t="s">
        <v>17</v>
      </c>
      <c r="B371" s="52" t="s">
        <v>57</v>
      </c>
      <c r="C371" s="52" t="s">
        <v>376</v>
      </c>
      <c r="D371" s="52" t="s">
        <v>377</v>
      </c>
      <c r="E371" s="52" t="s">
        <v>387</v>
      </c>
      <c r="F371" s="52" t="s">
        <v>1546</v>
      </c>
      <c r="G371" s="52" t="s">
        <v>60</v>
      </c>
      <c r="H371" s="54">
        <v>46082</v>
      </c>
      <c r="I371" s="52" t="s">
        <v>271</v>
      </c>
      <c r="J371" s="52" t="s">
        <v>314</v>
      </c>
      <c r="K371" s="52" t="s">
        <v>1362</v>
      </c>
      <c r="L371" s="52" t="s">
        <v>1362</v>
      </c>
      <c r="M371" s="52" t="s">
        <v>29</v>
      </c>
      <c r="N371" s="53">
        <v>-2096.81</v>
      </c>
      <c r="O371" s="97">
        <v>-2096.81</v>
      </c>
      <c r="P371" s="52" t="s">
        <v>1363</v>
      </c>
      <c r="Q371" s="52" t="s">
        <v>1364</v>
      </c>
      <c r="R371" s="55" t="s">
        <v>64</v>
      </c>
      <c r="S371" s="52" t="s">
        <v>314</v>
      </c>
    </row>
    <row r="372" spans="1:52" outlineLevel="2" x14ac:dyDescent="0.45">
      <c r="A372" t="s">
        <v>17</v>
      </c>
      <c r="B372" s="52" t="s">
        <v>57</v>
      </c>
      <c r="C372" s="52" t="s">
        <v>1547</v>
      </c>
      <c r="D372" s="52" t="s">
        <v>1548</v>
      </c>
      <c r="E372" s="52" t="s">
        <v>387</v>
      </c>
      <c r="F372" s="52" t="s">
        <v>1549</v>
      </c>
      <c r="G372" s="52" t="s">
        <v>60</v>
      </c>
      <c r="H372" s="54">
        <v>46082</v>
      </c>
      <c r="I372" s="52" t="s">
        <v>271</v>
      </c>
      <c r="J372" s="52" t="s">
        <v>272</v>
      </c>
      <c r="K372" s="52" t="s">
        <v>1550</v>
      </c>
      <c r="L372" s="52" t="s">
        <v>1550</v>
      </c>
      <c r="M372" s="52" t="s">
        <v>29</v>
      </c>
      <c r="N372" s="53">
        <v>-2006.19</v>
      </c>
      <c r="O372" s="96">
        <v>-2006.19</v>
      </c>
      <c r="P372" s="52" t="s">
        <v>1551</v>
      </c>
      <c r="Q372" s="52" t="s">
        <v>1552</v>
      </c>
      <c r="R372" s="55" t="s">
        <v>64</v>
      </c>
      <c r="S372" s="52" t="s">
        <v>272</v>
      </c>
    </row>
    <row r="373" spans="1:52" hidden="1" outlineLevel="2" x14ac:dyDescent="0.45">
      <c r="A373" t="s">
        <v>17</v>
      </c>
      <c r="B373" s="52" t="s">
        <v>57</v>
      </c>
      <c r="C373" s="52" t="s">
        <v>376</v>
      </c>
      <c r="D373" s="52" t="s">
        <v>377</v>
      </c>
      <c r="E373" s="52" t="s">
        <v>387</v>
      </c>
      <c r="F373" s="52" t="s">
        <v>994</v>
      </c>
      <c r="G373" s="52" t="s">
        <v>60</v>
      </c>
      <c r="H373" s="54">
        <v>46082</v>
      </c>
      <c r="I373" s="52" t="s">
        <v>271</v>
      </c>
      <c r="J373" s="52" t="s">
        <v>519</v>
      </c>
      <c r="K373" s="52" t="s">
        <v>1383</v>
      </c>
      <c r="L373" s="52" t="s">
        <v>1383</v>
      </c>
      <c r="M373" s="52" t="s">
        <v>29</v>
      </c>
      <c r="N373" s="53">
        <v>-2000</v>
      </c>
      <c r="O373" s="97">
        <v>-2000</v>
      </c>
      <c r="P373" s="52" t="s">
        <v>1384</v>
      </c>
      <c r="Q373" s="52" t="s">
        <v>1553</v>
      </c>
      <c r="R373" s="55" t="s">
        <v>64</v>
      </c>
      <c r="S373" s="52" t="s">
        <v>519</v>
      </c>
    </row>
    <row r="374" spans="1:52" hidden="1" outlineLevel="2" x14ac:dyDescent="0.45">
      <c r="A374" t="s">
        <v>17</v>
      </c>
      <c r="B374" s="52" t="s">
        <v>57</v>
      </c>
      <c r="C374" s="52" t="s">
        <v>376</v>
      </c>
      <c r="D374" s="52" t="s">
        <v>377</v>
      </c>
      <c r="E374" s="52" t="s">
        <v>387</v>
      </c>
      <c r="F374" s="52" t="s">
        <v>356</v>
      </c>
      <c r="G374" s="52" t="s">
        <v>60</v>
      </c>
      <c r="H374" s="54">
        <v>46082</v>
      </c>
      <c r="I374" s="52" t="s">
        <v>271</v>
      </c>
      <c r="J374" s="52" t="s">
        <v>526</v>
      </c>
      <c r="K374" s="52" t="s">
        <v>1373</v>
      </c>
      <c r="L374" s="52" t="s">
        <v>1373</v>
      </c>
      <c r="M374" s="52" t="s">
        <v>29</v>
      </c>
      <c r="N374" s="53">
        <v>-2000</v>
      </c>
      <c r="O374" s="97">
        <v>-2000</v>
      </c>
      <c r="P374" s="52" t="s">
        <v>1374</v>
      </c>
      <c r="Q374" s="52" t="s">
        <v>1554</v>
      </c>
      <c r="R374" s="55" t="s">
        <v>64</v>
      </c>
      <c r="S374" s="52" t="s">
        <v>526</v>
      </c>
    </row>
    <row r="375" spans="1:52" outlineLevel="2" x14ac:dyDescent="0.45">
      <c r="A375" t="s">
        <v>17</v>
      </c>
      <c r="B375" s="52" t="s">
        <v>57</v>
      </c>
      <c r="C375" s="52" t="s">
        <v>630</v>
      </c>
      <c r="D375" s="52" t="s">
        <v>631</v>
      </c>
      <c r="E375" s="52" t="s">
        <v>387</v>
      </c>
      <c r="F375" s="52" t="s">
        <v>1555</v>
      </c>
      <c r="G375" s="52" t="s">
        <v>60</v>
      </c>
      <c r="H375" s="54">
        <v>46082</v>
      </c>
      <c r="I375" s="52" t="s">
        <v>271</v>
      </c>
      <c r="J375" s="52" t="s">
        <v>314</v>
      </c>
      <c r="K375" s="52" t="s">
        <v>1417</v>
      </c>
      <c r="L375" s="52" t="s">
        <v>1417</v>
      </c>
      <c r="M375" s="52" t="s">
        <v>29</v>
      </c>
      <c r="N375" s="53">
        <v>-2000</v>
      </c>
      <c r="O375" s="100">
        <v>-2000</v>
      </c>
      <c r="P375" s="52" t="s">
        <v>1418</v>
      </c>
      <c r="Q375" s="52" t="s">
        <v>1419</v>
      </c>
      <c r="R375" s="55" t="s">
        <v>64</v>
      </c>
      <c r="S375" s="52" t="s">
        <v>314</v>
      </c>
      <c r="T375" s="59"/>
      <c r="U375" s="59"/>
      <c r="V375" s="59"/>
      <c r="W375" s="59"/>
      <c r="X375" s="59"/>
      <c r="Y375" s="59"/>
      <c r="Z375" s="59"/>
      <c r="AA375" s="59"/>
      <c r="AB375" s="59"/>
      <c r="AC375" s="59"/>
      <c r="AD375" s="59"/>
      <c r="AE375" s="59"/>
      <c r="AF375" s="59"/>
      <c r="AG375" s="59"/>
      <c r="AH375" s="59"/>
      <c r="AI375" s="59"/>
      <c r="AJ375" s="59"/>
      <c r="AK375" s="59"/>
      <c r="AL375" s="59"/>
      <c r="AM375" s="59"/>
      <c r="AN375" s="59"/>
      <c r="AO375" s="59"/>
      <c r="AP375" s="59"/>
      <c r="AQ375" s="59"/>
      <c r="AR375" s="59"/>
      <c r="AS375" s="59"/>
      <c r="AT375" s="59"/>
      <c r="AU375" s="59"/>
      <c r="AV375" s="59"/>
      <c r="AW375" s="59"/>
      <c r="AX375" s="59"/>
      <c r="AY375" s="59"/>
      <c r="AZ375" s="59"/>
    </row>
    <row r="376" spans="1:52" outlineLevel="2" x14ac:dyDescent="0.45">
      <c r="A376" t="s">
        <v>17</v>
      </c>
      <c r="B376" s="52" t="s">
        <v>57</v>
      </c>
      <c r="C376" s="52" t="s">
        <v>774</v>
      </c>
      <c r="D376" s="52" t="s">
        <v>775</v>
      </c>
      <c r="E376" s="52" t="s">
        <v>387</v>
      </c>
      <c r="F376" s="52" t="s">
        <v>1556</v>
      </c>
      <c r="G376" s="52" t="s">
        <v>60</v>
      </c>
      <c r="H376" s="54">
        <v>46082</v>
      </c>
      <c r="I376" s="52" t="s">
        <v>271</v>
      </c>
      <c r="J376" s="52" t="s">
        <v>325</v>
      </c>
      <c r="K376" s="52" t="s">
        <v>777</v>
      </c>
      <c r="L376" s="52" t="s">
        <v>777</v>
      </c>
      <c r="M376" s="52" t="s">
        <v>29</v>
      </c>
      <c r="N376" s="53">
        <v>-2000</v>
      </c>
      <c r="O376" s="100">
        <v>-2000</v>
      </c>
      <c r="P376" s="52" t="s">
        <v>778</v>
      </c>
      <c r="Q376" s="52" t="s">
        <v>1557</v>
      </c>
      <c r="R376" s="55" t="s">
        <v>64</v>
      </c>
      <c r="S376" s="52" t="s">
        <v>325</v>
      </c>
    </row>
    <row r="377" spans="1:52" outlineLevel="2" x14ac:dyDescent="0.45">
      <c r="A377" t="s">
        <v>17</v>
      </c>
      <c r="B377" s="52" t="s">
        <v>57</v>
      </c>
      <c r="C377" s="52" t="s">
        <v>774</v>
      </c>
      <c r="D377" s="52" t="s">
        <v>775</v>
      </c>
      <c r="E377" s="52" t="s">
        <v>387</v>
      </c>
      <c r="F377" s="52" t="s">
        <v>1558</v>
      </c>
      <c r="G377" s="52" t="s">
        <v>60</v>
      </c>
      <c r="H377" s="54">
        <v>46082</v>
      </c>
      <c r="I377" s="52" t="s">
        <v>271</v>
      </c>
      <c r="J377" s="52" t="s">
        <v>325</v>
      </c>
      <c r="K377" s="52" t="s">
        <v>777</v>
      </c>
      <c r="L377" s="52" t="s">
        <v>777</v>
      </c>
      <c r="M377" s="52" t="s">
        <v>29</v>
      </c>
      <c r="N377" s="53">
        <v>-1938.1</v>
      </c>
      <c r="O377" s="96">
        <v>-1938.1</v>
      </c>
      <c r="P377" s="52" t="s">
        <v>778</v>
      </c>
      <c r="Q377" s="52" t="s">
        <v>1559</v>
      </c>
      <c r="R377" s="55" t="s">
        <v>64</v>
      </c>
      <c r="S377" s="52" t="s">
        <v>325</v>
      </c>
    </row>
    <row r="378" spans="1:52" outlineLevel="2" x14ac:dyDescent="0.45">
      <c r="A378" t="s">
        <v>17</v>
      </c>
      <c r="B378" s="52" t="s">
        <v>57</v>
      </c>
      <c r="C378" s="52" t="s">
        <v>829</v>
      </c>
      <c r="D378" s="52" t="s">
        <v>830</v>
      </c>
      <c r="E378" s="52" t="s">
        <v>387</v>
      </c>
      <c r="F378" s="52" t="s">
        <v>1560</v>
      </c>
      <c r="G378" s="52" t="s">
        <v>60</v>
      </c>
      <c r="H378" s="54">
        <v>46082</v>
      </c>
      <c r="I378" s="52" t="s">
        <v>271</v>
      </c>
      <c r="J378" s="52" t="s">
        <v>306</v>
      </c>
      <c r="K378" s="52" t="s">
        <v>1561</v>
      </c>
      <c r="L378" s="52" t="s">
        <v>1562</v>
      </c>
      <c r="M378" s="52" t="s">
        <v>29</v>
      </c>
      <c r="N378" s="53">
        <v>-1808.4</v>
      </c>
      <c r="O378" s="96">
        <v>-1808.4</v>
      </c>
      <c r="P378" s="52" t="s">
        <v>834</v>
      </c>
      <c r="Q378" s="52" t="s">
        <v>1563</v>
      </c>
      <c r="R378" s="55" t="s">
        <v>64</v>
      </c>
      <c r="S378" s="52" t="s">
        <v>306</v>
      </c>
    </row>
    <row r="379" spans="1:52" hidden="1" outlineLevel="2" x14ac:dyDescent="0.45">
      <c r="A379" t="s">
        <v>17</v>
      </c>
      <c r="B379" s="52" t="s">
        <v>57</v>
      </c>
      <c r="C379" s="52" t="s">
        <v>376</v>
      </c>
      <c r="D379" s="52" t="s">
        <v>377</v>
      </c>
      <c r="E379" s="52" t="s">
        <v>387</v>
      </c>
      <c r="F379" s="52" t="s">
        <v>1564</v>
      </c>
      <c r="G379" s="52" t="s">
        <v>60</v>
      </c>
      <c r="H379" s="54">
        <v>46082</v>
      </c>
      <c r="I379" s="52" t="s">
        <v>271</v>
      </c>
      <c r="J379" s="52" t="s">
        <v>519</v>
      </c>
      <c r="K379" s="52" t="s">
        <v>1383</v>
      </c>
      <c r="L379" s="52" t="s">
        <v>1383</v>
      </c>
      <c r="M379" s="52" t="s">
        <v>29</v>
      </c>
      <c r="N379" s="53">
        <v>-1700</v>
      </c>
      <c r="O379" s="97">
        <v>-1700</v>
      </c>
      <c r="P379" s="52" t="s">
        <v>1384</v>
      </c>
      <c r="Q379" s="52" t="s">
        <v>1553</v>
      </c>
      <c r="R379" s="55" t="s">
        <v>64</v>
      </c>
      <c r="S379" s="52" t="s">
        <v>519</v>
      </c>
    </row>
    <row r="380" spans="1:52" outlineLevel="2" x14ac:dyDescent="0.45">
      <c r="A380" t="s">
        <v>17</v>
      </c>
      <c r="B380" s="52" t="s">
        <v>57</v>
      </c>
      <c r="C380" s="52" t="s">
        <v>805</v>
      </c>
      <c r="D380" s="52" t="s">
        <v>806</v>
      </c>
      <c r="E380" s="52" t="s">
        <v>387</v>
      </c>
      <c r="F380" s="52" t="s">
        <v>1565</v>
      </c>
      <c r="G380" s="52" t="s">
        <v>60</v>
      </c>
      <c r="H380" s="54">
        <v>46082</v>
      </c>
      <c r="I380" s="52" t="s">
        <v>271</v>
      </c>
      <c r="J380" s="52" t="s">
        <v>325</v>
      </c>
      <c r="K380" s="52" t="s">
        <v>1566</v>
      </c>
      <c r="L380" s="52" t="s">
        <v>1566</v>
      </c>
      <c r="M380" s="52" t="s">
        <v>29</v>
      </c>
      <c r="N380" s="53">
        <v>-1652</v>
      </c>
      <c r="O380" s="96">
        <v>-1652</v>
      </c>
      <c r="P380" s="52" t="s">
        <v>1567</v>
      </c>
      <c r="Q380" s="52" t="s">
        <v>1500</v>
      </c>
      <c r="R380" s="55" t="s">
        <v>64</v>
      </c>
      <c r="S380" s="52" t="s">
        <v>325</v>
      </c>
    </row>
    <row r="381" spans="1:52" outlineLevel="2" x14ac:dyDescent="0.45">
      <c r="A381" t="s">
        <v>17</v>
      </c>
      <c r="B381" s="52" t="s">
        <v>57</v>
      </c>
      <c r="C381" s="52" t="s">
        <v>774</v>
      </c>
      <c r="D381" s="52" t="s">
        <v>775</v>
      </c>
      <c r="E381" s="52" t="s">
        <v>387</v>
      </c>
      <c r="F381" s="52" t="s">
        <v>1544</v>
      </c>
      <c r="G381" s="52" t="s">
        <v>60</v>
      </c>
      <c r="H381" s="54">
        <v>46082</v>
      </c>
      <c r="I381" s="52" t="s">
        <v>271</v>
      </c>
      <c r="J381" s="52" t="s">
        <v>314</v>
      </c>
      <c r="K381" s="52" t="s">
        <v>777</v>
      </c>
      <c r="L381" s="52" t="s">
        <v>777</v>
      </c>
      <c r="M381" s="52" t="s">
        <v>29</v>
      </c>
      <c r="N381" s="53">
        <v>-1561.78</v>
      </c>
      <c r="O381" s="96">
        <v>-1561.78</v>
      </c>
      <c r="P381" s="52" t="s">
        <v>778</v>
      </c>
      <c r="Q381" s="52" t="s">
        <v>1545</v>
      </c>
      <c r="R381" s="55" t="s">
        <v>64</v>
      </c>
      <c r="S381" s="52" t="s">
        <v>314</v>
      </c>
    </row>
    <row r="382" spans="1:52" outlineLevel="2" x14ac:dyDescent="0.45">
      <c r="A382" t="s">
        <v>17</v>
      </c>
      <c r="B382" s="52" t="s">
        <v>66</v>
      </c>
      <c r="C382" s="52"/>
      <c r="D382" s="52" t="s">
        <v>1276</v>
      </c>
      <c r="E382" s="52" t="s">
        <v>387</v>
      </c>
      <c r="F382" s="52" t="s">
        <v>1568</v>
      </c>
      <c r="G382" s="52" t="s">
        <v>60</v>
      </c>
      <c r="H382" s="54">
        <v>46082</v>
      </c>
      <c r="I382" s="52" t="s">
        <v>271</v>
      </c>
      <c r="J382" s="52" t="s">
        <v>513</v>
      </c>
      <c r="K382" s="52"/>
      <c r="L382" s="52"/>
      <c r="M382" s="52" t="s">
        <v>67</v>
      </c>
      <c r="N382" s="53">
        <v>-438.49</v>
      </c>
      <c r="O382" s="96">
        <v>-1524.63</v>
      </c>
      <c r="P382" s="52" t="s">
        <v>1569</v>
      </c>
      <c r="Q382" s="52" t="s">
        <v>1569</v>
      </c>
      <c r="R382" s="55" t="s">
        <v>64</v>
      </c>
      <c r="S382" s="52" t="s">
        <v>513</v>
      </c>
    </row>
    <row r="383" spans="1:52" hidden="1" outlineLevel="2" x14ac:dyDescent="0.45">
      <c r="A383" t="s">
        <v>17</v>
      </c>
      <c r="B383" s="52" t="s">
        <v>57</v>
      </c>
      <c r="C383" s="52" t="s">
        <v>376</v>
      </c>
      <c r="D383" s="52" t="s">
        <v>377</v>
      </c>
      <c r="E383" s="52" t="s">
        <v>387</v>
      </c>
      <c r="F383" s="52" t="s">
        <v>491</v>
      </c>
      <c r="G383" s="52" t="s">
        <v>60</v>
      </c>
      <c r="H383" s="54">
        <v>46082</v>
      </c>
      <c r="I383" s="52" t="s">
        <v>271</v>
      </c>
      <c r="J383" s="52" t="s">
        <v>526</v>
      </c>
      <c r="K383" s="52" t="s">
        <v>1386</v>
      </c>
      <c r="L383" s="52" t="s">
        <v>1386</v>
      </c>
      <c r="M383" s="52" t="s">
        <v>29</v>
      </c>
      <c r="N383" s="53">
        <v>-1454.35</v>
      </c>
      <c r="O383" s="97">
        <v>-1454.35</v>
      </c>
      <c r="P383" s="52" t="s">
        <v>1387</v>
      </c>
      <c r="Q383" s="52" t="s">
        <v>1390</v>
      </c>
      <c r="R383" s="55" t="s">
        <v>64</v>
      </c>
      <c r="S383" s="52" t="s">
        <v>526</v>
      </c>
    </row>
    <row r="384" spans="1:52" outlineLevel="2" x14ac:dyDescent="0.45">
      <c r="A384" t="s">
        <v>17</v>
      </c>
      <c r="B384" s="52" t="s">
        <v>57</v>
      </c>
      <c r="C384" s="52" t="s">
        <v>682</v>
      </c>
      <c r="D384" s="52" t="s">
        <v>683</v>
      </c>
      <c r="E384" s="52" t="s">
        <v>387</v>
      </c>
      <c r="F384" s="52" t="s">
        <v>821</v>
      </c>
      <c r="G384" s="52" t="s">
        <v>60</v>
      </c>
      <c r="H384" s="54">
        <v>46082</v>
      </c>
      <c r="I384" s="52" t="s">
        <v>271</v>
      </c>
      <c r="J384" s="52" t="s">
        <v>1522</v>
      </c>
      <c r="K384" s="52" t="s">
        <v>1432</v>
      </c>
      <c r="L384" s="52" t="s">
        <v>1432</v>
      </c>
      <c r="M384" s="52" t="s">
        <v>29</v>
      </c>
      <c r="N384" s="53">
        <v>-1426</v>
      </c>
      <c r="O384" s="96">
        <v>-1426</v>
      </c>
      <c r="P384" s="52" t="s">
        <v>1433</v>
      </c>
      <c r="Q384" s="52" t="s">
        <v>1525</v>
      </c>
      <c r="R384" s="55" t="s">
        <v>64</v>
      </c>
      <c r="S384" s="52" t="s">
        <v>1522</v>
      </c>
    </row>
    <row r="385" spans="1:52" outlineLevel="2" x14ac:dyDescent="0.45">
      <c r="A385" t="s">
        <v>17</v>
      </c>
      <c r="B385" s="52" t="s">
        <v>57</v>
      </c>
      <c r="C385" s="52" t="s">
        <v>870</v>
      </c>
      <c r="D385" s="52" t="s">
        <v>871</v>
      </c>
      <c r="E385" s="52" t="s">
        <v>387</v>
      </c>
      <c r="F385" s="52" t="s">
        <v>1570</v>
      </c>
      <c r="G385" s="52" t="s">
        <v>60</v>
      </c>
      <c r="H385" s="54">
        <v>46082</v>
      </c>
      <c r="I385" s="52" t="s">
        <v>271</v>
      </c>
      <c r="J385" s="52" t="s">
        <v>272</v>
      </c>
      <c r="K385" s="52"/>
      <c r="L385" s="52"/>
      <c r="M385" s="52" t="s">
        <v>29</v>
      </c>
      <c r="N385" s="53">
        <v>-1341.54</v>
      </c>
      <c r="O385" s="96">
        <v>-1341.54</v>
      </c>
      <c r="P385" s="52" t="s">
        <v>1571</v>
      </c>
      <c r="Q385" s="52" t="s">
        <v>1571</v>
      </c>
      <c r="R385" s="55" t="s">
        <v>64</v>
      </c>
      <c r="S385" s="52" t="s">
        <v>272</v>
      </c>
    </row>
    <row r="386" spans="1:52" outlineLevel="2" x14ac:dyDescent="0.45">
      <c r="A386" t="s">
        <v>17</v>
      </c>
      <c r="B386" s="52" t="s">
        <v>57</v>
      </c>
      <c r="C386" s="52" t="s">
        <v>774</v>
      </c>
      <c r="D386" s="52" t="s">
        <v>775</v>
      </c>
      <c r="E386" s="52" t="s">
        <v>387</v>
      </c>
      <c r="F386" s="52" t="s">
        <v>1544</v>
      </c>
      <c r="G386" s="52" t="s">
        <v>60</v>
      </c>
      <c r="H386" s="54">
        <v>46082</v>
      </c>
      <c r="I386" s="52" t="s">
        <v>271</v>
      </c>
      <c r="J386" s="52" t="s">
        <v>314</v>
      </c>
      <c r="K386" s="52" t="s">
        <v>777</v>
      </c>
      <c r="L386" s="52" t="s">
        <v>777</v>
      </c>
      <c r="M386" s="52" t="s">
        <v>29</v>
      </c>
      <c r="N386" s="53">
        <v>-1337.06</v>
      </c>
      <c r="O386" s="96">
        <v>-1337.06</v>
      </c>
      <c r="P386" s="52" t="s">
        <v>778</v>
      </c>
      <c r="Q386" s="52" t="s">
        <v>1545</v>
      </c>
      <c r="R386" s="55" t="s">
        <v>64</v>
      </c>
      <c r="S386" s="52" t="s">
        <v>314</v>
      </c>
    </row>
    <row r="387" spans="1:52" outlineLevel="2" x14ac:dyDescent="0.45">
      <c r="A387" t="s">
        <v>17</v>
      </c>
      <c r="B387" s="52" t="s">
        <v>66</v>
      </c>
      <c r="C387" s="52"/>
      <c r="D387" s="52" t="s">
        <v>1276</v>
      </c>
      <c r="E387" s="52" t="s">
        <v>387</v>
      </c>
      <c r="F387" s="52" t="s">
        <v>1572</v>
      </c>
      <c r="G387" s="52" t="s">
        <v>60</v>
      </c>
      <c r="H387" s="54">
        <v>46082</v>
      </c>
      <c r="I387" s="52" t="s">
        <v>271</v>
      </c>
      <c r="J387" s="52" t="s">
        <v>319</v>
      </c>
      <c r="K387" s="52"/>
      <c r="L387" s="52"/>
      <c r="M387" s="52" t="s">
        <v>67</v>
      </c>
      <c r="N387" s="53">
        <v>-379.82</v>
      </c>
      <c r="O387" s="96">
        <v>-1310</v>
      </c>
      <c r="P387" s="52" t="s">
        <v>1573</v>
      </c>
      <c r="Q387" s="52" t="s">
        <v>1573</v>
      </c>
      <c r="R387" s="55" t="s">
        <v>64</v>
      </c>
      <c r="S387" s="52" t="s">
        <v>319</v>
      </c>
    </row>
    <row r="388" spans="1:52" hidden="1" outlineLevel="2" x14ac:dyDescent="0.45">
      <c r="A388" t="s">
        <v>17</v>
      </c>
      <c r="B388" s="52" t="s">
        <v>57</v>
      </c>
      <c r="C388" s="52" t="s">
        <v>376</v>
      </c>
      <c r="D388" s="52" t="s">
        <v>377</v>
      </c>
      <c r="E388" s="52" t="s">
        <v>387</v>
      </c>
      <c r="F388" s="52" t="s">
        <v>1074</v>
      </c>
      <c r="G388" s="52" t="s">
        <v>60</v>
      </c>
      <c r="H388" s="54">
        <v>46082</v>
      </c>
      <c r="I388" s="52" t="s">
        <v>271</v>
      </c>
      <c r="J388" s="52" t="s">
        <v>526</v>
      </c>
      <c r="K388" s="52" t="s">
        <v>1392</v>
      </c>
      <c r="L388" s="52" t="s">
        <v>1392</v>
      </c>
      <c r="M388" s="52" t="s">
        <v>29</v>
      </c>
      <c r="N388" s="53">
        <v>-1304.3399999999999</v>
      </c>
      <c r="O388" s="97">
        <v>-1304.3399999999999</v>
      </c>
      <c r="P388" s="52" t="s">
        <v>1393</v>
      </c>
      <c r="Q388" s="52" t="s">
        <v>1574</v>
      </c>
      <c r="R388" s="55" t="s">
        <v>64</v>
      </c>
      <c r="S388" s="52" t="s">
        <v>526</v>
      </c>
    </row>
    <row r="389" spans="1:52" outlineLevel="2" x14ac:dyDescent="0.45">
      <c r="A389" t="s">
        <v>17</v>
      </c>
      <c r="B389" s="52" t="s">
        <v>66</v>
      </c>
      <c r="C389" s="52"/>
      <c r="D389" s="52" t="s">
        <v>1575</v>
      </c>
      <c r="E389" s="52" t="s">
        <v>387</v>
      </c>
      <c r="F389" s="52" t="s">
        <v>1576</v>
      </c>
      <c r="G389" s="52" t="s">
        <v>60</v>
      </c>
      <c r="H389" s="54">
        <v>46082</v>
      </c>
      <c r="I389" s="52" t="s">
        <v>271</v>
      </c>
      <c r="J389" s="52" t="s">
        <v>314</v>
      </c>
      <c r="K389" s="52" t="s">
        <v>1577</v>
      </c>
      <c r="L389" s="52" t="s">
        <v>1577</v>
      </c>
      <c r="M389" s="52" t="s">
        <v>67</v>
      </c>
      <c r="N389" s="53">
        <v>-353.1</v>
      </c>
      <c r="O389" s="96">
        <v>-1230.9100000000001</v>
      </c>
      <c r="P389" s="52" t="s">
        <v>1578</v>
      </c>
      <c r="Q389" s="52" t="s">
        <v>1579</v>
      </c>
      <c r="R389" s="55" t="s">
        <v>64</v>
      </c>
      <c r="S389" s="52" t="s">
        <v>314</v>
      </c>
    </row>
    <row r="390" spans="1:52" outlineLevel="2" x14ac:dyDescent="0.45">
      <c r="A390" t="s">
        <v>17</v>
      </c>
      <c r="B390" s="52" t="s">
        <v>57</v>
      </c>
      <c r="C390" s="52" t="s">
        <v>838</v>
      </c>
      <c r="D390" s="52" t="s">
        <v>839</v>
      </c>
      <c r="E390" s="52" t="s">
        <v>387</v>
      </c>
      <c r="F390" s="52" t="s">
        <v>1580</v>
      </c>
      <c r="G390" s="52" t="s">
        <v>60</v>
      </c>
      <c r="H390" s="54">
        <v>46082</v>
      </c>
      <c r="I390" s="52" t="s">
        <v>271</v>
      </c>
      <c r="J390" s="52" t="s">
        <v>314</v>
      </c>
      <c r="K390" s="52" t="s">
        <v>1581</v>
      </c>
      <c r="L390" s="52" t="s">
        <v>1581</v>
      </c>
      <c r="M390" s="52" t="s">
        <v>29</v>
      </c>
      <c r="N390" s="53">
        <v>-1215.8499999999999</v>
      </c>
      <c r="O390" s="96">
        <v>-1215.8499999999999</v>
      </c>
      <c r="P390" s="52" t="s">
        <v>1582</v>
      </c>
      <c r="Q390" s="52" t="s">
        <v>1583</v>
      </c>
      <c r="R390" s="55" t="s">
        <v>64</v>
      </c>
      <c r="S390" s="52" t="s">
        <v>314</v>
      </c>
    </row>
    <row r="391" spans="1:52" outlineLevel="2" x14ac:dyDescent="0.45">
      <c r="A391" t="s">
        <v>17</v>
      </c>
      <c r="B391" s="52" t="s">
        <v>57</v>
      </c>
      <c r="C391" s="52" t="s">
        <v>911</v>
      </c>
      <c r="D391" s="52" t="s">
        <v>912</v>
      </c>
      <c r="E391" s="52" t="s">
        <v>387</v>
      </c>
      <c r="F391" s="52" t="s">
        <v>1584</v>
      </c>
      <c r="G391" s="52" t="s">
        <v>60</v>
      </c>
      <c r="H391" s="54">
        <v>46082</v>
      </c>
      <c r="I391" s="52" t="s">
        <v>271</v>
      </c>
      <c r="J391" s="52" t="s">
        <v>314</v>
      </c>
      <c r="K391" s="52" t="s">
        <v>1585</v>
      </c>
      <c r="L391" s="52" t="s">
        <v>1585</v>
      </c>
      <c r="M391" s="52" t="s">
        <v>29</v>
      </c>
      <c r="N391" s="53">
        <v>-1200</v>
      </c>
      <c r="O391" s="96">
        <v>-1200</v>
      </c>
      <c r="P391" s="52" t="s">
        <v>1586</v>
      </c>
      <c r="Q391" s="52" t="s">
        <v>1587</v>
      </c>
      <c r="R391" s="55" t="s">
        <v>64</v>
      </c>
      <c r="S391" s="52" t="s">
        <v>314</v>
      </c>
    </row>
    <row r="392" spans="1:52" hidden="1" outlineLevel="2" x14ac:dyDescent="0.45">
      <c r="A392" t="s">
        <v>17</v>
      </c>
      <c r="B392" s="52" t="s">
        <v>57</v>
      </c>
      <c r="C392" s="52" t="s">
        <v>376</v>
      </c>
      <c r="D392" s="52" t="s">
        <v>377</v>
      </c>
      <c r="E392" s="52" t="s">
        <v>387</v>
      </c>
      <c r="F392" s="52" t="s">
        <v>1588</v>
      </c>
      <c r="G392" s="52" t="s">
        <v>60</v>
      </c>
      <c r="H392" s="54">
        <v>46082</v>
      </c>
      <c r="I392" s="52" t="s">
        <v>271</v>
      </c>
      <c r="J392" s="52" t="s">
        <v>526</v>
      </c>
      <c r="K392" s="52" t="s">
        <v>1386</v>
      </c>
      <c r="L392" s="52" t="s">
        <v>1386</v>
      </c>
      <c r="M392" s="52" t="s">
        <v>29</v>
      </c>
      <c r="N392" s="53">
        <v>-1200</v>
      </c>
      <c r="O392" s="97">
        <v>-1200</v>
      </c>
      <c r="P392" s="52" t="s">
        <v>1387</v>
      </c>
      <c r="Q392" s="52" t="s">
        <v>1390</v>
      </c>
      <c r="R392" s="55" t="s">
        <v>64</v>
      </c>
      <c r="S392" s="52" t="s">
        <v>526</v>
      </c>
    </row>
    <row r="393" spans="1:52" s="59" customFormat="1" hidden="1" outlineLevel="2" x14ac:dyDescent="0.45">
      <c r="A393" t="s">
        <v>17</v>
      </c>
      <c r="B393" s="52" t="s">
        <v>57</v>
      </c>
      <c r="C393" s="52" t="s">
        <v>376</v>
      </c>
      <c r="D393" s="52" t="s">
        <v>377</v>
      </c>
      <c r="E393" s="52" t="s">
        <v>387</v>
      </c>
      <c r="F393" s="52" t="s">
        <v>1589</v>
      </c>
      <c r="G393" s="52" t="s">
        <v>60</v>
      </c>
      <c r="H393" s="54">
        <v>46082</v>
      </c>
      <c r="I393" s="52" t="s">
        <v>271</v>
      </c>
      <c r="J393" s="52" t="s">
        <v>314</v>
      </c>
      <c r="K393" s="52" t="s">
        <v>1378</v>
      </c>
      <c r="L393" s="52" t="s">
        <v>1378</v>
      </c>
      <c r="M393" s="52" t="s">
        <v>29</v>
      </c>
      <c r="N393" s="53">
        <v>-1200</v>
      </c>
      <c r="O393" s="97">
        <v>-1200</v>
      </c>
      <c r="P393" s="52" t="s">
        <v>1379</v>
      </c>
      <c r="Q393" s="52" t="s">
        <v>1380</v>
      </c>
      <c r="R393" s="55" t="s">
        <v>64</v>
      </c>
      <c r="S393" s="52" t="s">
        <v>314</v>
      </c>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row>
    <row r="394" spans="1:52" outlineLevel="2" x14ac:dyDescent="0.45">
      <c r="A394" t="s">
        <v>17</v>
      </c>
      <c r="B394" s="52" t="s">
        <v>57</v>
      </c>
      <c r="C394" s="52" t="s">
        <v>427</v>
      </c>
      <c r="D394" s="52" t="s">
        <v>428</v>
      </c>
      <c r="E394" s="52" t="s">
        <v>387</v>
      </c>
      <c r="F394" s="52" t="s">
        <v>1590</v>
      </c>
      <c r="G394" s="52" t="s">
        <v>60</v>
      </c>
      <c r="H394" s="54">
        <v>46082</v>
      </c>
      <c r="I394" s="52" t="s">
        <v>271</v>
      </c>
      <c r="J394" s="52" t="s">
        <v>314</v>
      </c>
      <c r="K394" s="52" t="s">
        <v>1591</v>
      </c>
      <c r="L394" s="52" t="s">
        <v>1592</v>
      </c>
      <c r="M394" s="52" t="s">
        <v>29</v>
      </c>
      <c r="N394" s="53">
        <v>-1130</v>
      </c>
      <c r="O394" s="96">
        <v>-1130</v>
      </c>
      <c r="P394" s="52" t="s">
        <v>425</v>
      </c>
      <c r="Q394" s="52" t="s">
        <v>549</v>
      </c>
      <c r="R394" s="55" t="s">
        <v>64</v>
      </c>
      <c r="S394" s="52" t="s">
        <v>314</v>
      </c>
    </row>
    <row r="395" spans="1:52" hidden="1" outlineLevel="2" x14ac:dyDescent="0.45">
      <c r="A395" t="s">
        <v>17</v>
      </c>
      <c r="B395" s="52" t="s">
        <v>57</v>
      </c>
      <c r="C395" s="52" t="s">
        <v>376</v>
      </c>
      <c r="D395" s="52" t="s">
        <v>377</v>
      </c>
      <c r="E395" s="52" t="s">
        <v>387</v>
      </c>
      <c r="F395" s="52" t="s">
        <v>1593</v>
      </c>
      <c r="G395" s="52" t="s">
        <v>60</v>
      </c>
      <c r="H395" s="54">
        <v>46082</v>
      </c>
      <c r="I395" s="52" t="s">
        <v>271</v>
      </c>
      <c r="J395" s="52" t="s">
        <v>526</v>
      </c>
      <c r="K395" s="52" t="s">
        <v>1392</v>
      </c>
      <c r="L395" s="52" t="s">
        <v>1392</v>
      </c>
      <c r="M395" s="52" t="s">
        <v>29</v>
      </c>
      <c r="N395" s="53">
        <v>-1078.99</v>
      </c>
      <c r="O395" s="97">
        <v>-1078.99</v>
      </c>
      <c r="P395" s="52" t="s">
        <v>1393</v>
      </c>
      <c r="Q395" s="52" t="s">
        <v>1594</v>
      </c>
      <c r="R395" s="55" t="s">
        <v>64</v>
      </c>
      <c r="S395" s="52" t="s">
        <v>526</v>
      </c>
    </row>
    <row r="396" spans="1:52" outlineLevel="2" x14ac:dyDescent="0.45">
      <c r="A396" t="s">
        <v>17</v>
      </c>
      <c r="B396" s="52" t="s">
        <v>66</v>
      </c>
      <c r="C396" s="52" t="s">
        <v>1595</v>
      </c>
      <c r="D396" s="52" t="s">
        <v>1596</v>
      </c>
      <c r="E396" s="52" t="s">
        <v>387</v>
      </c>
      <c r="F396" s="52" t="s">
        <v>1576</v>
      </c>
      <c r="G396" s="52" t="s">
        <v>60</v>
      </c>
      <c r="H396" s="54">
        <v>46082</v>
      </c>
      <c r="I396" s="52" t="s">
        <v>271</v>
      </c>
      <c r="J396" s="52" t="s">
        <v>314</v>
      </c>
      <c r="K396" s="52" t="s">
        <v>1597</v>
      </c>
      <c r="L396" s="52" t="s">
        <v>1597</v>
      </c>
      <c r="M396" s="52" t="s">
        <v>67</v>
      </c>
      <c r="N396" s="53">
        <v>-297</v>
      </c>
      <c r="O396" s="96">
        <v>-1035.3399999999999</v>
      </c>
      <c r="P396" s="52" t="s">
        <v>1578</v>
      </c>
      <c r="Q396" s="52" t="s">
        <v>1579</v>
      </c>
      <c r="R396" s="55" t="s">
        <v>64</v>
      </c>
      <c r="S396" s="52" t="s">
        <v>314</v>
      </c>
    </row>
    <row r="397" spans="1:52" hidden="1" outlineLevel="2" x14ac:dyDescent="0.45">
      <c r="A397" t="s">
        <v>17</v>
      </c>
      <c r="B397" s="52" t="s">
        <v>57</v>
      </c>
      <c r="C397" s="52" t="s">
        <v>376</v>
      </c>
      <c r="D397" s="52" t="s">
        <v>377</v>
      </c>
      <c r="E397" s="52" t="s">
        <v>387</v>
      </c>
      <c r="F397" s="52" t="s">
        <v>1598</v>
      </c>
      <c r="G397" s="52" t="s">
        <v>60</v>
      </c>
      <c r="H397" s="54">
        <v>46082</v>
      </c>
      <c r="I397" s="52" t="s">
        <v>271</v>
      </c>
      <c r="J397" s="52" t="s">
        <v>526</v>
      </c>
      <c r="K397" s="52" t="s">
        <v>1469</v>
      </c>
      <c r="L397" s="52" t="s">
        <v>1469</v>
      </c>
      <c r="M397" s="52" t="s">
        <v>29</v>
      </c>
      <c r="N397" s="53">
        <v>-1005.58</v>
      </c>
      <c r="O397" s="97">
        <v>-1005.58</v>
      </c>
      <c r="P397" s="52" t="s">
        <v>1379</v>
      </c>
      <c r="Q397" s="52" t="s">
        <v>1470</v>
      </c>
      <c r="R397" s="55" t="s">
        <v>64</v>
      </c>
      <c r="S397" s="52" t="s">
        <v>526</v>
      </c>
    </row>
    <row r="398" spans="1:52" hidden="1" outlineLevel="2" x14ac:dyDescent="0.45">
      <c r="A398" t="s">
        <v>17</v>
      </c>
      <c r="B398" s="52" t="s">
        <v>57</v>
      </c>
      <c r="C398" s="52" t="s">
        <v>376</v>
      </c>
      <c r="D398" s="52" t="s">
        <v>377</v>
      </c>
      <c r="E398" s="52" t="s">
        <v>387</v>
      </c>
      <c r="F398" s="52" t="s">
        <v>1599</v>
      </c>
      <c r="G398" s="52" t="s">
        <v>60</v>
      </c>
      <c r="H398" s="54">
        <v>46082</v>
      </c>
      <c r="I398" s="52" t="s">
        <v>271</v>
      </c>
      <c r="J398" s="52" t="s">
        <v>526</v>
      </c>
      <c r="K398" s="52" t="s">
        <v>1469</v>
      </c>
      <c r="L398" s="52" t="s">
        <v>1469</v>
      </c>
      <c r="M398" s="52" t="s">
        <v>29</v>
      </c>
      <c r="N398" s="53">
        <v>-997.6</v>
      </c>
      <c r="O398" s="97">
        <v>-997.6</v>
      </c>
      <c r="P398" s="52" t="s">
        <v>1379</v>
      </c>
      <c r="Q398" s="52" t="s">
        <v>1470</v>
      </c>
      <c r="R398" s="55" t="s">
        <v>64</v>
      </c>
      <c r="S398" s="52" t="s">
        <v>526</v>
      </c>
    </row>
    <row r="399" spans="1:52" outlineLevel="2" x14ac:dyDescent="0.45">
      <c r="A399" t="s">
        <v>17</v>
      </c>
      <c r="B399" s="52" t="s">
        <v>57</v>
      </c>
      <c r="C399" s="52" t="s">
        <v>1266</v>
      </c>
      <c r="D399" s="52" t="s">
        <v>1267</v>
      </c>
      <c r="E399" s="52" t="s">
        <v>387</v>
      </c>
      <c r="F399" s="52" t="s">
        <v>1600</v>
      </c>
      <c r="G399" s="52" t="s">
        <v>60</v>
      </c>
      <c r="H399" s="54">
        <v>46082</v>
      </c>
      <c r="I399" s="52" t="s">
        <v>271</v>
      </c>
      <c r="J399" s="52" t="s">
        <v>314</v>
      </c>
      <c r="K399" s="52" t="s">
        <v>1601</v>
      </c>
      <c r="L399" s="52" t="s">
        <v>1601</v>
      </c>
      <c r="M399" s="52" t="s">
        <v>29</v>
      </c>
      <c r="N399" s="53">
        <v>-877.74</v>
      </c>
      <c r="O399" s="96">
        <v>-877.74</v>
      </c>
      <c r="P399" s="52" t="s">
        <v>1602</v>
      </c>
      <c r="Q399" s="52" t="s">
        <v>1583</v>
      </c>
      <c r="R399" s="55" t="s">
        <v>64</v>
      </c>
      <c r="S399" s="52" t="s">
        <v>314</v>
      </c>
    </row>
    <row r="400" spans="1:52" outlineLevel="2" x14ac:dyDescent="0.45">
      <c r="A400" t="s">
        <v>17</v>
      </c>
      <c r="B400" s="52" t="s">
        <v>66</v>
      </c>
      <c r="C400" s="52"/>
      <c r="D400" s="52" t="s">
        <v>1276</v>
      </c>
      <c r="E400" s="52" t="s">
        <v>387</v>
      </c>
      <c r="F400" s="52" t="s">
        <v>1603</v>
      </c>
      <c r="G400" s="52" t="s">
        <v>60</v>
      </c>
      <c r="H400" s="54">
        <v>46082</v>
      </c>
      <c r="I400" s="52" t="s">
        <v>271</v>
      </c>
      <c r="J400" s="52" t="s">
        <v>314</v>
      </c>
      <c r="K400" s="52"/>
      <c r="L400" s="52"/>
      <c r="M400" s="52" t="s">
        <v>67</v>
      </c>
      <c r="N400" s="53">
        <v>-239.45</v>
      </c>
      <c r="O400" s="96">
        <v>-834.72</v>
      </c>
      <c r="P400" s="52" t="s">
        <v>1604</v>
      </c>
      <c r="Q400" s="52" t="s">
        <v>1604</v>
      </c>
      <c r="R400" s="55" t="s">
        <v>64</v>
      </c>
      <c r="S400" s="52" t="s">
        <v>314</v>
      </c>
    </row>
    <row r="401" spans="1:19" outlineLevel="2" x14ac:dyDescent="0.45">
      <c r="A401" t="s">
        <v>17</v>
      </c>
      <c r="B401" s="52" t="s">
        <v>66</v>
      </c>
      <c r="C401" s="52" t="s">
        <v>856</v>
      </c>
      <c r="D401" s="52" t="s">
        <v>857</v>
      </c>
      <c r="E401" s="52" t="s">
        <v>387</v>
      </c>
      <c r="F401" s="52" t="s">
        <v>1605</v>
      </c>
      <c r="G401" s="52" t="s">
        <v>60</v>
      </c>
      <c r="H401" s="54">
        <v>46082</v>
      </c>
      <c r="I401" s="52" t="s">
        <v>271</v>
      </c>
      <c r="J401" s="52" t="s">
        <v>272</v>
      </c>
      <c r="K401" s="52" t="s">
        <v>1606</v>
      </c>
      <c r="L401" s="52" t="s">
        <v>1606</v>
      </c>
      <c r="M401" s="52" t="s">
        <v>67</v>
      </c>
      <c r="N401" s="53">
        <v>-236</v>
      </c>
      <c r="O401" s="96">
        <v>-821.04</v>
      </c>
      <c r="P401" s="52" t="s">
        <v>1607</v>
      </c>
      <c r="Q401" s="52" t="s">
        <v>1608</v>
      </c>
      <c r="R401" s="55" t="s">
        <v>64</v>
      </c>
      <c r="S401" s="52" t="s">
        <v>272</v>
      </c>
    </row>
    <row r="402" spans="1:19" outlineLevel="2" x14ac:dyDescent="0.45">
      <c r="A402" t="s">
        <v>17</v>
      </c>
      <c r="B402" s="52" t="s">
        <v>57</v>
      </c>
      <c r="C402" s="52" t="s">
        <v>774</v>
      </c>
      <c r="D402" s="52" t="s">
        <v>775</v>
      </c>
      <c r="E402" s="52" t="s">
        <v>387</v>
      </c>
      <c r="F402" s="52" t="s">
        <v>1558</v>
      </c>
      <c r="G402" s="52" t="s">
        <v>60</v>
      </c>
      <c r="H402" s="54">
        <v>46082</v>
      </c>
      <c r="I402" s="52" t="s">
        <v>271</v>
      </c>
      <c r="J402" s="52" t="s">
        <v>325</v>
      </c>
      <c r="K402" s="52" t="s">
        <v>777</v>
      </c>
      <c r="L402" s="52" t="s">
        <v>777</v>
      </c>
      <c r="M402" s="52" t="s">
        <v>29</v>
      </c>
      <c r="N402" s="53">
        <v>-818.57</v>
      </c>
      <c r="O402" s="96">
        <v>-818.57</v>
      </c>
      <c r="P402" s="52" t="s">
        <v>778</v>
      </c>
      <c r="Q402" s="52" t="s">
        <v>1559</v>
      </c>
      <c r="R402" s="55" t="s">
        <v>64</v>
      </c>
      <c r="S402" s="52" t="s">
        <v>325</v>
      </c>
    </row>
    <row r="403" spans="1:19" outlineLevel="2" x14ac:dyDescent="0.45">
      <c r="A403" t="s">
        <v>17</v>
      </c>
      <c r="B403" s="52" t="s">
        <v>57</v>
      </c>
      <c r="C403" s="52" t="s">
        <v>1609</v>
      </c>
      <c r="D403" s="52" t="s">
        <v>1610</v>
      </c>
      <c r="E403" s="52" t="s">
        <v>387</v>
      </c>
      <c r="F403" s="52" t="s">
        <v>1611</v>
      </c>
      <c r="G403" s="52" t="s">
        <v>60</v>
      </c>
      <c r="H403" s="54">
        <v>46082</v>
      </c>
      <c r="I403" s="52" t="s">
        <v>271</v>
      </c>
      <c r="J403" s="52" t="s">
        <v>314</v>
      </c>
      <c r="K403" s="52" t="s">
        <v>1612</v>
      </c>
      <c r="L403" s="52" t="s">
        <v>1612</v>
      </c>
      <c r="M403" s="52" t="s">
        <v>29</v>
      </c>
      <c r="N403" s="53">
        <v>-767</v>
      </c>
      <c r="O403" s="96">
        <v>-767</v>
      </c>
      <c r="P403" s="52" t="s">
        <v>1613</v>
      </c>
      <c r="Q403" s="52" t="s">
        <v>1614</v>
      </c>
      <c r="R403" s="55" t="s">
        <v>64</v>
      </c>
      <c r="S403" s="52" t="s">
        <v>314</v>
      </c>
    </row>
    <row r="404" spans="1:19" outlineLevel="2" x14ac:dyDescent="0.45">
      <c r="A404" t="s">
        <v>17</v>
      </c>
      <c r="B404" s="52" t="s">
        <v>57</v>
      </c>
      <c r="C404" s="52" t="s">
        <v>371</v>
      </c>
      <c r="D404" s="52" t="s">
        <v>372</v>
      </c>
      <c r="E404" s="52" t="s">
        <v>387</v>
      </c>
      <c r="F404" s="52" t="s">
        <v>1615</v>
      </c>
      <c r="G404" s="52" t="s">
        <v>60</v>
      </c>
      <c r="H404" s="54">
        <v>46082</v>
      </c>
      <c r="I404" s="52" t="s">
        <v>271</v>
      </c>
      <c r="J404" s="52" t="s">
        <v>323</v>
      </c>
      <c r="K404" s="52" t="s">
        <v>1616</v>
      </c>
      <c r="L404" s="52" t="s">
        <v>1616</v>
      </c>
      <c r="M404" s="52" t="s">
        <v>29</v>
      </c>
      <c r="N404" s="53">
        <v>-680</v>
      </c>
      <c r="O404" s="96">
        <v>-680</v>
      </c>
      <c r="P404" s="52" t="s">
        <v>1617</v>
      </c>
      <c r="Q404" s="52" t="s">
        <v>1618</v>
      </c>
      <c r="R404" s="55" t="s">
        <v>64</v>
      </c>
      <c r="S404" s="52" t="s">
        <v>323</v>
      </c>
    </row>
    <row r="405" spans="1:19" outlineLevel="2" x14ac:dyDescent="0.45">
      <c r="A405" t="s">
        <v>17</v>
      </c>
      <c r="B405" s="52" t="s">
        <v>57</v>
      </c>
      <c r="C405" s="52" t="s">
        <v>876</v>
      </c>
      <c r="D405" s="52" t="s">
        <v>877</v>
      </c>
      <c r="E405" s="52" t="s">
        <v>387</v>
      </c>
      <c r="F405" s="52" t="s">
        <v>1619</v>
      </c>
      <c r="G405" s="52" t="s">
        <v>60</v>
      </c>
      <c r="H405" s="54">
        <v>46082</v>
      </c>
      <c r="I405" s="52" t="s">
        <v>271</v>
      </c>
      <c r="J405" s="52" t="s">
        <v>314</v>
      </c>
      <c r="K405" s="52" t="s">
        <v>1620</v>
      </c>
      <c r="L405" s="52" t="s">
        <v>1620</v>
      </c>
      <c r="M405" s="52" t="s">
        <v>29</v>
      </c>
      <c r="N405" s="53">
        <v>-634.42999999999995</v>
      </c>
      <c r="O405" s="96">
        <v>-634.42999999999995</v>
      </c>
      <c r="P405" s="52" t="s">
        <v>1621</v>
      </c>
      <c r="Q405" s="52" t="s">
        <v>1583</v>
      </c>
      <c r="R405" s="55" t="s">
        <v>64</v>
      </c>
      <c r="S405" s="52" t="s">
        <v>314</v>
      </c>
    </row>
    <row r="406" spans="1:19" outlineLevel="2" x14ac:dyDescent="0.45">
      <c r="A406" t="s">
        <v>17</v>
      </c>
      <c r="B406" s="52" t="s">
        <v>57</v>
      </c>
      <c r="C406" s="52" t="s">
        <v>870</v>
      </c>
      <c r="D406" s="52" t="s">
        <v>871</v>
      </c>
      <c r="E406" s="52" t="s">
        <v>387</v>
      </c>
      <c r="F406" s="52" t="s">
        <v>1622</v>
      </c>
      <c r="G406" s="52" t="s">
        <v>60</v>
      </c>
      <c r="H406" s="54">
        <v>46082</v>
      </c>
      <c r="I406" s="52" t="s">
        <v>271</v>
      </c>
      <c r="J406" s="52" t="s">
        <v>314</v>
      </c>
      <c r="K406" s="52"/>
      <c r="L406" s="52"/>
      <c r="M406" s="52" t="s">
        <v>29</v>
      </c>
      <c r="N406" s="53">
        <v>-546.16</v>
      </c>
      <c r="O406" s="96">
        <v>-546.16</v>
      </c>
      <c r="P406" s="52" t="s">
        <v>1533</v>
      </c>
      <c r="Q406" s="52" t="s">
        <v>1533</v>
      </c>
      <c r="R406" s="55" t="s">
        <v>64</v>
      </c>
      <c r="S406" s="52" t="s">
        <v>314</v>
      </c>
    </row>
    <row r="407" spans="1:19" outlineLevel="2" x14ac:dyDescent="0.45">
      <c r="A407" t="s">
        <v>17</v>
      </c>
      <c r="B407" s="52" t="s">
        <v>57</v>
      </c>
      <c r="C407" s="52" t="s">
        <v>1304</v>
      </c>
      <c r="D407" s="52" t="s">
        <v>1305</v>
      </c>
      <c r="E407" s="52" t="s">
        <v>387</v>
      </c>
      <c r="F407" s="52" t="s">
        <v>1623</v>
      </c>
      <c r="G407" s="52" t="s">
        <v>60</v>
      </c>
      <c r="H407" s="54">
        <v>46082</v>
      </c>
      <c r="I407" s="52" t="s">
        <v>271</v>
      </c>
      <c r="J407" s="52" t="s">
        <v>513</v>
      </c>
      <c r="K407" s="52" t="s">
        <v>1624</v>
      </c>
      <c r="L407" s="52" t="s">
        <v>1624</v>
      </c>
      <c r="M407" s="52" t="s">
        <v>29</v>
      </c>
      <c r="N407" s="53">
        <v>-499</v>
      </c>
      <c r="O407" s="96">
        <v>-499</v>
      </c>
      <c r="P407" s="52" t="s">
        <v>1625</v>
      </c>
      <c r="Q407" s="52" t="s">
        <v>1626</v>
      </c>
      <c r="R407" s="55" t="s">
        <v>64</v>
      </c>
      <c r="S407" s="52" t="s">
        <v>513</v>
      </c>
    </row>
    <row r="408" spans="1:19" outlineLevel="2" x14ac:dyDescent="0.45">
      <c r="A408" t="s">
        <v>17</v>
      </c>
      <c r="B408" s="52" t="s">
        <v>57</v>
      </c>
      <c r="C408" s="52" t="s">
        <v>785</v>
      </c>
      <c r="D408" s="52" t="s">
        <v>786</v>
      </c>
      <c r="E408" s="52" t="s">
        <v>387</v>
      </c>
      <c r="F408" s="52" t="s">
        <v>819</v>
      </c>
      <c r="G408" s="52" t="s">
        <v>60</v>
      </c>
      <c r="H408" s="54">
        <v>46082</v>
      </c>
      <c r="I408" s="52" t="s">
        <v>271</v>
      </c>
      <c r="J408" s="52" t="s">
        <v>1522</v>
      </c>
      <c r="K408" s="52" t="s">
        <v>1207</v>
      </c>
      <c r="L408" s="52" t="s">
        <v>1207</v>
      </c>
      <c r="M408" s="52" t="s">
        <v>29</v>
      </c>
      <c r="N408" s="53">
        <v>-305</v>
      </c>
      <c r="O408" s="96">
        <v>-305</v>
      </c>
      <c r="P408" s="52" t="s">
        <v>1208</v>
      </c>
      <c r="Q408" s="52" t="s">
        <v>1525</v>
      </c>
      <c r="R408" s="55" t="s">
        <v>64</v>
      </c>
      <c r="S408" s="52" t="s">
        <v>1522</v>
      </c>
    </row>
    <row r="409" spans="1:19" outlineLevel="2" x14ac:dyDescent="0.45">
      <c r="A409" t="s">
        <v>17</v>
      </c>
      <c r="B409" s="52" t="s">
        <v>57</v>
      </c>
      <c r="C409" s="52" t="s">
        <v>1547</v>
      </c>
      <c r="D409" s="52" t="s">
        <v>1548</v>
      </c>
      <c r="E409" s="52" t="s">
        <v>387</v>
      </c>
      <c r="F409" s="52" t="s">
        <v>882</v>
      </c>
      <c r="G409" s="52" t="s">
        <v>60</v>
      </c>
      <c r="H409" s="54">
        <v>46082</v>
      </c>
      <c r="I409" s="52" t="s">
        <v>271</v>
      </c>
      <c r="J409" s="52" t="s">
        <v>1522</v>
      </c>
      <c r="K409" s="52" t="s">
        <v>1550</v>
      </c>
      <c r="L409" s="52" t="s">
        <v>1550</v>
      </c>
      <c r="M409" s="52" t="s">
        <v>29</v>
      </c>
      <c r="N409" s="53">
        <v>-274</v>
      </c>
      <c r="O409" s="96">
        <v>-274</v>
      </c>
      <c r="P409" s="52" t="s">
        <v>1551</v>
      </c>
      <c r="Q409" s="52" t="s">
        <v>1525</v>
      </c>
      <c r="R409" s="55" t="s">
        <v>64</v>
      </c>
      <c r="S409" s="52" t="s">
        <v>1522</v>
      </c>
    </row>
    <row r="410" spans="1:19" outlineLevel="2" x14ac:dyDescent="0.45">
      <c r="A410" t="s">
        <v>17</v>
      </c>
      <c r="B410" s="52" t="s">
        <v>57</v>
      </c>
      <c r="C410" s="52" t="s">
        <v>774</v>
      </c>
      <c r="D410" s="52" t="s">
        <v>775</v>
      </c>
      <c r="E410" s="52" t="s">
        <v>387</v>
      </c>
      <c r="F410" s="52" t="s">
        <v>1558</v>
      </c>
      <c r="G410" s="52" t="s">
        <v>60</v>
      </c>
      <c r="H410" s="54">
        <v>46082</v>
      </c>
      <c r="I410" s="52" t="s">
        <v>271</v>
      </c>
      <c r="J410" s="52" t="s">
        <v>325</v>
      </c>
      <c r="K410" s="52" t="s">
        <v>777</v>
      </c>
      <c r="L410" s="52" t="s">
        <v>777</v>
      </c>
      <c r="M410" s="52" t="s">
        <v>29</v>
      </c>
      <c r="N410" s="53">
        <v>-243.33</v>
      </c>
      <c r="O410" s="96">
        <v>-243.33</v>
      </c>
      <c r="P410" s="52" t="s">
        <v>778</v>
      </c>
      <c r="Q410" s="52" t="s">
        <v>1559</v>
      </c>
      <c r="R410" s="55" t="s">
        <v>64</v>
      </c>
      <c r="S410" s="52" t="s">
        <v>325</v>
      </c>
    </row>
    <row r="411" spans="1:19" outlineLevel="2" x14ac:dyDescent="0.45">
      <c r="A411" t="s">
        <v>17</v>
      </c>
      <c r="B411" s="52" t="s">
        <v>66</v>
      </c>
      <c r="C411" s="52" t="s">
        <v>1627</v>
      </c>
      <c r="D411" s="52" t="s">
        <v>1628</v>
      </c>
      <c r="E411" s="52" t="s">
        <v>387</v>
      </c>
      <c r="F411" s="52" t="s">
        <v>1629</v>
      </c>
      <c r="G411" s="52" t="s">
        <v>60</v>
      </c>
      <c r="H411" s="54">
        <v>46082</v>
      </c>
      <c r="I411" s="52" t="s">
        <v>271</v>
      </c>
      <c r="J411" s="52" t="s">
        <v>314</v>
      </c>
      <c r="K411" s="52" t="s">
        <v>1630</v>
      </c>
      <c r="L411" s="52" t="s">
        <v>1630</v>
      </c>
      <c r="M411" s="52" t="s">
        <v>67</v>
      </c>
      <c r="N411" s="53">
        <v>-59</v>
      </c>
      <c r="O411" s="96">
        <v>-205.67</v>
      </c>
      <c r="P411" s="52" t="s">
        <v>1631</v>
      </c>
      <c r="Q411" s="52" t="s">
        <v>1632</v>
      </c>
      <c r="R411" s="55" t="s">
        <v>64</v>
      </c>
      <c r="S411" s="52" t="s">
        <v>314</v>
      </c>
    </row>
    <row r="412" spans="1:19" hidden="1" outlineLevel="2" x14ac:dyDescent="0.45">
      <c r="A412" t="s">
        <v>17</v>
      </c>
      <c r="B412" s="52" t="s">
        <v>57</v>
      </c>
      <c r="C412" s="52" t="s">
        <v>376</v>
      </c>
      <c r="D412" s="52" t="s">
        <v>377</v>
      </c>
      <c r="E412" s="52" t="s">
        <v>387</v>
      </c>
      <c r="F412" s="52" t="s">
        <v>1342</v>
      </c>
      <c r="G412" s="52" t="s">
        <v>60</v>
      </c>
      <c r="H412" s="54">
        <v>46082</v>
      </c>
      <c r="I412" s="52" t="s">
        <v>271</v>
      </c>
      <c r="J412" s="52" t="s">
        <v>526</v>
      </c>
      <c r="K412" s="52" t="s">
        <v>1633</v>
      </c>
      <c r="L412" s="52" t="s">
        <v>1633</v>
      </c>
      <c r="M412" s="52" t="s">
        <v>29</v>
      </c>
      <c r="N412" s="53">
        <v>-199.55</v>
      </c>
      <c r="O412" s="97">
        <v>-199.55</v>
      </c>
      <c r="P412" s="52" t="s">
        <v>1393</v>
      </c>
      <c r="Q412" s="52" t="s">
        <v>1634</v>
      </c>
      <c r="R412" s="55" t="s">
        <v>64</v>
      </c>
      <c r="S412" s="52" t="s">
        <v>526</v>
      </c>
    </row>
    <row r="413" spans="1:19" hidden="1" outlineLevel="2" x14ac:dyDescent="0.45">
      <c r="A413" t="s">
        <v>17</v>
      </c>
      <c r="B413" s="52" t="s">
        <v>57</v>
      </c>
      <c r="C413" s="52" t="s">
        <v>376</v>
      </c>
      <c r="D413" s="52" t="s">
        <v>377</v>
      </c>
      <c r="E413" s="52" t="s">
        <v>387</v>
      </c>
      <c r="F413" s="52" t="s">
        <v>1635</v>
      </c>
      <c r="G413" s="52" t="s">
        <v>60</v>
      </c>
      <c r="H413" s="54">
        <v>46082</v>
      </c>
      <c r="I413" s="52" t="s">
        <v>271</v>
      </c>
      <c r="J413" s="52" t="s">
        <v>314</v>
      </c>
      <c r="K413" s="52" t="s">
        <v>1396</v>
      </c>
      <c r="L413" s="52" t="s">
        <v>1396</v>
      </c>
      <c r="M413" s="52" t="s">
        <v>29</v>
      </c>
      <c r="N413" s="53">
        <v>-188.23</v>
      </c>
      <c r="O413" s="97">
        <v>-188.23</v>
      </c>
      <c r="P413" s="52" t="s">
        <v>1379</v>
      </c>
      <c r="Q413" s="52" t="s">
        <v>1636</v>
      </c>
      <c r="R413" s="55" t="s">
        <v>64</v>
      </c>
      <c r="S413" s="52" t="s">
        <v>314</v>
      </c>
    </row>
    <row r="414" spans="1:19" outlineLevel="2" x14ac:dyDescent="0.45">
      <c r="A414" t="s">
        <v>17</v>
      </c>
      <c r="B414" s="52" t="s">
        <v>57</v>
      </c>
      <c r="C414" s="52" t="s">
        <v>349</v>
      </c>
      <c r="D414" s="52" t="s">
        <v>350</v>
      </c>
      <c r="E414" s="52" t="s">
        <v>387</v>
      </c>
      <c r="F414" s="52" t="s">
        <v>1637</v>
      </c>
      <c r="G414" s="52" t="s">
        <v>60</v>
      </c>
      <c r="H414" s="54">
        <v>46082</v>
      </c>
      <c r="I414" s="52" t="s">
        <v>271</v>
      </c>
      <c r="J414" s="52" t="s">
        <v>383</v>
      </c>
      <c r="K414" s="52" t="s">
        <v>1638</v>
      </c>
      <c r="L414" s="52" t="s">
        <v>1638</v>
      </c>
      <c r="M414" s="52" t="s">
        <v>29</v>
      </c>
      <c r="N414" s="53">
        <v>-160.69999999999999</v>
      </c>
      <c r="O414" s="96">
        <v>-160.69999999999999</v>
      </c>
      <c r="P414" s="52" t="s">
        <v>1639</v>
      </c>
      <c r="Q414" s="52" t="s">
        <v>1640</v>
      </c>
      <c r="R414" s="55" t="s">
        <v>64</v>
      </c>
      <c r="S414" s="52" t="s">
        <v>383</v>
      </c>
    </row>
    <row r="415" spans="1:19" outlineLevel="2" x14ac:dyDescent="0.45">
      <c r="A415" t="s">
        <v>17</v>
      </c>
      <c r="B415" s="52" t="s">
        <v>66</v>
      </c>
      <c r="C415" s="52" t="s">
        <v>349</v>
      </c>
      <c r="D415" s="52" t="s">
        <v>350</v>
      </c>
      <c r="E415" s="52" t="s">
        <v>387</v>
      </c>
      <c r="F415" s="52" t="s">
        <v>1641</v>
      </c>
      <c r="G415" s="52" t="s">
        <v>60</v>
      </c>
      <c r="H415" s="54">
        <v>46082</v>
      </c>
      <c r="I415" s="52" t="s">
        <v>271</v>
      </c>
      <c r="J415" s="52" t="s">
        <v>298</v>
      </c>
      <c r="K415" s="52" t="s">
        <v>1642</v>
      </c>
      <c r="L415" s="52" t="s">
        <v>1642</v>
      </c>
      <c r="M415" s="52" t="s">
        <v>67</v>
      </c>
      <c r="N415" s="53">
        <v>-30</v>
      </c>
      <c r="O415" s="96">
        <v>-102.24</v>
      </c>
      <c r="P415" s="52" t="s">
        <v>1643</v>
      </c>
      <c r="Q415" s="52" t="s">
        <v>1644</v>
      </c>
      <c r="R415" s="55" t="s">
        <v>64</v>
      </c>
      <c r="S415" s="52" t="s">
        <v>298</v>
      </c>
    </row>
    <row r="416" spans="1:19" outlineLevel="2" x14ac:dyDescent="0.45">
      <c r="A416" t="s">
        <v>17</v>
      </c>
      <c r="B416" s="52" t="s">
        <v>57</v>
      </c>
      <c r="C416" s="52" t="s">
        <v>1645</v>
      </c>
      <c r="D416" s="52" t="s">
        <v>1646</v>
      </c>
      <c r="E416" s="52" t="s">
        <v>387</v>
      </c>
      <c r="F416" s="52" t="s">
        <v>1647</v>
      </c>
      <c r="G416" s="52" t="s">
        <v>60</v>
      </c>
      <c r="H416" s="54">
        <v>46082</v>
      </c>
      <c r="I416" s="52" t="s">
        <v>271</v>
      </c>
      <c r="J416" s="52" t="s">
        <v>298</v>
      </c>
      <c r="K416" s="52"/>
      <c r="L416" s="52"/>
      <c r="M416" s="52" t="s">
        <v>29</v>
      </c>
      <c r="N416" s="53">
        <v>-99.4</v>
      </c>
      <c r="O416" s="96">
        <v>-99.4</v>
      </c>
      <c r="P416" s="52" t="s">
        <v>1648</v>
      </c>
      <c r="Q416" s="52" t="s">
        <v>1648</v>
      </c>
      <c r="R416" s="55" t="s">
        <v>64</v>
      </c>
      <c r="S416" s="52" t="s">
        <v>298</v>
      </c>
    </row>
    <row r="417" spans="1:19" outlineLevel="2" x14ac:dyDescent="0.45">
      <c r="A417" t="s">
        <v>17</v>
      </c>
      <c r="B417" s="52" t="s">
        <v>57</v>
      </c>
      <c r="C417" s="52" t="s">
        <v>349</v>
      </c>
      <c r="D417" s="52" t="s">
        <v>350</v>
      </c>
      <c r="E417" s="52" t="s">
        <v>387</v>
      </c>
      <c r="F417" s="52" t="s">
        <v>1649</v>
      </c>
      <c r="G417" s="52" t="s">
        <v>60</v>
      </c>
      <c r="H417" s="54">
        <v>46082</v>
      </c>
      <c r="I417" s="52" t="s">
        <v>271</v>
      </c>
      <c r="J417" s="52" t="s">
        <v>526</v>
      </c>
      <c r="K417" s="52" t="s">
        <v>1650</v>
      </c>
      <c r="L417" s="52" t="s">
        <v>1650</v>
      </c>
      <c r="M417" s="52" t="s">
        <v>29</v>
      </c>
      <c r="N417" s="53">
        <v>-50</v>
      </c>
      <c r="O417" s="96">
        <v>-50</v>
      </c>
      <c r="P417" s="52" t="s">
        <v>1651</v>
      </c>
      <c r="Q417" s="52" t="s">
        <v>1652</v>
      </c>
      <c r="R417" s="52" t="s">
        <v>64</v>
      </c>
      <c r="S417" s="52" t="s">
        <v>526</v>
      </c>
    </row>
    <row r="418" spans="1:19" outlineLevel="2" x14ac:dyDescent="0.45">
      <c r="A418" t="s">
        <v>17</v>
      </c>
      <c r="B418" s="52" t="s">
        <v>57</v>
      </c>
      <c r="C418" s="52" t="s">
        <v>349</v>
      </c>
      <c r="D418" s="52" t="s">
        <v>350</v>
      </c>
      <c r="E418" s="52" t="s">
        <v>387</v>
      </c>
      <c r="F418" s="52" t="s">
        <v>1653</v>
      </c>
      <c r="G418" s="52" t="s">
        <v>60</v>
      </c>
      <c r="H418" s="54">
        <v>46082</v>
      </c>
      <c r="I418" s="52" t="s">
        <v>271</v>
      </c>
      <c r="J418" s="52" t="s">
        <v>383</v>
      </c>
      <c r="K418" s="52" t="s">
        <v>1654</v>
      </c>
      <c r="L418" s="52" t="s">
        <v>1654</v>
      </c>
      <c r="M418" s="52" t="s">
        <v>29</v>
      </c>
      <c r="N418" s="53">
        <v>-50</v>
      </c>
      <c r="O418" s="96">
        <v>-50</v>
      </c>
      <c r="P418" s="52" t="s">
        <v>1655</v>
      </c>
      <c r="Q418" s="52" t="s">
        <v>1656</v>
      </c>
      <c r="R418" s="52" t="s">
        <v>64</v>
      </c>
      <c r="S418" s="52" t="s">
        <v>383</v>
      </c>
    </row>
    <row r="419" spans="1:19" outlineLevel="2" x14ac:dyDescent="0.45">
      <c r="A419" t="s">
        <v>17</v>
      </c>
      <c r="B419" s="52" t="s">
        <v>66</v>
      </c>
      <c r="C419" s="52" t="s">
        <v>349</v>
      </c>
      <c r="D419" s="52" t="s">
        <v>350</v>
      </c>
      <c r="E419" s="52" t="s">
        <v>387</v>
      </c>
      <c r="F419" s="52" t="s">
        <v>1657</v>
      </c>
      <c r="G419" s="52" t="s">
        <v>60</v>
      </c>
      <c r="H419" s="54">
        <v>46082</v>
      </c>
      <c r="I419" s="52" t="s">
        <v>271</v>
      </c>
      <c r="J419" s="52" t="s">
        <v>383</v>
      </c>
      <c r="K419" s="52" t="s">
        <v>1658</v>
      </c>
      <c r="L419" s="52" t="s">
        <v>1658</v>
      </c>
      <c r="M419" s="52" t="s">
        <v>67</v>
      </c>
      <c r="N419" s="53">
        <v>-14</v>
      </c>
      <c r="O419" s="96">
        <v>-48.93</v>
      </c>
      <c r="P419" s="52" t="s">
        <v>1659</v>
      </c>
      <c r="Q419" s="52" t="s">
        <v>1644</v>
      </c>
      <c r="R419" s="52" t="s">
        <v>64</v>
      </c>
      <c r="S419" s="52" t="s">
        <v>383</v>
      </c>
    </row>
    <row r="420" spans="1:19" outlineLevel="2" x14ac:dyDescent="0.45">
      <c r="A420" t="s">
        <v>17</v>
      </c>
      <c r="B420" s="52" t="s">
        <v>57</v>
      </c>
      <c r="C420" s="52" t="s">
        <v>349</v>
      </c>
      <c r="D420" s="52" t="s">
        <v>350</v>
      </c>
      <c r="E420" s="52" t="s">
        <v>387</v>
      </c>
      <c r="F420" s="52" t="s">
        <v>1176</v>
      </c>
      <c r="G420" s="52" t="s">
        <v>60</v>
      </c>
      <c r="H420" s="54">
        <v>46082</v>
      </c>
      <c r="I420" s="52" t="s">
        <v>271</v>
      </c>
      <c r="J420" s="52" t="s">
        <v>526</v>
      </c>
      <c r="K420" s="52" t="s">
        <v>1660</v>
      </c>
      <c r="L420" s="52" t="s">
        <v>1660</v>
      </c>
      <c r="M420" s="52" t="s">
        <v>29</v>
      </c>
      <c r="N420" s="53">
        <v>-48</v>
      </c>
      <c r="O420" s="96">
        <v>-48</v>
      </c>
      <c r="P420" s="52" t="s">
        <v>1661</v>
      </c>
      <c r="Q420" s="52" t="s">
        <v>1652</v>
      </c>
      <c r="R420" s="52" t="s">
        <v>64</v>
      </c>
      <c r="S420" s="52" t="s">
        <v>526</v>
      </c>
    </row>
    <row r="421" spans="1:19" outlineLevel="2" x14ac:dyDescent="0.45">
      <c r="A421" t="s">
        <v>17</v>
      </c>
      <c r="B421" s="52" t="s">
        <v>57</v>
      </c>
      <c r="C421" s="52" t="s">
        <v>349</v>
      </c>
      <c r="D421" s="52" t="s">
        <v>350</v>
      </c>
      <c r="E421" s="52" t="s">
        <v>387</v>
      </c>
      <c r="F421" s="52" t="s">
        <v>1662</v>
      </c>
      <c r="G421" s="52" t="s">
        <v>60</v>
      </c>
      <c r="H421" s="54">
        <v>46082</v>
      </c>
      <c r="I421" s="52" t="s">
        <v>271</v>
      </c>
      <c r="J421" s="52" t="s">
        <v>314</v>
      </c>
      <c r="K421" s="52" t="s">
        <v>1663</v>
      </c>
      <c r="L421" s="52" t="s">
        <v>1663</v>
      </c>
      <c r="M421" s="52" t="s">
        <v>29</v>
      </c>
      <c r="N421" s="53">
        <v>-48</v>
      </c>
      <c r="O421" s="96">
        <v>-48</v>
      </c>
      <c r="P421" s="52" t="s">
        <v>1664</v>
      </c>
      <c r="Q421" s="52" t="s">
        <v>1652</v>
      </c>
      <c r="R421" s="52" t="s">
        <v>64</v>
      </c>
      <c r="S421" s="52" t="s">
        <v>314</v>
      </c>
    </row>
    <row r="422" spans="1:19" outlineLevel="2" x14ac:dyDescent="0.45">
      <c r="A422" t="s">
        <v>17</v>
      </c>
      <c r="B422" s="52" t="s">
        <v>57</v>
      </c>
      <c r="C422" s="52" t="s">
        <v>349</v>
      </c>
      <c r="D422" s="52" t="s">
        <v>350</v>
      </c>
      <c r="E422" s="52" t="s">
        <v>387</v>
      </c>
      <c r="F422" s="52" t="s">
        <v>1162</v>
      </c>
      <c r="G422" s="52" t="s">
        <v>60</v>
      </c>
      <c r="H422" s="54">
        <v>46082</v>
      </c>
      <c r="I422" s="52" t="s">
        <v>271</v>
      </c>
      <c r="J422" s="52" t="s">
        <v>383</v>
      </c>
      <c r="K422" s="52" t="s">
        <v>1665</v>
      </c>
      <c r="L422" s="52" t="s">
        <v>1665</v>
      </c>
      <c r="M422" s="52" t="s">
        <v>29</v>
      </c>
      <c r="N422" s="53">
        <v>-40</v>
      </c>
      <c r="O422" s="96">
        <v>-40</v>
      </c>
      <c r="P422" s="52" t="s">
        <v>1666</v>
      </c>
      <c r="Q422" s="52" t="s">
        <v>1656</v>
      </c>
      <c r="R422" s="52" t="s">
        <v>64</v>
      </c>
      <c r="S422" s="52" t="s">
        <v>383</v>
      </c>
    </row>
    <row r="423" spans="1:19" outlineLevel="2" x14ac:dyDescent="0.45">
      <c r="A423" t="s">
        <v>17</v>
      </c>
      <c r="B423" s="52" t="s">
        <v>57</v>
      </c>
      <c r="C423" s="52" t="s">
        <v>349</v>
      </c>
      <c r="D423" s="52" t="s">
        <v>350</v>
      </c>
      <c r="E423" s="52" t="s">
        <v>387</v>
      </c>
      <c r="F423" s="52" t="s">
        <v>1667</v>
      </c>
      <c r="G423" s="52" t="s">
        <v>60</v>
      </c>
      <c r="H423" s="54">
        <v>46082</v>
      </c>
      <c r="I423" s="52" t="s">
        <v>271</v>
      </c>
      <c r="J423" s="52" t="s">
        <v>519</v>
      </c>
      <c r="K423" s="52" t="s">
        <v>1668</v>
      </c>
      <c r="L423" s="52" t="s">
        <v>1668</v>
      </c>
      <c r="M423" s="52" t="s">
        <v>29</v>
      </c>
      <c r="N423" s="53">
        <v>-35.700000000000003</v>
      </c>
      <c r="O423" s="96">
        <v>-35.700000000000003</v>
      </c>
      <c r="P423" s="52" t="s">
        <v>1002</v>
      </c>
      <c r="Q423" s="52" t="s">
        <v>1669</v>
      </c>
      <c r="R423" s="52" t="s">
        <v>64</v>
      </c>
      <c r="S423" s="52" t="s">
        <v>519</v>
      </c>
    </row>
    <row r="424" spans="1:19" outlineLevel="2" x14ac:dyDescent="0.45">
      <c r="A424" t="s">
        <v>17</v>
      </c>
      <c r="B424" s="52" t="s">
        <v>66</v>
      </c>
      <c r="C424" s="52" t="s">
        <v>349</v>
      </c>
      <c r="D424" s="52" t="s">
        <v>350</v>
      </c>
      <c r="E424" s="52" t="s">
        <v>387</v>
      </c>
      <c r="F424" s="52" t="s">
        <v>1670</v>
      </c>
      <c r="G424" s="52" t="s">
        <v>60</v>
      </c>
      <c r="H424" s="54">
        <v>46082</v>
      </c>
      <c r="I424" s="52" t="s">
        <v>271</v>
      </c>
      <c r="J424" s="52" t="s">
        <v>314</v>
      </c>
      <c r="K424" s="52" t="s">
        <v>1671</v>
      </c>
      <c r="L424" s="52" t="s">
        <v>1671</v>
      </c>
      <c r="M424" s="52" t="s">
        <v>67</v>
      </c>
      <c r="N424" s="53">
        <v>-9.6</v>
      </c>
      <c r="O424" s="96">
        <v>-33.47</v>
      </c>
      <c r="P424" s="52" t="s">
        <v>1672</v>
      </c>
      <c r="Q424" s="52" t="s">
        <v>1673</v>
      </c>
      <c r="R424" s="52" t="s">
        <v>64</v>
      </c>
      <c r="S424" s="52" t="s">
        <v>314</v>
      </c>
    </row>
    <row r="425" spans="1:19" outlineLevel="2" x14ac:dyDescent="0.45">
      <c r="A425" t="s">
        <v>17</v>
      </c>
      <c r="B425" s="52" t="s">
        <v>57</v>
      </c>
      <c r="C425" s="52" t="s">
        <v>349</v>
      </c>
      <c r="D425" s="52" t="s">
        <v>350</v>
      </c>
      <c r="E425" s="52" t="s">
        <v>387</v>
      </c>
      <c r="F425" s="52" t="s">
        <v>467</v>
      </c>
      <c r="G425" s="52" t="s">
        <v>60</v>
      </c>
      <c r="H425" s="54">
        <v>46082</v>
      </c>
      <c r="I425" s="52" t="s">
        <v>271</v>
      </c>
      <c r="J425" s="52" t="s">
        <v>314</v>
      </c>
      <c r="K425" s="52" t="s">
        <v>1674</v>
      </c>
      <c r="L425" s="52" t="s">
        <v>1674</v>
      </c>
      <c r="M425" s="52" t="s">
        <v>29</v>
      </c>
      <c r="N425" s="53">
        <v>-30</v>
      </c>
      <c r="O425" s="96">
        <v>-30</v>
      </c>
      <c r="P425" s="52" t="s">
        <v>1675</v>
      </c>
      <c r="Q425" s="52" t="s">
        <v>1652</v>
      </c>
      <c r="R425" s="52" t="s">
        <v>64</v>
      </c>
      <c r="S425" s="52" t="s">
        <v>314</v>
      </c>
    </row>
    <row r="426" spans="1:19" outlineLevel="2" x14ac:dyDescent="0.45">
      <c r="A426" t="s">
        <v>17</v>
      </c>
      <c r="B426" s="52" t="s">
        <v>57</v>
      </c>
      <c r="C426" s="52" t="s">
        <v>349</v>
      </c>
      <c r="D426" s="52" t="s">
        <v>350</v>
      </c>
      <c r="E426" s="52" t="s">
        <v>387</v>
      </c>
      <c r="F426" s="52" t="s">
        <v>1152</v>
      </c>
      <c r="G426" s="52" t="s">
        <v>60</v>
      </c>
      <c r="H426" s="54">
        <v>46082</v>
      </c>
      <c r="I426" s="52" t="s">
        <v>271</v>
      </c>
      <c r="J426" s="52" t="s">
        <v>314</v>
      </c>
      <c r="K426" s="52" t="s">
        <v>1663</v>
      </c>
      <c r="L426" s="52" t="s">
        <v>1663</v>
      </c>
      <c r="M426" s="52" t="s">
        <v>29</v>
      </c>
      <c r="N426" s="53">
        <v>-30</v>
      </c>
      <c r="O426" s="96">
        <v>-30</v>
      </c>
      <c r="P426" s="52" t="s">
        <v>1664</v>
      </c>
      <c r="Q426" s="52" t="s">
        <v>1652</v>
      </c>
      <c r="R426" s="52" t="s">
        <v>64</v>
      </c>
      <c r="S426" s="52" t="s">
        <v>314</v>
      </c>
    </row>
    <row r="427" spans="1:19" outlineLevel="2" x14ac:dyDescent="0.45">
      <c r="A427" t="s">
        <v>17</v>
      </c>
      <c r="B427" s="52" t="s">
        <v>57</v>
      </c>
      <c r="C427" s="52" t="s">
        <v>349</v>
      </c>
      <c r="D427" s="52" t="s">
        <v>350</v>
      </c>
      <c r="E427" s="52" t="s">
        <v>387</v>
      </c>
      <c r="F427" s="52" t="s">
        <v>1676</v>
      </c>
      <c r="G427" s="52" t="s">
        <v>60</v>
      </c>
      <c r="H427" s="54">
        <v>46082</v>
      </c>
      <c r="I427" s="52" t="s">
        <v>271</v>
      </c>
      <c r="J427" s="52" t="s">
        <v>335</v>
      </c>
      <c r="K427" s="52" t="s">
        <v>1327</v>
      </c>
      <c r="L427" s="52" t="s">
        <v>1327</v>
      </c>
      <c r="M427" s="52" t="s">
        <v>29</v>
      </c>
      <c r="N427" s="53">
        <v>-25.95</v>
      </c>
      <c r="O427" s="96">
        <v>-25.95</v>
      </c>
      <c r="P427" s="52" t="s">
        <v>1328</v>
      </c>
      <c r="Q427" s="52" t="s">
        <v>1677</v>
      </c>
      <c r="R427" s="52" t="s">
        <v>64</v>
      </c>
      <c r="S427" s="52" t="s">
        <v>335</v>
      </c>
    </row>
    <row r="428" spans="1:19" outlineLevel="2" x14ac:dyDescent="0.45">
      <c r="A428" t="s">
        <v>17</v>
      </c>
      <c r="B428" s="52" t="s">
        <v>57</v>
      </c>
      <c r="C428" s="52" t="s">
        <v>349</v>
      </c>
      <c r="D428" s="52" t="s">
        <v>350</v>
      </c>
      <c r="E428" s="52" t="s">
        <v>387</v>
      </c>
      <c r="F428" s="52" t="s">
        <v>1094</v>
      </c>
      <c r="G428" s="52" t="s">
        <v>60</v>
      </c>
      <c r="H428" s="54">
        <v>46082</v>
      </c>
      <c r="I428" s="52" t="s">
        <v>271</v>
      </c>
      <c r="J428" s="52" t="s">
        <v>314</v>
      </c>
      <c r="K428" s="52" t="s">
        <v>1663</v>
      </c>
      <c r="L428" s="52" t="s">
        <v>1663</v>
      </c>
      <c r="M428" s="52" t="s">
        <v>29</v>
      </c>
      <c r="N428" s="53">
        <v>-25.5</v>
      </c>
      <c r="O428" s="96">
        <v>-25.5</v>
      </c>
      <c r="P428" s="52" t="s">
        <v>1664</v>
      </c>
      <c r="Q428" s="52" t="s">
        <v>1652</v>
      </c>
      <c r="R428" s="52" t="s">
        <v>64</v>
      </c>
      <c r="S428" s="52" t="s">
        <v>314</v>
      </c>
    </row>
    <row r="429" spans="1:19" outlineLevel="2" x14ac:dyDescent="0.45">
      <c r="A429" t="s">
        <v>17</v>
      </c>
      <c r="B429" s="52" t="s">
        <v>57</v>
      </c>
      <c r="C429" s="52" t="s">
        <v>349</v>
      </c>
      <c r="D429" s="52" t="s">
        <v>350</v>
      </c>
      <c r="E429" s="52" t="s">
        <v>387</v>
      </c>
      <c r="F429" s="52" t="s">
        <v>1189</v>
      </c>
      <c r="G429" s="52" t="s">
        <v>60</v>
      </c>
      <c r="H429" s="54">
        <v>46082</v>
      </c>
      <c r="I429" s="52" t="s">
        <v>271</v>
      </c>
      <c r="J429" s="52" t="s">
        <v>526</v>
      </c>
      <c r="K429" s="52" t="s">
        <v>1660</v>
      </c>
      <c r="L429" s="52" t="s">
        <v>1660</v>
      </c>
      <c r="M429" s="52" t="s">
        <v>29</v>
      </c>
      <c r="N429" s="53">
        <v>-24</v>
      </c>
      <c r="O429" s="96">
        <v>-24</v>
      </c>
      <c r="P429" s="52" t="s">
        <v>1661</v>
      </c>
      <c r="Q429" s="52" t="s">
        <v>1652</v>
      </c>
      <c r="R429" s="52" t="s">
        <v>64</v>
      </c>
      <c r="S429" s="52" t="s">
        <v>526</v>
      </c>
    </row>
    <row r="430" spans="1:19" outlineLevel="2" x14ac:dyDescent="0.45">
      <c r="A430" t="s">
        <v>17</v>
      </c>
      <c r="B430" s="52" t="s">
        <v>57</v>
      </c>
      <c r="C430" s="52" t="s">
        <v>349</v>
      </c>
      <c r="D430" s="52" t="s">
        <v>350</v>
      </c>
      <c r="E430" s="52" t="s">
        <v>387</v>
      </c>
      <c r="F430" s="52" t="s">
        <v>1678</v>
      </c>
      <c r="G430" s="52" t="s">
        <v>60</v>
      </c>
      <c r="H430" s="54">
        <v>46082</v>
      </c>
      <c r="I430" s="52" t="s">
        <v>271</v>
      </c>
      <c r="J430" s="52" t="s">
        <v>314</v>
      </c>
      <c r="K430" s="52" t="s">
        <v>1663</v>
      </c>
      <c r="L430" s="52" t="s">
        <v>1663</v>
      </c>
      <c r="M430" s="52" t="s">
        <v>29</v>
      </c>
      <c r="N430" s="53">
        <v>-24</v>
      </c>
      <c r="O430" s="96">
        <v>-24</v>
      </c>
      <c r="P430" s="52" t="s">
        <v>1664</v>
      </c>
      <c r="Q430" s="52" t="s">
        <v>1652</v>
      </c>
      <c r="R430" s="52" t="s">
        <v>64</v>
      </c>
      <c r="S430" s="52" t="s">
        <v>314</v>
      </c>
    </row>
    <row r="431" spans="1:19" outlineLevel="2" x14ac:dyDescent="0.45">
      <c r="A431" t="s">
        <v>17</v>
      </c>
      <c r="B431" s="52" t="s">
        <v>66</v>
      </c>
      <c r="C431" s="52" t="s">
        <v>349</v>
      </c>
      <c r="D431" s="52" t="s">
        <v>350</v>
      </c>
      <c r="E431" s="52" t="s">
        <v>387</v>
      </c>
      <c r="F431" s="52" t="s">
        <v>1679</v>
      </c>
      <c r="G431" s="52" t="s">
        <v>60</v>
      </c>
      <c r="H431" s="54">
        <v>46082</v>
      </c>
      <c r="I431" s="52" t="s">
        <v>271</v>
      </c>
      <c r="J431" s="52" t="s">
        <v>314</v>
      </c>
      <c r="K431" s="52" t="s">
        <v>1680</v>
      </c>
      <c r="L431" s="52" t="s">
        <v>1680</v>
      </c>
      <c r="M431" s="52" t="s">
        <v>67</v>
      </c>
      <c r="N431" s="53">
        <v>-1.53</v>
      </c>
      <c r="O431" s="96">
        <v>-5.33</v>
      </c>
      <c r="P431" s="52" t="s">
        <v>1681</v>
      </c>
      <c r="Q431" s="52" t="s">
        <v>1644</v>
      </c>
      <c r="R431" s="52" t="s">
        <v>64</v>
      </c>
      <c r="S431" s="52" t="s">
        <v>314</v>
      </c>
    </row>
    <row r="432" spans="1:19" outlineLevel="2" x14ac:dyDescent="0.45">
      <c r="A432" t="s">
        <v>17</v>
      </c>
      <c r="B432" s="52" t="s">
        <v>66</v>
      </c>
      <c r="C432" s="52" t="s">
        <v>349</v>
      </c>
      <c r="D432" s="52" t="s">
        <v>350</v>
      </c>
      <c r="E432" s="52" t="s">
        <v>387</v>
      </c>
      <c r="F432" s="52" t="s">
        <v>1682</v>
      </c>
      <c r="G432" s="52" t="s">
        <v>60</v>
      </c>
      <c r="H432" s="54">
        <v>46082</v>
      </c>
      <c r="I432" s="52" t="s">
        <v>271</v>
      </c>
      <c r="J432" s="52" t="s">
        <v>314</v>
      </c>
      <c r="K432" s="52" t="s">
        <v>1680</v>
      </c>
      <c r="L432" s="52" t="s">
        <v>1680</v>
      </c>
      <c r="M432" s="52" t="s">
        <v>67</v>
      </c>
      <c r="N432" s="53">
        <v>-1.53</v>
      </c>
      <c r="O432" s="96">
        <v>-5.33</v>
      </c>
      <c r="P432" s="52" t="s">
        <v>1681</v>
      </c>
      <c r="Q432" s="52" t="s">
        <v>1644</v>
      </c>
      <c r="R432" s="52" t="s">
        <v>64</v>
      </c>
      <c r="S432" s="52" t="s">
        <v>314</v>
      </c>
    </row>
    <row r="433" spans="1:19" outlineLevel="2" x14ac:dyDescent="0.45">
      <c r="A433" t="s">
        <v>17</v>
      </c>
      <c r="B433" s="52" t="s">
        <v>66</v>
      </c>
      <c r="C433" s="52" t="s">
        <v>349</v>
      </c>
      <c r="D433" s="52" t="s">
        <v>350</v>
      </c>
      <c r="E433" s="52" t="s">
        <v>387</v>
      </c>
      <c r="F433" s="52" t="s">
        <v>1683</v>
      </c>
      <c r="G433" s="52" t="s">
        <v>60</v>
      </c>
      <c r="H433" s="54">
        <v>46082</v>
      </c>
      <c r="I433" s="52" t="s">
        <v>271</v>
      </c>
      <c r="J433" s="52" t="s">
        <v>314</v>
      </c>
      <c r="K433" s="52" t="s">
        <v>1680</v>
      </c>
      <c r="L433" s="52" t="s">
        <v>1680</v>
      </c>
      <c r="M433" s="52" t="s">
        <v>67</v>
      </c>
      <c r="N433" s="53">
        <v>-1.53</v>
      </c>
      <c r="O433" s="96">
        <v>-5.33</v>
      </c>
      <c r="P433" s="52" t="s">
        <v>1681</v>
      </c>
      <c r="Q433" s="52" t="s">
        <v>1644</v>
      </c>
      <c r="R433" s="52" t="s">
        <v>64</v>
      </c>
      <c r="S433" s="52" t="s">
        <v>314</v>
      </c>
    </row>
    <row r="434" spans="1:19" outlineLevel="2" x14ac:dyDescent="0.45">
      <c r="A434" t="s">
        <v>17</v>
      </c>
      <c r="B434" s="52" t="s">
        <v>66</v>
      </c>
      <c r="C434" s="52" t="s">
        <v>349</v>
      </c>
      <c r="D434" s="52" t="s">
        <v>350</v>
      </c>
      <c r="E434" s="52" t="s">
        <v>387</v>
      </c>
      <c r="F434" s="52" t="s">
        <v>1684</v>
      </c>
      <c r="G434" s="52" t="s">
        <v>60</v>
      </c>
      <c r="H434" s="54">
        <v>46082</v>
      </c>
      <c r="I434" s="52" t="s">
        <v>271</v>
      </c>
      <c r="J434" s="52" t="s">
        <v>314</v>
      </c>
      <c r="K434" s="52" t="s">
        <v>1680</v>
      </c>
      <c r="L434" s="52" t="s">
        <v>1680</v>
      </c>
      <c r="M434" s="52" t="s">
        <v>67</v>
      </c>
      <c r="N434" s="53">
        <v>-1.53</v>
      </c>
      <c r="O434" s="96">
        <v>-5.33</v>
      </c>
      <c r="P434" s="52" t="s">
        <v>1681</v>
      </c>
      <c r="Q434" s="52" t="s">
        <v>1644</v>
      </c>
      <c r="R434" s="52" t="s">
        <v>64</v>
      </c>
      <c r="S434" s="52" t="s">
        <v>314</v>
      </c>
    </row>
    <row r="435" spans="1:19" outlineLevel="2" x14ac:dyDescent="0.45">
      <c r="A435" t="s">
        <v>17</v>
      </c>
      <c r="B435" s="52" t="s">
        <v>66</v>
      </c>
      <c r="C435" s="52" t="s">
        <v>349</v>
      </c>
      <c r="D435" s="52" t="s">
        <v>350</v>
      </c>
      <c r="E435" s="52" t="s">
        <v>387</v>
      </c>
      <c r="F435" s="52" t="s">
        <v>1685</v>
      </c>
      <c r="G435" s="52" t="s">
        <v>60</v>
      </c>
      <c r="H435" s="54">
        <v>46082</v>
      </c>
      <c r="I435" s="52" t="s">
        <v>271</v>
      </c>
      <c r="J435" s="52" t="s">
        <v>513</v>
      </c>
      <c r="K435" s="52" t="s">
        <v>1686</v>
      </c>
      <c r="L435" s="52" t="s">
        <v>1686</v>
      </c>
      <c r="M435" s="52" t="s">
        <v>67</v>
      </c>
      <c r="N435" s="53">
        <v>-1.53</v>
      </c>
      <c r="O435" s="96">
        <v>-5.32</v>
      </c>
      <c r="P435" s="52" t="s">
        <v>1687</v>
      </c>
      <c r="Q435" s="52" t="s">
        <v>1644</v>
      </c>
      <c r="R435" s="52" t="s">
        <v>64</v>
      </c>
      <c r="S435" s="52" t="s">
        <v>513</v>
      </c>
    </row>
    <row r="436" spans="1:19" outlineLevel="2" x14ac:dyDescent="0.45">
      <c r="A436" t="s">
        <v>17</v>
      </c>
      <c r="B436" s="52" t="s">
        <v>66</v>
      </c>
      <c r="C436" s="52" t="s">
        <v>349</v>
      </c>
      <c r="D436" s="52" t="s">
        <v>350</v>
      </c>
      <c r="E436" s="52" t="s">
        <v>387</v>
      </c>
      <c r="F436" s="52" t="s">
        <v>1688</v>
      </c>
      <c r="G436" s="52" t="s">
        <v>60</v>
      </c>
      <c r="H436" s="54">
        <v>46082</v>
      </c>
      <c r="I436" s="52" t="s">
        <v>271</v>
      </c>
      <c r="J436" s="52" t="s">
        <v>272</v>
      </c>
      <c r="K436" s="52" t="s">
        <v>1689</v>
      </c>
      <c r="L436" s="52" t="s">
        <v>1689</v>
      </c>
      <c r="M436" s="52" t="s">
        <v>67</v>
      </c>
      <c r="N436" s="53">
        <v>-1.53</v>
      </c>
      <c r="O436" s="96">
        <v>-5.32</v>
      </c>
      <c r="P436" s="52" t="s">
        <v>1690</v>
      </c>
      <c r="Q436" s="52" t="s">
        <v>1644</v>
      </c>
      <c r="R436" s="52" t="s">
        <v>64</v>
      </c>
      <c r="S436" s="52" t="s">
        <v>272</v>
      </c>
    </row>
    <row r="437" spans="1:19" outlineLevel="2" x14ac:dyDescent="0.45">
      <c r="A437" t="s">
        <v>17</v>
      </c>
      <c r="B437" s="52" t="s">
        <v>66</v>
      </c>
      <c r="C437" s="52" t="s">
        <v>349</v>
      </c>
      <c r="D437" s="52" t="s">
        <v>350</v>
      </c>
      <c r="E437" s="52" t="s">
        <v>387</v>
      </c>
      <c r="F437" s="52" t="s">
        <v>1691</v>
      </c>
      <c r="G437" s="52" t="s">
        <v>60</v>
      </c>
      <c r="H437" s="54">
        <v>46082</v>
      </c>
      <c r="I437" s="52" t="s">
        <v>271</v>
      </c>
      <c r="J437" s="52" t="s">
        <v>272</v>
      </c>
      <c r="K437" s="52" t="s">
        <v>1689</v>
      </c>
      <c r="L437" s="52" t="s">
        <v>1689</v>
      </c>
      <c r="M437" s="52" t="s">
        <v>67</v>
      </c>
      <c r="N437" s="53">
        <v>-1.53</v>
      </c>
      <c r="O437" s="96">
        <v>-5.32</v>
      </c>
      <c r="P437" s="52" t="s">
        <v>1690</v>
      </c>
      <c r="Q437" s="52" t="s">
        <v>1644</v>
      </c>
      <c r="R437" s="52" t="s">
        <v>64</v>
      </c>
      <c r="S437" s="52" t="s">
        <v>272</v>
      </c>
    </row>
    <row r="438" spans="1:19" outlineLevel="2" x14ac:dyDescent="0.45">
      <c r="A438" t="s">
        <v>17</v>
      </c>
      <c r="B438" s="52" t="s">
        <v>66</v>
      </c>
      <c r="C438" s="52" t="s">
        <v>349</v>
      </c>
      <c r="D438" s="52" t="s">
        <v>350</v>
      </c>
      <c r="E438" s="52" t="s">
        <v>387</v>
      </c>
      <c r="F438" s="52" t="s">
        <v>1692</v>
      </c>
      <c r="G438" s="52" t="s">
        <v>60</v>
      </c>
      <c r="H438" s="54">
        <v>46082</v>
      </c>
      <c r="I438" s="52" t="s">
        <v>271</v>
      </c>
      <c r="J438" s="52" t="s">
        <v>272</v>
      </c>
      <c r="K438" s="52" t="s">
        <v>1689</v>
      </c>
      <c r="L438" s="52" t="s">
        <v>1689</v>
      </c>
      <c r="M438" s="52" t="s">
        <v>67</v>
      </c>
      <c r="N438" s="53">
        <v>-1.53</v>
      </c>
      <c r="O438" s="96">
        <v>-5.32</v>
      </c>
      <c r="P438" s="52" t="s">
        <v>1690</v>
      </c>
      <c r="Q438" s="52" t="s">
        <v>1644</v>
      </c>
      <c r="R438" s="52" t="s">
        <v>64</v>
      </c>
      <c r="S438" s="52" t="s">
        <v>272</v>
      </c>
    </row>
    <row r="439" spans="1:19" outlineLevel="2" x14ac:dyDescent="0.45">
      <c r="A439" t="s">
        <v>17</v>
      </c>
      <c r="B439" s="52" t="s">
        <v>66</v>
      </c>
      <c r="C439" s="52" t="s">
        <v>349</v>
      </c>
      <c r="D439" s="52" t="s">
        <v>350</v>
      </c>
      <c r="E439" s="52" t="s">
        <v>387</v>
      </c>
      <c r="F439" s="52" t="s">
        <v>1693</v>
      </c>
      <c r="G439" s="52" t="s">
        <v>60</v>
      </c>
      <c r="H439" s="54">
        <v>46082</v>
      </c>
      <c r="I439" s="52" t="s">
        <v>271</v>
      </c>
      <c r="J439" s="52" t="s">
        <v>272</v>
      </c>
      <c r="K439" s="52" t="s">
        <v>1689</v>
      </c>
      <c r="L439" s="52" t="s">
        <v>1689</v>
      </c>
      <c r="M439" s="52" t="s">
        <v>67</v>
      </c>
      <c r="N439" s="53">
        <v>-1.53</v>
      </c>
      <c r="O439" s="96">
        <v>-5.32</v>
      </c>
      <c r="P439" s="52" t="s">
        <v>1690</v>
      </c>
      <c r="Q439" s="52" t="s">
        <v>1644</v>
      </c>
      <c r="R439" s="52" t="s">
        <v>64</v>
      </c>
      <c r="S439" s="52" t="s">
        <v>272</v>
      </c>
    </row>
    <row r="440" spans="1:19" outlineLevel="2" x14ac:dyDescent="0.45">
      <c r="A440" t="s">
        <v>17</v>
      </c>
      <c r="B440" s="52" t="s">
        <v>66</v>
      </c>
      <c r="C440" s="52" t="s">
        <v>349</v>
      </c>
      <c r="D440" s="52" t="s">
        <v>350</v>
      </c>
      <c r="E440" s="52" t="s">
        <v>387</v>
      </c>
      <c r="F440" s="52" t="s">
        <v>1694</v>
      </c>
      <c r="G440" s="52" t="s">
        <v>60</v>
      </c>
      <c r="H440" s="54">
        <v>46082</v>
      </c>
      <c r="I440" s="52" t="s">
        <v>271</v>
      </c>
      <c r="J440" s="52" t="s">
        <v>319</v>
      </c>
      <c r="K440" s="52" t="s">
        <v>1695</v>
      </c>
      <c r="L440" s="52" t="s">
        <v>1695</v>
      </c>
      <c r="M440" s="52" t="s">
        <v>67</v>
      </c>
      <c r="N440" s="53">
        <v>-1.53</v>
      </c>
      <c r="O440" s="96">
        <v>-5.28</v>
      </c>
      <c r="P440" s="52" t="s">
        <v>1696</v>
      </c>
      <c r="Q440" s="52" t="s">
        <v>1644</v>
      </c>
      <c r="R440" s="52" t="s">
        <v>64</v>
      </c>
      <c r="S440" s="52" t="s">
        <v>319</v>
      </c>
    </row>
    <row r="441" spans="1:19" outlineLevel="2" x14ac:dyDescent="0.45">
      <c r="A441" t="s">
        <v>17</v>
      </c>
      <c r="B441" s="52" t="s">
        <v>66</v>
      </c>
      <c r="C441" s="52" t="s">
        <v>349</v>
      </c>
      <c r="D441" s="52" t="s">
        <v>350</v>
      </c>
      <c r="E441" s="52" t="s">
        <v>387</v>
      </c>
      <c r="F441" s="52" t="s">
        <v>1697</v>
      </c>
      <c r="G441" s="52" t="s">
        <v>60</v>
      </c>
      <c r="H441" s="54">
        <v>46082</v>
      </c>
      <c r="I441" s="52" t="s">
        <v>271</v>
      </c>
      <c r="J441" s="52" t="s">
        <v>323</v>
      </c>
      <c r="K441" s="52" t="s">
        <v>1698</v>
      </c>
      <c r="L441" s="52" t="s">
        <v>1698</v>
      </c>
      <c r="M441" s="52" t="s">
        <v>67</v>
      </c>
      <c r="N441" s="53">
        <v>-1.53</v>
      </c>
      <c r="O441" s="96">
        <v>-5.24</v>
      </c>
      <c r="P441" s="52" t="s">
        <v>1699</v>
      </c>
      <c r="Q441" s="52" t="s">
        <v>1644</v>
      </c>
      <c r="R441" s="52" t="s">
        <v>64</v>
      </c>
      <c r="S441" s="52" t="s">
        <v>323</v>
      </c>
    </row>
    <row r="442" spans="1:19" outlineLevel="2" x14ac:dyDescent="0.45">
      <c r="A442" t="s">
        <v>17</v>
      </c>
      <c r="B442" s="52" t="s">
        <v>66</v>
      </c>
      <c r="C442" s="52" t="s">
        <v>349</v>
      </c>
      <c r="D442" s="52" t="s">
        <v>350</v>
      </c>
      <c r="E442" s="52" t="s">
        <v>387</v>
      </c>
      <c r="F442" s="52" t="s">
        <v>1700</v>
      </c>
      <c r="G442" s="52" t="s">
        <v>60</v>
      </c>
      <c r="H442" s="54">
        <v>46082</v>
      </c>
      <c r="I442" s="52" t="s">
        <v>271</v>
      </c>
      <c r="J442" s="52" t="s">
        <v>1368</v>
      </c>
      <c r="K442" s="52" t="s">
        <v>1701</v>
      </c>
      <c r="L442" s="52" t="s">
        <v>1701</v>
      </c>
      <c r="M442" s="52" t="s">
        <v>67</v>
      </c>
      <c r="N442" s="53">
        <v>-1.53</v>
      </c>
      <c r="O442" s="96">
        <v>-5.23</v>
      </c>
      <c r="P442" s="52" t="s">
        <v>1702</v>
      </c>
      <c r="Q442" s="52" t="s">
        <v>1644</v>
      </c>
      <c r="R442" s="52" t="s">
        <v>64</v>
      </c>
      <c r="S442" s="52" t="s">
        <v>1368</v>
      </c>
    </row>
    <row r="443" spans="1:19" outlineLevel="2" x14ac:dyDescent="0.45">
      <c r="A443" t="s">
        <v>17</v>
      </c>
      <c r="B443" s="52" t="s">
        <v>66</v>
      </c>
      <c r="C443" s="52" t="s">
        <v>349</v>
      </c>
      <c r="D443" s="52" t="s">
        <v>350</v>
      </c>
      <c r="E443" s="52" t="s">
        <v>387</v>
      </c>
      <c r="F443" s="52" t="s">
        <v>1703</v>
      </c>
      <c r="G443" s="52" t="s">
        <v>60</v>
      </c>
      <c r="H443" s="54">
        <v>46082</v>
      </c>
      <c r="I443" s="52" t="s">
        <v>271</v>
      </c>
      <c r="J443" s="52" t="s">
        <v>526</v>
      </c>
      <c r="K443" s="52" t="s">
        <v>1704</v>
      </c>
      <c r="L443" s="52" t="s">
        <v>1704</v>
      </c>
      <c r="M443" s="52" t="s">
        <v>67</v>
      </c>
      <c r="N443" s="53">
        <v>-1.53</v>
      </c>
      <c r="O443" s="96">
        <v>-5.22</v>
      </c>
      <c r="P443" s="52" t="s">
        <v>1705</v>
      </c>
      <c r="Q443" s="52" t="s">
        <v>1644</v>
      </c>
      <c r="R443" s="52" t="s">
        <v>64</v>
      </c>
      <c r="S443" s="52" t="s">
        <v>526</v>
      </c>
    </row>
    <row r="444" spans="1:19" outlineLevel="2" x14ac:dyDescent="0.45">
      <c r="A444" t="s">
        <v>17</v>
      </c>
      <c r="B444" s="52" t="s">
        <v>66</v>
      </c>
      <c r="C444" s="52" t="s">
        <v>349</v>
      </c>
      <c r="D444" s="52" t="s">
        <v>350</v>
      </c>
      <c r="E444" s="52" t="s">
        <v>387</v>
      </c>
      <c r="F444" s="52" t="s">
        <v>1706</v>
      </c>
      <c r="G444" s="52" t="s">
        <v>60</v>
      </c>
      <c r="H444" s="54">
        <v>46082</v>
      </c>
      <c r="I444" s="52" t="s">
        <v>271</v>
      </c>
      <c r="J444" s="52" t="s">
        <v>526</v>
      </c>
      <c r="K444" s="52" t="s">
        <v>1704</v>
      </c>
      <c r="L444" s="52" t="s">
        <v>1704</v>
      </c>
      <c r="M444" s="52" t="s">
        <v>67</v>
      </c>
      <c r="N444" s="53">
        <v>-1.53</v>
      </c>
      <c r="O444" s="96">
        <v>-5.22</v>
      </c>
      <c r="P444" s="52" t="s">
        <v>1705</v>
      </c>
      <c r="Q444" s="52" t="s">
        <v>1644</v>
      </c>
      <c r="R444" s="52" t="s">
        <v>64</v>
      </c>
      <c r="S444" s="52" t="s">
        <v>526</v>
      </c>
    </row>
    <row r="445" spans="1:19" outlineLevel="2" x14ac:dyDescent="0.45">
      <c r="A445" t="s">
        <v>17</v>
      </c>
      <c r="B445" s="52" t="s">
        <v>66</v>
      </c>
      <c r="C445" s="52" t="s">
        <v>349</v>
      </c>
      <c r="D445" s="52" t="s">
        <v>350</v>
      </c>
      <c r="E445" s="52" t="s">
        <v>387</v>
      </c>
      <c r="F445" s="52" t="s">
        <v>1707</v>
      </c>
      <c r="G445" s="52" t="s">
        <v>60</v>
      </c>
      <c r="H445" s="54">
        <v>46082</v>
      </c>
      <c r="I445" s="52" t="s">
        <v>271</v>
      </c>
      <c r="J445" s="52" t="s">
        <v>526</v>
      </c>
      <c r="K445" s="52" t="s">
        <v>1704</v>
      </c>
      <c r="L445" s="52" t="s">
        <v>1704</v>
      </c>
      <c r="M445" s="52" t="s">
        <v>67</v>
      </c>
      <c r="N445" s="53">
        <v>-1.53</v>
      </c>
      <c r="O445" s="96">
        <v>-5.22</v>
      </c>
      <c r="P445" s="52" t="s">
        <v>1705</v>
      </c>
      <c r="Q445" s="52" t="s">
        <v>1644</v>
      </c>
      <c r="R445" s="52" t="s">
        <v>64</v>
      </c>
      <c r="S445" s="52" t="s">
        <v>526</v>
      </c>
    </row>
    <row r="446" spans="1:19" outlineLevel="2" x14ac:dyDescent="0.45">
      <c r="A446" t="s">
        <v>17</v>
      </c>
      <c r="B446" s="52" t="s">
        <v>66</v>
      </c>
      <c r="C446" s="52" t="s">
        <v>349</v>
      </c>
      <c r="D446" s="52" t="s">
        <v>350</v>
      </c>
      <c r="E446" s="52" t="s">
        <v>387</v>
      </c>
      <c r="F446" s="52" t="s">
        <v>1708</v>
      </c>
      <c r="G446" s="52" t="s">
        <v>60</v>
      </c>
      <c r="H446" s="54">
        <v>46082</v>
      </c>
      <c r="I446" s="52" t="s">
        <v>271</v>
      </c>
      <c r="J446" s="52" t="s">
        <v>526</v>
      </c>
      <c r="K446" s="52" t="s">
        <v>1704</v>
      </c>
      <c r="L446" s="52" t="s">
        <v>1704</v>
      </c>
      <c r="M446" s="52" t="s">
        <v>67</v>
      </c>
      <c r="N446" s="53">
        <v>-1.53</v>
      </c>
      <c r="O446" s="96">
        <v>-5.22</v>
      </c>
      <c r="P446" s="52" t="s">
        <v>1705</v>
      </c>
      <c r="Q446" s="52" t="s">
        <v>1644</v>
      </c>
      <c r="R446" s="52" t="s">
        <v>64</v>
      </c>
      <c r="S446" s="52" t="s">
        <v>526</v>
      </c>
    </row>
    <row r="447" spans="1:19" outlineLevel="2" x14ac:dyDescent="0.45">
      <c r="A447" t="s">
        <v>17</v>
      </c>
      <c r="B447" s="52" t="s">
        <v>66</v>
      </c>
      <c r="C447" s="52" t="s">
        <v>349</v>
      </c>
      <c r="D447" s="52" t="s">
        <v>350</v>
      </c>
      <c r="E447" s="52" t="s">
        <v>387</v>
      </c>
      <c r="F447" s="52" t="s">
        <v>1709</v>
      </c>
      <c r="G447" s="52" t="s">
        <v>60</v>
      </c>
      <c r="H447" s="54">
        <v>46082</v>
      </c>
      <c r="I447" s="52" t="s">
        <v>271</v>
      </c>
      <c r="J447" s="52" t="s">
        <v>298</v>
      </c>
      <c r="K447" s="52" t="s">
        <v>1710</v>
      </c>
      <c r="L447" s="52" t="s">
        <v>1710</v>
      </c>
      <c r="M447" s="52" t="s">
        <v>67</v>
      </c>
      <c r="N447" s="53">
        <v>-1.53</v>
      </c>
      <c r="O447" s="96">
        <v>-5.21</v>
      </c>
      <c r="P447" s="52" t="s">
        <v>1711</v>
      </c>
      <c r="Q447" s="52" t="s">
        <v>1644</v>
      </c>
      <c r="R447" s="52" t="s">
        <v>64</v>
      </c>
      <c r="S447" s="52" t="s">
        <v>298</v>
      </c>
    </row>
    <row r="448" spans="1:19" outlineLevel="2" x14ac:dyDescent="0.45">
      <c r="A448" t="s">
        <v>17</v>
      </c>
      <c r="B448" s="52" t="s">
        <v>66</v>
      </c>
      <c r="C448" s="52" t="s">
        <v>349</v>
      </c>
      <c r="D448" s="52" t="s">
        <v>350</v>
      </c>
      <c r="E448" s="52" t="s">
        <v>387</v>
      </c>
      <c r="F448" s="52" t="s">
        <v>1712</v>
      </c>
      <c r="G448" s="52" t="s">
        <v>60</v>
      </c>
      <c r="H448" s="54">
        <v>46082</v>
      </c>
      <c r="I448" s="52" t="s">
        <v>271</v>
      </c>
      <c r="J448" s="52" t="s">
        <v>519</v>
      </c>
      <c r="K448" s="52" t="s">
        <v>1713</v>
      </c>
      <c r="L448" s="52" t="s">
        <v>1713</v>
      </c>
      <c r="M448" s="52" t="s">
        <v>67</v>
      </c>
      <c r="N448" s="53">
        <v>-1.53</v>
      </c>
      <c r="O448" s="96">
        <v>-5.14</v>
      </c>
      <c r="P448" s="52" t="s">
        <v>1714</v>
      </c>
      <c r="Q448" s="52" t="s">
        <v>1644</v>
      </c>
      <c r="R448" s="52" t="s">
        <v>64</v>
      </c>
      <c r="S448" s="52" t="s">
        <v>519</v>
      </c>
    </row>
    <row r="449" spans="1:19" outlineLevel="2" x14ac:dyDescent="0.45">
      <c r="A449" t="s">
        <v>17</v>
      </c>
      <c r="B449" s="52" t="s">
        <v>66</v>
      </c>
      <c r="C449" s="52" t="s">
        <v>349</v>
      </c>
      <c r="D449" s="52" t="s">
        <v>350</v>
      </c>
      <c r="E449" s="52" t="s">
        <v>387</v>
      </c>
      <c r="F449" s="52" t="s">
        <v>1715</v>
      </c>
      <c r="G449" s="52" t="s">
        <v>60</v>
      </c>
      <c r="H449" s="54">
        <v>46082</v>
      </c>
      <c r="I449" s="52" t="s">
        <v>271</v>
      </c>
      <c r="J449" s="52" t="s">
        <v>519</v>
      </c>
      <c r="K449" s="52" t="s">
        <v>1713</v>
      </c>
      <c r="L449" s="52" t="s">
        <v>1713</v>
      </c>
      <c r="M449" s="52" t="s">
        <v>67</v>
      </c>
      <c r="N449" s="53">
        <v>-1.53</v>
      </c>
      <c r="O449" s="96">
        <v>-5.14</v>
      </c>
      <c r="P449" s="52" t="s">
        <v>1714</v>
      </c>
      <c r="Q449" s="52" t="s">
        <v>1644</v>
      </c>
      <c r="R449" s="52" t="s">
        <v>64</v>
      </c>
      <c r="S449" s="52" t="s">
        <v>519</v>
      </c>
    </row>
    <row r="450" spans="1:19" outlineLevel="2" x14ac:dyDescent="0.45">
      <c r="A450" t="s">
        <v>17</v>
      </c>
      <c r="B450" s="52" t="s">
        <v>66</v>
      </c>
      <c r="C450" s="52" t="s">
        <v>349</v>
      </c>
      <c r="D450" s="52" t="s">
        <v>350</v>
      </c>
      <c r="E450" s="52" t="s">
        <v>387</v>
      </c>
      <c r="F450" s="52" t="s">
        <v>1716</v>
      </c>
      <c r="G450" s="52" t="s">
        <v>60</v>
      </c>
      <c r="H450" s="54">
        <v>46082</v>
      </c>
      <c r="I450" s="52" t="s">
        <v>271</v>
      </c>
      <c r="J450" s="52" t="s">
        <v>383</v>
      </c>
      <c r="K450" s="52" t="s">
        <v>1658</v>
      </c>
      <c r="L450" s="52" t="s">
        <v>1658</v>
      </c>
      <c r="M450" s="52" t="s">
        <v>67</v>
      </c>
      <c r="N450" s="53">
        <v>-1.3</v>
      </c>
      <c r="O450" s="96">
        <v>-4.54</v>
      </c>
      <c r="P450" s="52" t="s">
        <v>1659</v>
      </c>
      <c r="Q450" s="52" t="s">
        <v>1644</v>
      </c>
      <c r="R450" s="52" t="s">
        <v>64</v>
      </c>
      <c r="S450" s="52" t="s">
        <v>383</v>
      </c>
    </row>
    <row r="451" spans="1:19" outlineLevel="2" x14ac:dyDescent="0.45">
      <c r="A451" t="s">
        <v>17</v>
      </c>
      <c r="B451" s="52" t="s">
        <v>57</v>
      </c>
      <c r="C451" s="52" t="s">
        <v>349</v>
      </c>
      <c r="D451" s="52" t="s">
        <v>350</v>
      </c>
      <c r="E451" s="52" t="s">
        <v>387</v>
      </c>
      <c r="F451" s="52" t="s">
        <v>1717</v>
      </c>
      <c r="G451" s="52" t="s">
        <v>60</v>
      </c>
      <c r="H451" s="54">
        <v>46082</v>
      </c>
      <c r="I451" s="52" t="s">
        <v>271</v>
      </c>
      <c r="J451" s="52" t="s">
        <v>519</v>
      </c>
      <c r="K451" s="52" t="s">
        <v>1668</v>
      </c>
      <c r="L451" s="52" t="s">
        <v>1668</v>
      </c>
      <c r="M451" s="52" t="s">
        <v>29</v>
      </c>
      <c r="N451" s="53">
        <v>-4.3</v>
      </c>
      <c r="O451" s="96">
        <v>-4.3</v>
      </c>
      <c r="P451" s="52" t="s">
        <v>1002</v>
      </c>
      <c r="Q451" s="52" t="s">
        <v>1652</v>
      </c>
      <c r="R451" s="52" t="s">
        <v>64</v>
      </c>
      <c r="S451" s="52" t="s">
        <v>519</v>
      </c>
    </row>
    <row r="452" spans="1:19" outlineLevel="2" x14ac:dyDescent="0.45">
      <c r="A452" t="s">
        <v>17</v>
      </c>
      <c r="B452" s="52" t="s">
        <v>57</v>
      </c>
      <c r="C452" s="52" t="s">
        <v>349</v>
      </c>
      <c r="D452" s="52" t="s">
        <v>350</v>
      </c>
      <c r="E452" s="52" t="s">
        <v>387</v>
      </c>
      <c r="F452" s="52" t="s">
        <v>1718</v>
      </c>
      <c r="G452" s="52" t="s">
        <v>60</v>
      </c>
      <c r="H452" s="54">
        <v>46082</v>
      </c>
      <c r="I452" s="52" t="s">
        <v>271</v>
      </c>
      <c r="J452" s="52" t="s">
        <v>272</v>
      </c>
      <c r="K452" s="52" t="s">
        <v>1719</v>
      </c>
      <c r="L452" s="52" t="s">
        <v>1719</v>
      </c>
      <c r="M452" s="52" t="s">
        <v>29</v>
      </c>
      <c r="N452" s="53">
        <v>-4.3</v>
      </c>
      <c r="O452" s="96">
        <v>-4.3</v>
      </c>
      <c r="P452" s="52" t="s">
        <v>1720</v>
      </c>
      <c r="Q452" s="52" t="s">
        <v>1652</v>
      </c>
      <c r="R452" s="52" t="s">
        <v>64</v>
      </c>
      <c r="S452" s="52" t="s">
        <v>272</v>
      </c>
    </row>
    <row r="453" spans="1:19" outlineLevel="2" x14ac:dyDescent="0.45">
      <c r="A453" t="s">
        <v>17</v>
      </c>
      <c r="B453" s="52" t="s">
        <v>57</v>
      </c>
      <c r="C453" s="52" t="s">
        <v>349</v>
      </c>
      <c r="D453" s="52" t="s">
        <v>350</v>
      </c>
      <c r="E453" s="52" t="s">
        <v>387</v>
      </c>
      <c r="F453" s="52" t="s">
        <v>1721</v>
      </c>
      <c r="G453" s="52" t="s">
        <v>60</v>
      </c>
      <c r="H453" s="54">
        <v>46082</v>
      </c>
      <c r="I453" s="52" t="s">
        <v>271</v>
      </c>
      <c r="J453" s="52" t="s">
        <v>272</v>
      </c>
      <c r="K453" s="52" t="s">
        <v>1719</v>
      </c>
      <c r="L453" s="52" t="s">
        <v>1719</v>
      </c>
      <c r="M453" s="52" t="s">
        <v>29</v>
      </c>
      <c r="N453" s="53">
        <v>-4.3</v>
      </c>
      <c r="O453" s="96">
        <v>-4.3</v>
      </c>
      <c r="P453" s="52" t="s">
        <v>1720</v>
      </c>
      <c r="Q453" s="52" t="s">
        <v>1652</v>
      </c>
      <c r="R453" s="52" t="s">
        <v>64</v>
      </c>
      <c r="S453" s="52" t="s">
        <v>272</v>
      </c>
    </row>
    <row r="454" spans="1:19" outlineLevel="2" x14ac:dyDescent="0.45">
      <c r="A454" t="s">
        <v>17</v>
      </c>
      <c r="B454" s="52" t="s">
        <v>57</v>
      </c>
      <c r="C454" s="52" t="s">
        <v>349</v>
      </c>
      <c r="D454" s="52" t="s">
        <v>350</v>
      </c>
      <c r="E454" s="52" t="s">
        <v>387</v>
      </c>
      <c r="F454" s="52" t="s">
        <v>1722</v>
      </c>
      <c r="G454" s="52" t="s">
        <v>60</v>
      </c>
      <c r="H454" s="54">
        <v>46082</v>
      </c>
      <c r="I454" s="52" t="s">
        <v>271</v>
      </c>
      <c r="J454" s="52" t="s">
        <v>272</v>
      </c>
      <c r="K454" s="52" t="s">
        <v>1719</v>
      </c>
      <c r="L454" s="52" t="s">
        <v>1719</v>
      </c>
      <c r="M454" s="52" t="s">
        <v>29</v>
      </c>
      <c r="N454" s="53">
        <v>-4.3</v>
      </c>
      <c r="O454" s="96">
        <v>-4.3</v>
      </c>
      <c r="P454" s="52" t="s">
        <v>1720</v>
      </c>
      <c r="Q454" s="52" t="s">
        <v>1652</v>
      </c>
      <c r="R454" s="52" t="s">
        <v>64</v>
      </c>
      <c r="S454" s="52" t="s">
        <v>272</v>
      </c>
    </row>
    <row r="455" spans="1:19" outlineLevel="2" x14ac:dyDescent="0.45">
      <c r="A455" t="s">
        <v>17</v>
      </c>
      <c r="B455" s="52" t="s">
        <v>57</v>
      </c>
      <c r="C455" s="52" t="s">
        <v>349</v>
      </c>
      <c r="D455" s="52" t="s">
        <v>350</v>
      </c>
      <c r="E455" s="52" t="s">
        <v>387</v>
      </c>
      <c r="F455" s="52" t="s">
        <v>1271</v>
      </c>
      <c r="G455" s="52" t="s">
        <v>60</v>
      </c>
      <c r="H455" s="54">
        <v>46082</v>
      </c>
      <c r="I455" s="52" t="s">
        <v>271</v>
      </c>
      <c r="J455" s="52" t="s">
        <v>319</v>
      </c>
      <c r="K455" s="52" t="s">
        <v>1723</v>
      </c>
      <c r="L455" s="52" t="s">
        <v>1723</v>
      </c>
      <c r="M455" s="52" t="s">
        <v>29</v>
      </c>
      <c r="N455" s="53">
        <v>-4.3</v>
      </c>
      <c r="O455" s="96">
        <v>-4.3</v>
      </c>
      <c r="P455" s="52" t="s">
        <v>1724</v>
      </c>
      <c r="Q455" s="52" t="s">
        <v>1652</v>
      </c>
      <c r="R455" s="52" t="s">
        <v>64</v>
      </c>
      <c r="S455" s="52" t="s">
        <v>319</v>
      </c>
    </row>
    <row r="456" spans="1:19" outlineLevel="2" x14ac:dyDescent="0.45">
      <c r="A456" t="s">
        <v>17</v>
      </c>
      <c r="B456" s="52" t="s">
        <v>57</v>
      </c>
      <c r="C456" s="52" t="s">
        <v>349</v>
      </c>
      <c r="D456" s="52" t="s">
        <v>350</v>
      </c>
      <c r="E456" s="52" t="s">
        <v>387</v>
      </c>
      <c r="F456" s="52" t="s">
        <v>1238</v>
      </c>
      <c r="G456" s="52" t="s">
        <v>60</v>
      </c>
      <c r="H456" s="54">
        <v>46082</v>
      </c>
      <c r="I456" s="52" t="s">
        <v>271</v>
      </c>
      <c r="J456" s="52" t="s">
        <v>314</v>
      </c>
      <c r="K456" s="52" t="s">
        <v>1674</v>
      </c>
      <c r="L456" s="52" t="s">
        <v>1674</v>
      </c>
      <c r="M456" s="52" t="s">
        <v>29</v>
      </c>
      <c r="N456" s="53">
        <v>-4.3</v>
      </c>
      <c r="O456" s="96">
        <v>-4.3</v>
      </c>
      <c r="P456" s="52" t="s">
        <v>1675</v>
      </c>
      <c r="Q456" s="52" t="s">
        <v>1652</v>
      </c>
      <c r="R456" s="52" t="s">
        <v>64</v>
      </c>
      <c r="S456" s="52" t="s">
        <v>314</v>
      </c>
    </row>
    <row r="457" spans="1:19" outlineLevel="2" x14ac:dyDescent="0.45">
      <c r="A457" t="s">
        <v>17</v>
      </c>
      <c r="B457" s="52" t="s">
        <v>57</v>
      </c>
      <c r="C457" s="52" t="s">
        <v>349</v>
      </c>
      <c r="D457" s="52" t="s">
        <v>350</v>
      </c>
      <c r="E457" s="52" t="s">
        <v>387</v>
      </c>
      <c r="F457" s="52" t="s">
        <v>1210</v>
      </c>
      <c r="G457" s="52" t="s">
        <v>60</v>
      </c>
      <c r="H457" s="54">
        <v>46082</v>
      </c>
      <c r="I457" s="52" t="s">
        <v>271</v>
      </c>
      <c r="J457" s="52" t="s">
        <v>314</v>
      </c>
      <c r="K457" s="52" t="s">
        <v>1674</v>
      </c>
      <c r="L457" s="52" t="s">
        <v>1674</v>
      </c>
      <c r="M457" s="52" t="s">
        <v>29</v>
      </c>
      <c r="N457" s="53">
        <v>-4.3</v>
      </c>
      <c r="O457" s="96">
        <v>-4.3</v>
      </c>
      <c r="P457" s="52" t="s">
        <v>1675</v>
      </c>
      <c r="Q457" s="52" t="s">
        <v>1652</v>
      </c>
      <c r="R457" s="52" t="s">
        <v>64</v>
      </c>
      <c r="S457" s="52" t="s">
        <v>314</v>
      </c>
    </row>
    <row r="458" spans="1:19" outlineLevel="2" x14ac:dyDescent="0.45">
      <c r="A458" t="s">
        <v>17</v>
      </c>
      <c r="B458" s="52" t="s">
        <v>57</v>
      </c>
      <c r="C458" s="52" t="s">
        <v>349</v>
      </c>
      <c r="D458" s="52" t="s">
        <v>350</v>
      </c>
      <c r="E458" s="52" t="s">
        <v>387</v>
      </c>
      <c r="F458" s="52" t="s">
        <v>1151</v>
      </c>
      <c r="G458" s="52" t="s">
        <v>60</v>
      </c>
      <c r="H458" s="54">
        <v>46082</v>
      </c>
      <c r="I458" s="52" t="s">
        <v>271</v>
      </c>
      <c r="J458" s="52" t="s">
        <v>314</v>
      </c>
      <c r="K458" s="52" t="s">
        <v>1674</v>
      </c>
      <c r="L458" s="52" t="s">
        <v>1674</v>
      </c>
      <c r="M458" s="52" t="s">
        <v>29</v>
      </c>
      <c r="N458" s="53">
        <v>-4.3</v>
      </c>
      <c r="O458" s="96">
        <v>-4.3</v>
      </c>
      <c r="P458" s="52" t="s">
        <v>1675</v>
      </c>
      <c r="Q458" s="52" t="s">
        <v>1652</v>
      </c>
      <c r="R458" s="52" t="s">
        <v>64</v>
      </c>
      <c r="S458" s="52" t="s">
        <v>314</v>
      </c>
    </row>
    <row r="459" spans="1:19" outlineLevel="2" x14ac:dyDescent="0.45">
      <c r="A459" t="s">
        <v>17</v>
      </c>
      <c r="B459" s="52" t="s">
        <v>57</v>
      </c>
      <c r="C459" s="52" t="s">
        <v>349</v>
      </c>
      <c r="D459" s="52" t="s">
        <v>350</v>
      </c>
      <c r="E459" s="52" t="s">
        <v>387</v>
      </c>
      <c r="F459" s="52" t="s">
        <v>1118</v>
      </c>
      <c r="G459" s="52" t="s">
        <v>60</v>
      </c>
      <c r="H459" s="54">
        <v>46082</v>
      </c>
      <c r="I459" s="52" t="s">
        <v>271</v>
      </c>
      <c r="J459" s="52" t="s">
        <v>314</v>
      </c>
      <c r="K459" s="52" t="s">
        <v>1674</v>
      </c>
      <c r="L459" s="52" t="s">
        <v>1674</v>
      </c>
      <c r="M459" s="52" t="s">
        <v>29</v>
      </c>
      <c r="N459" s="53">
        <v>-4.3</v>
      </c>
      <c r="O459" s="96">
        <v>-4.3</v>
      </c>
      <c r="P459" s="52" t="s">
        <v>1675</v>
      </c>
      <c r="Q459" s="52" t="s">
        <v>1652</v>
      </c>
      <c r="R459" s="52" t="s">
        <v>64</v>
      </c>
      <c r="S459" s="52" t="s">
        <v>314</v>
      </c>
    </row>
    <row r="460" spans="1:19" outlineLevel="2" x14ac:dyDescent="0.45">
      <c r="A460" t="s">
        <v>17</v>
      </c>
      <c r="B460" s="52" t="s">
        <v>57</v>
      </c>
      <c r="C460" s="52" t="s">
        <v>349</v>
      </c>
      <c r="D460" s="52" t="s">
        <v>350</v>
      </c>
      <c r="E460" s="52" t="s">
        <v>387</v>
      </c>
      <c r="F460" s="52" t="s">
        <v>1090</v>
      </c>
      <c r="G460" s="52" t="s">
        <v>60</v>
      </c>
      <c r="H460" s="54">
        <v>46082</v>
      </c>
      <c r="I460" s="52" t="s">
        <v>271</v>
      </c>
      <c r="J460" s="52" t="s">
        <v>314</v>
      </c>
      <c r="K460" s="52" t="s">
        <v>1674</v>
      </c>
      <c r="L460" s="52" t="s">
        <v>1674</v>
      </c>
      <c r="M460" s="52" t="s">
        <v>29</v>
      </c>
      <c r="N460" s="53">
        <v>-4.3</v>
      </c>
      <c r="O460" s="96">
        <v>-4.3</v>
      </c>
      <c r="P460" s="52" t="s">
        <v>1675</v>
      </c>
      <c r="Q460" s="52" t="s">
        <v>1652</v>
      </c>
      <c r="R460" s="52" t="s">
        <v>64</v>
      </c>
      <c r="S460" s="52" t="s">
        <v>314</v>
      </c>
    </row>
    <row r="461" spans="1:19" outlineLevel="2" x14ac:dyDescent="0.45">
      <c r="A461" t="s">
        <v>17</v>
      </c>
      <c r="B461" s="52" t="s">
        <v>57</v>
      </c>
      <c r="C461" s="52" t="s">
        <v>349</v>
      </c>
      <c r="D461" s="52" t="s">
        <v>350</v>
      </c>
      <c r="E461" s="52" t="s">
        <v>387</v>
      </c>
      <c r="F461" s="52" t="s">
        <v>1298</v>
      </c>
      <c r="G461" s="52" t="s">
        <v>60</v>
      </c>
      <c r="H461" s="54">
        <v>46082</v>
      </c>
      <c r="I461" s="52" t="s">
        <v>271</v>
      </c>
      <c r="J461" s="52" t="s">
        <v>314</v>
      </c>
      <c r="K461" s="52" t="s">
        <v>1674</v>
      </c>
      <c r="L461" s="52" t="s">
        <v>1674</v>
      </c>
      <c r="M461" s="52" t="s">
        <v>29</v>
      </c>
      <c r="N461" s="53">
        <v>-4.3</v>
      </c>
      <c r="O461" s="96">
        <v>-4.3</v>
      </c>
      <c r="P461" s="52" t="s">
        <v>1675</v>
      </c>
      <c r="Q461" s="52" t="s">
        <v>1652</v>
      </c>
      <c r="R461" s="52" t="s">
        <v>64</v>
      </c>
      <c r="S461" s="52" t="s">
        <v>314</v>
      </c>
    </row>
    <row r="462" spans="1:19" outlineLevel="2" x14ac:dyDescent="0.45">
      <c r="A462" t="s">
        <v>17</v>
      </c>
      <c r="B462" s="52" t="s">
        <v>57</v>
      </c>
      <c r="C462" s="52" t="s">
        <v>349</v>
      </c>
      <c r="D462" s="52" t="s">
        <v>350</v>
      </c>
      <c r="E462" s="52" t="s">
        <v>387</v>
      </c>
      <c r="F462" s="52" t="s">
        <v>483</v>
      </c>
      <c r="G462" s="52" t="s">
        <v>60</v>
      </c>
      <c r="H462" s="54">
        <v>46082</v>
      </c>
      <c r="I462" s="52" t="s">
        <v>271</v>
      </c>
      <c r="J462" s="52" t="s">
        <v>314</v>
      </c>
      <c r="K462" s="52" t="s">
        <v>1674</v>
      </c>
      <c r="L462" s="52" t="s">
        <v>1674</v>
      </c>
      <c r="M462" s="52" t="s">
        <v>29</v>
      </c>
      <c r="N462" s="53">
        <v>-4.3</v>
      </c>
      <c r="O462" s="96">
        <v>-4.3</v>
      </c>
      <c r="P462" s="52" t="s">
        <v>1675</v>
      </c>
      <c r="Q462" s="52" t="s">
        <v>1652</v>
      </c>
      <c r="R462" s="52" t="s">
        <v>64</v>
      </c>
      <c r="S462" s="52" t="s">
        <v>314</v>
      </c>
    </row>
    <row r="463" spans="1:19" outlineLevel="2" x14ac:dyDescent="0.45">
      <c r="A463" t="s">
        <v>17</v>
      </c>
      <c r="B463" s="52" t="s">
        <v>57</v>
      </c>
      <c r="C463" s="52" t="s">
        <v>349</v>
      </c>
      <c r="D463" s="52" t="s">
        <v>350</v>
      </c>
      <c r="E463" s="52" t="s">
        <v>387</v>
      </c>
      <c r="F463" s="52" t="s">
        <v>1725</v>
      </c>
      <c r="G463" s="52" t="s">
        <v>60</v>
      </c>
      <c r="H463" s="54">
        <v>46082</v>
      </c>
      <c r="I463" s="52" t="s">
        <v>271</v>
      </c>
      <c r="J463" s="52" t="s">
        <v>298</v>
      </c>
      <c r="K463" s="52" t="s">
        <v>1726</v>
      </c>
      <c r="L463" s="52" t="s">
        <v>1726</v>
      </c>
      <c r="M463" s="52" t="s">
        <v>29</v>
      </c>
      <c r="N463" s="53">
        <v>-4.3</v>
      </c>
      <c r="O463" s="96">
        <v>-4.3</v>
      </c>
      <c r="P463" s="52" t="s">
        <v>1727</v>
      </c>
      <c r="Q463" s="52" t="s">
        <v>1652</v>
      </c>
      <c r="R463" s="52" t="s">
        <v>64</v>
      </c>
      <c r="S463" s="52" t="s">
        <v>298</v>
      </c>
    </row>
    <row r="464" spans="1:19" outlineLevel="2" x14ac:dyDescent="0.45">
      <c r="A464" t="s">
        <v>17</v>
      </c>
      <c r="B464" s="52" t="s">
        <v>57</v>
      </c>
      <c r="C464" s="52" t="s">
        <v>349</v>
      </c>
      <c r="D464" s="52" t="s">
        <v>350</v>
      </c>
      <c r="E464" s="52" t="s">
        <v>387</v>
      </c>
      <c r="F464" s="52" t="s">
        <v>1667</v>
      </c>
      <c r="G464" s="52" t="s">
        <v>60</v>
      </c>
      <c r="H464" s="54">
        <v>46082</v>
      </c>
      <c r="I464" s="52" t="s">
        <v>271</v>
      </c>
      <c r="J464" s="52" t="s">
        <v>519</v>
      </c>
      <c r="K464" s="52" t="s">
        <v>1728</v>
      </c>
      <c r="L464" s="52" t="s">
        <v>1728</v>
      </c>
      <c r="M464" s="52" t="s">
        <v>29</v>
      </c>
      <c r="N464" s="53">
        <v>-4.3</v>
      </c>
      <c r="O464" s="96">
        <v>-4.3</v>
      </c>
      <c r="P464" s="52" t="s">
        <v>1729</v>
      </c>
      <c r="Q464" s="52" t="s">
        <v>1669</v>
      </c>
      <c r="R464" s="52" t="s">
        <v>64</v>
      </c>
      <c r="S464" s="52" t="s">
        <v>519</v>
      </c>
    </row>
    <row r="465" spans="1:52" outlineLevel="2" x14ac:dyDescent="0.45">
      <c r="A465" t="s">
        <v>17</v>
      </c>
      <c r="B465" s="52" t="s">
        <v>57</v>
      </c>
      <c r="C465" s="52" t="s">
        <v>349</v>
      </c>
      <c r="D465" s="52" t="s">
        <v>350</v>
      </c>
      <c r="E465" s="52" t="s">
        <v>387</v>
      </c>
      <c r="F465" s="52" t="s">
        <v>1113</v>
      </c>
      <c r="G465" s="52" t="s">
        <v>60</v>
      </c>
      <c r="H465" s="54">
        <v>46082</v>
      </c>
      <c r="I465" s="52" t="s">
        <v>271</v>
      </c>
      <c r="J465" s="52" t="s">
        <v>323</v>
      </c>
      <c r="K465" s="52" t="s">
        <v>1730</v>
      </c>
      <c r="L465" s="52" t="s">
        <v>1730</v>
      </c>
      <c r="M465" s="52" t="s">
        <v>29</v>
      </c>
      <c r="N465" s="53">
        <v>-4.3</v>
      </c>
      <c r="O465" s="96">
        <v>-4.3</v>
      </c>
      <c r="P465" s="52" t="s">
        <v>1731</v>
      </c>
      <c r="Q465" s="52" t="s">
        <v>1652</v>
      </c>
      <c r="R465" s="52" t="s">
        <v>64</v>
      </c>
      <c r="S465" s="52" t="s">
        <v>323</v>
      </c>
    </row>
    <row r="466" spans="1:52" outlineLevel="2" x14ac:dyDescent="0.45">
      <c r="A466" t="s">
        <v>17</v>
      </c>
      <c r="B466" s="52" t="s">
        <v>57</v>
      </c>
      <c r="C466" s="52" t="s">
        <v>349</v>
      </c>
      <c r="D466" s="52" t="s">
        <v>350</v>
      </c>
      <c r="E466" s="52" t="s">
        <v>387</v>
      </c>
      <c r="F466" s="52" t="s">
        <v>1206</v>
      </c>
      <c r="G466" s="52" t="s">
        <v>60</v>
      </c>
      <c r="H466" s="54">
        <v>46082</v>
      </c>
      <c r="I466" s="52" t="s">
        <v>271</v>
      </c>
      <c r="J466" s="52" t="s">
        <v>513</v>
      </c>
      <c r="K466" s="52" t="s">
        <v>1732</v>
      </c>
      <c r="L466" s="52" t="s">
        <v>1732</v>
      </c>
      <c r="M466" s="52" t="s">
        <v>29</v>
      </c>
      <c r="N466" s="53">
        <v>-4.3</v>
      </c>
      <c r="O466" s="96">
        <v>-4.3</v>
      </c>
      <c r="P466" s="52" t="s">
        <v>1733</v>
      </c>
      <c r="Q466" s="52" t="s">
        <v>1652</v>
      </c>
      <c r="R466" s="52" t="s">
        <v>64</v>
      </c>
      <c r="S466" s="52" t="s">
        <v>513</v>
      </c>
    </row>
    <row r="467" spans="1:52" outlineLevel="2" x14ac:dyDescent="0.45">
      <c r="A467" t="s">
        <v>17</v>
      </c>
      <c r="B467" s="52" t="s">
        <v>57</v>
      </c>
      <c r="C467" s="52" t="s">
        <v>349</v>
      </c>
      <c r="D467" s="52" t="s">
        <v>350</v>
      </c>
      <c r="E467" s="52" t="s">
        <v>387</v>
      </c>
      <c r="F467" s="52" t="s">
        <v>1055</v>
      </c>
      <c r="G467" s="52" t="s">
        <v>60</v>
      </c>
      <c r="H467" s="54">
        <v>46082</v>
      </c>
      <c r="I467" s="52" t="s">
        <v>271</v>
      </c>
      <c r="J467" s="52" t="s">
        <v>526</v>
      </c>
      <c r="K467" s="52" t="s">
        <v>1660</v>
      </c>
      <c r="L467" s="52" t="s">
        <v>1660</v>
      </c>
      <c r="M467" s="52" t="s">
        <v>29</v>
      </c>
      <c r="N467" s="53">
        <v>-4.3</v>
      </c>
      <c r="O467" s="96">
        <v>-4.3</v>
      </c>
      <c r="P467" s="52" t="s">
        <v>1661</v>
      </c>
      <c r="Q467" s="52" t="s">
        <v>1652</v>
      </c>
      <c r="R467" s="52" t="s">
        <v>64</v>
      </c>
      <c r="S467" s="52" t="s">
        <v>526</v>
      </c>
    </row>
    <row r="468" spans="1:52" outlineLevel="2" x14ac:dyDescent="0.45">
      <c r="A468" t="s">
        <v>17</v>
      </c>
      <c r="B468" s="52" t="s">
        <v>57</v>
      </c>
      <c r="C468" s="52" t="s">
        <v>349</v>
      </c>
      <c r="D468" s="52" t="s">
        <v>350</v>
      </c>
      <c r="E468" s="52" t="s">
        <v>387</v>
      </c>
      <c r="F468" s="52" t="s">
        <v>1054</v>
      </c>
      <c r="G468" s="52" t="s">
        <v>60</v>
      </c>
      <c r="H468" s="54">
        <v>46082</v>
      </c>
      <c r="I468" s="52" t="s">
        <v>271</v>
      </c>
      <c r="J468" s="52" t="s">
        <v>526</v>
      </c>
      <c r="K468" s="52" t="s">
        <v>1660</v>
      </c>
      <c r="L468" s="52" t="s">
        <v>1660</v>
      </c>
      <c r="M468" s="52" t="s">
        <v>29</v>
      </c>
      <c r="N468" s="53">
        <v>-4.3</v>
      </c>
      <c r="O468" s="96">
        <v>-4.3</v>
      </c>
      <c r="P468" s="52" t="s">
        <v>1661</v>
      </c>
      <c r="Q468" s="52" t="s">
        <v>1652</v>
      </c>
      <c r="R468" s="52" t="s">
        <v>64</v>
      </c>
      <c r="S468" s="52" t="s">
        <v>526</v>
      </c>
    </row>
    <row r="469" spans="1:52" outlineLevel="2" x14ac:dyDescent="0.45">
      <c r="A469" t="s">
        <v>17</v>
      </c>
      <c r="B469" s="52" t="s">
        <v>57</v>
      </c>
      <c r="C469" s="52" t="s">
        <v>349</v>
      </c>
      <c r="D469" s="52" t="s">
        <v>350</v>
      </c>
      <c r="E469" s="52" t="s">
        <v>387</v>
      </c>
      <c r="F469" s="52" t="s">
        <v>1215</v>
      </c>
      <c r="G469" s="52" t="s">
        <v>60</v>
      </c>
      <c r="H469" s="54">
        <v>46082</v>
      </c>
      <c r="I469" s="52" t="s">
        <v>271</v>
      </c>
      <c r="J469" s="52" t="s">
        <v>526</v>
      </c>
      <c r="K469" s="52" t="s">
        <v>1660</v>
      </c>
      <c r="L469" s="52" t="s">
        <v>1660</v>
      </c>
      <c r="M469" s="52" t="s">
        <v>29</v>
      </c>
      <c r="N469" s="53">
        <v>-4.3</v>
      </c>
      <c r="O469" s="96">
        <v>-4.3</v>
      </c>
      <c r="P469" s="52" t="s">
        <v>1661</v>
      </c>
      <c r="Q469" s="52" t="s">
        <v>1652</v>
      </c>
      <c r="R469" s="52" t="s">
        <v>64</v>
      </c>
      <c r="S469" s="52" t="s">
        <v>526</v>
      </c>
    </row>
    <row r="470" spans="1:52" outlineLevel="2" x14ac:dyDescent="0.45">
      <c r="A470" t="s">
        <v>17</v>
      </c>
      <c r="B470" s="52" t="s">
        <v>57</v>
      </c>
      <c r="C470" s="52" t="s">
        <v>349</v>
      </c>
      <c r="D470" s="52" t="s">
        <v>350</v>
      </c>
      <c r="E470" s="52" t="s">
        <v>387</v>
      </c>
      <c r="F470" s="52" t="s">
        <v>1268</v>
      </c>
      <c r="G470" s="52" t="s">
        <v>60</v>
      </c>
      <c r="H470" s="54">
        <v>46082</v>
      </c>
      <c r="I470" s="52" t="s">
        <v>271</v>
      </c>
      <c r="J470" s="52" t="s">
        <v>526</v>
      </c>
      <c r="K470" s="52" t="s">
        <v>1660</v>
      </c>
      <c r="L470" s="52" t="s">
        <v>1660</v>
      </c>
      <c r="M470" s="52" t="s">
        <v>29</v>
      </c>
      <c r="N470" s="53">
        <v>-4.3</v>
      </c>
      <c r="O470" s="96">
        <v>-4.3</v>
      </c>
      <c r="P470" s="52" t="s">
        <v>1661</v>
      </c>
      <c r="Q470" s="52" t="s">
        <v>1652</v>
      </c>
      <c r="R470" s="52" t="s">
        <v>64</v>
      </c>
      <c r="S470" s="52" t="s">
        <v>526</v>
      </c>
    </row>
    <row r="471" spans="1:52" outlineLevel="2" x14ac:dyDescent="0.45">
      <c r="A471" t="s">
        <v>17</v>
      </c>
      <c r="B471" s="52" t="s">
        <v>57</v>
      </c>
      <c r="C471" s="52" t="s">
        <v>349</v>
      </c>
      <c r="D471" s="52" t="s">
        <v>350</v>
      </c>
      <c r="E471" s="52" t="s">
        <v>387</v>
      </c>
      <c r="F471" s="52" t="s">
        <v>1212</v>
      </c>
      <c r="G471" s="52" t="s">
        <v>60</v>
      </c>
      <c r="H471" s="54">
        <v>46082</v>
      </c>
      <c r="I471" s="52" t="s">
        <v>271</v>
      </c>
      <c r="J471" s="52" t="s">
        <v>526</v>
      </c>
      <c r="K471" s="52" t="s">
        <v>1660</v>
      </c>
      <c r="L471" s="52" t="s">
        <v>1660</v>
      </c>
      <c r="M471" s="52" t="s">
        <v>29</v>
      </c>
      <c r="N471" s="53">
        <v>-4.3</v>
      </c>
      <c r="O471" s="96">
        <v>-4.3</v>
      </c>
      <c r="P471" s="52" t="s">
        <v>1661</v>
      </c>
      <c r="Q471" s="52" t="s">
        <v>1652</v>
      </c>
      <c r="R471" s="52" t="s">
        <v>64</v>
      </c>
      <c r="S471" s="52" t="s">
        <v>526</v>
      </c>
    </row>
    <row r="472" spans="1:52" outlineLevel="2" x14ac:dyDescent="0.45">
      <c r="A472" t="s">
        <v>17</v>
      </c>
      <c r="B472" s="52" t="s">
        <v>57</v>
      </c>
      <c r="C472" s="52" t="s">
        <v>349</v>
      </c>
      <c r="D472" s="52" t="s">
        <v>350</v>
      </c>
      <c r="E472" s="52" t="s">
        <v>387</v>
      </c>
      <c r="F472" s="52" t="s">
        <v>1172</v>
      </c>
      <c r="G472" s="52" t="s">
        <v>60</v>
      </c>
      <c r="H472" s="54">
        <v>46082</v>
      </c>
      <c r="I472" s="52" t="s">
        <v>271</v>
      </c>
      <c r="J472" s="52" t="s">
        <v>526</v>
      </c>
      <c r="K472" s="52" t="s">
        <v>1660</v>
      </c>
      <c r="L472" s="52" t="s">
        <v>1660</v>
      </c>
      <c r="M472" s="52" t="s">
        <v>29</v>
      </c>
      <c r="N472" s="53">
        <v>-4.3</v>
      </c>
      <c r="O472" s="96">
        <v>-4.3</v>
      </c>
      <c r="P472" s="52" t="s">
        <v>1661</v>
      </c>
      <c r="Q472" s="52" t="s">
        <v>1652</v>
      </c>
      <c r="R472" s="52" t="s">
        <v>64</v>
      </c>
      <c r="S472" s="52" t="s">
        <v>526</v>
      </c>
    </row>
    <row r="473" spans="1:52" outlineLevel="2" x14ac:dyDescent="0.45">
      <c r="A473" t="s">
        <v>17</v>
      </c>
      <c r="B473" s="52" t="s">
        <v>57</v>
      </c>
      <c r="C473" s="52" t="s">
        <v>349</v>
      </c>
      <c r="D473" s="52" t="s">
        <v>350</v>
      </c>
      <c r="E473" s="52" t="s">
        <v>387</v>
      </c>
      <c r="F473" s="52" t="s">
        <v>1260</v>
      </c>
      <c r="G473" s="52" t="s">
        <v>60</v>
      </c>
      <c r="H473" s="54">
        <v>46082</v>
      </c>
      <c r="I473" s="52" t="s">
        <v>271</v>
      </c>
      <c r="J473" s="52" t="s">
        <v>526</v>
      </c>
      <c r="K473" s="52" t="s">
        <v>1660</v>
      </c>
      <c r="L473" s="52" t="s">
        <v>1660</v>
      </c>
      <c r="M473" s="52" t="s">
        <v>29</v>
      </c>
      <c r="N473" s="53">
        <v>-4.3</v>
      </c>
      <c r="O473" s="96">
        <v>-4.3</v>
      </c>
      <c r="P473" s="52" t="s">
        <v>1661</v>
      </c>
      <c r="Q473" s="52" t="s">
        <v>1652</v>
      </c>
      <c r="R473" s="52" t="s">
        <v>64</v>
      </c>
      <c r="S473" s="52" t="s">
        <v>526</v>
      </c>
    </row>
    <row r="474" spans="1:52" outlineLevel="2" x14ac:dyDescent="0.45">
      <c r="A474" t="s">
        <v>17</v>
      </c>
      <c r="B474" s="52" t="s">
        <v>57</v>
      </c>
      <c r="C474" s="52" t="s">
        <v>349</v>
      </c>
      <c r="D474" s="52" t="s">
        <v>350</v>
      </c>
      <c r="E474" s="52" t="s">
        <v>387</v>
      </c>
      <c r="F474" s="52" t="s">
        <v>1734</v>
      </c>
      <c r="G474" s="52" t="s">
        <v>60</v>
      </c>
      <c r="H474" s="54">
        <v>46082</v>
      </c>
      <c r="I474" s="52" t="s">
        <v>271</v>
      </c>
      <c r="J474" s="52" t="s">
        <v>526</v>
      </c>
      <c r="K474" s="52" t="s">
        <v>1660</v>
      </c>
      <c r="L474" s="52" t="s">
        <v>1660</v>
      </c>
      <c r="M474" s="52" t="s">
        <v>29</v>
      </c>
      <c r="N474" s="53">
        <v>-4.3</v>
      </c>
      <c r="O474" s="96">
        <v>-4.3</v>
      </c>
      <c r="P474" s="52" t="s">
        <v>1661</v>
      </c>
      <c r="Q474" s="52" t="s">
        <v>1652</v>
      </c>
      <c r="R474" s="52" t="s">
        <v>64</v>
      </c>
      <c r="S474" s="52" t="s">
        <v>526</v>
      </c>
    </row>
    <row r="475" spans="1:52" outlineLevel="2" x14ac:dyDescent="0.45">
      <c r="A475" t="s">
        <v>17</v>
      </c>
      <c r="B475" s="52" t="s">
        <v>57</v>
      </c>
      <c r="C475" s="52" t="s">
        <v>349</v>
      </c>
      <c r="D475" s="52" t="s">
        <v>350</v>
      </c>
      <c r="E475" s="52" t="s">
        <v>387</v>
      </c>
      <c r="F475" s="52" t="s">
        <v>1735</v>
      </c>
      <c r="G475" s="52" t="s">
        <v>60</v>
      </c>
      <c r="H475" s="54">
        <v>46082</v>
      </c>
      <c r="I475" s="52" t="s">
        <v>271</v>
      </c>
      <c r="J475" s="52" t="s">
        <v>526</v>
      </c>
      <c r="K475" s="52" t="s">
        <v>1660</v>
      </c>
      <c r="L475" s="52" t="s">
        <v>1660</v>
      </c>
      <c r="M475" s="52" t="s">
        <v>29</v>
      </c>
      <c r="N475" s="53">
        <v>-4.3</v>
      </c>
      <c r="O475" s="96">
        <v>-4.3</v>
      </c>
      <c r="P475" s="52" t="s">
        <v>1661</v>
      </c>
      <c r="Q475" s="52" t="s">
        <v>1652</v>
      </c>
      <c r="R475" s="52" t="s">
        <v>64</v>
      </c>
      <c r="S475" s="52" t="s">
        <v>526</v>
      </c>
    </row>
    <row r="476" spans="1:52" outlineLevel="2" x14ac:dyDescent="0.45">
      <c r="A476" t="s">
        <v>17</v>
      </c>
      <c r="B476" s="52" t="s">
        <v>57</v>
      </c>
      <c r="C476" s="52" t="s">
        <v>349</v>
      </c>
      <c r="D476" s="52" t="s">
        <v>350</v>
      </c>
      <c r="E476" s="52" t="s">
        <v>387</v>
      </c>
      <c r="F476" s="52" t="s">
        <v>1177</v>
      </c>
      <c r="G476" s="52" t="s">
        <v>60</v>
      </c>
      <c r="H476" s="54">
        <v>46082</v>
      </c>
      <c r="I476" s="52" t="s">
        <v>271</v>
      </c>
      <c r="J476" s="52" t="s">
        <v>526</v>
      </c>
      <c r="K476" s="52" t="s">
        <v>1660</v>
      </c>
      <c r="L476" s="52" t="s">
        <v>1660</v>
      </c>
      <c r="M476" s="52" t="s">
        <v>29</v>
      </c>
      <c r="N476" s="53">
        <v>-4.3</v>
      </c>
      <c r="O476" s="96">
        <v>-4.3</v>
      </c>
      <c r="P476" s="52" t="s">
        <v>1661</v>
      </c>
      <c r="Q476" s="52" t="s">
        <v>1652</v>
      </c>
      <c r="R476" s="52" t="s">
        <v>64</v>
      </c>
      <c r="S476" s="52" t="s">
        <v>526</v>
      </c>
    </row>
    <row r="477" spans="1:52" outlineLevel="2" x14ac:dyDescent="0.45">
      <c r="A477" t="s">
        <v>17</v>
      </c>
      <c r="B477" s="52" t="s">
        <v>57</v>
      </c>
      <c r="C477" s="52" t="s">
        <v>349</v>
      </c>
      <c r="D477" s="52" t="s">
        <v>350</v>
      </c>
      <c r="E477" s="52" t="s">
        <v>387</v>
      </c>
      <c r="F477" s="52" t="s">
        <v>1247</v>
      </c>
      <c r="G477" s="52" t="s">
        <v>60</v>
      </c>
      <c r="H477" s="54">
        <v>46082</v>
      </c>
      <c r="I477" s="52" t="s">
        <v>271</v>
      </c>
      <c r="J477" s="52" t="s">
        <v>526</v>
      </c>
      <c r="K477" s="52" t="s">
        <v>1660</v>
      </c>
      <c r="L477" s="52" t="s">
        <v>1660</v>
      </c>
      <c r="M477" s="52" t="s">
        <v>29</v>
      </c>
      <c r="N477" s="53">
        <v>-4.3</v>
      </c>
      <c r="O477" s="96">
        <v>-4.3</v>
      </c>
      <c r="P477" s="52" t="s">
        <v>1661</v>
      </c>
      <c r="Q477" s="52" t="s">
        <v>1652</v>
      </c>
      <c r="R477" s="52" t="s">
        <v>64</v>
      </c>
      <c r="S477" s="52" t="s">
        <v>526</v>
      </c>
      <c r="T477" s="59"/>
      <c r="U477" s="59"/>
      <c r="V477" s="59"/>
      <c r="W477" s="59"/>
      <c r="X477" s="59"/>
      <c r="Y477" s="59"/>
      <c r="Z477" s="59"/>
      <c r="AA477" s="59"/>
      <c r="AB477" s="59"/>
      <c r="AC477" s="59"/>
      <c r="AD477" s="59"/>
      <c r="AE477" s="59"/>
      <c r="AF477" s="59"/>
      <c r="AG477" s="59"/>
      <c r="AH477" s="59"/>
      <c r="AI477" s="59"/>
      <c r="AJ477" s="59"/>
      <c r="AK477" s="59"/>
      <c r="AL477" s="59"/>
      <c r="AM477" s="59"/>
      <c r="AN477" s="59"/>
      <c r="AO477" s="59"/>
      <c r="AP477" s="59"/>
      <c r="AQ477" s="59"/>
      <c r="AR477" s="59"/>
      <c r="AS477" s="59"/>
      <c r="AT477" s="59"/>
      <c r="AU477" s="59"/>
      <c r="AV477" s="59"/>
      <c r="AW477" s="59"/>
      <c r="AX477" s="59"/>
      <c r="AY477" s="59"/>
      <c r="AZ477" s="59"/>
    </row>
    <row r="478" spans="1:52" outlineLevel="2" x14ac:dyDescent="0.45">
      <c r="A478" t="s">
        <v>17</v>
      </c>
      <c r="B478" s="52" t="s">
        <v>57</v>
      </c>
      <c r="C478" s="52" t="s">
        <v>349</v>
      </c>
      <c r="D478" s="52" t="s">
        <v>350</v>
      </c>
      <c r="E478" s="52" t="s">
        <v>387</v>
      </c>
      <c r="F478" s="52" t="s">
        <v>1101</v>
      </c>
      <c r="G478" s="52" t="s">
        <v>60</v>
      </c>
      <c r="H478" s="54">
        <v>46082</v>
      </c>
      <c r="I478" s="52" t="s">
        <v>271</v>
      </c>
      <c r="J478" s="52" t="s">
        <v>526</v>
      </c>
      <c r="K478" s="52" t="s">
        <v>1660</v>
      </c>
      <c r="L478" s="52" t="s">
        <v>1660</v>
      </c>
      <c r="M478" s="52" t="s">
        <v>29</v>
      </c>
      <c r="N478" s="53">
        <v>-4.3</v>
      </c>
      <c r="O478" s="96">
        <v>-4.3</v>
      </c>
      <c r="P478" s="52" t="s">
        <v>1661</v>
      </c>
      <c r="Q478" s="52" t="s">
        <v>1652</v>
      </c>
      <c r="R478" s="52" t="s">
        <v>64</v>
      </c>
      <c r="S478" s="52" t="s">
        <v>526</v>
      </c>
    </row>
    <row r="479" spans="1:52" outlineLevel="2" x14ac:dyDescent="0.45">
      <c r="A479" t="s">
        <v>17</v>
      </c>
      <c r="B479" s="52" t="s">
        <v>57</v>
      </c>
      <c r="C479" s="52" t="s">
        <v>349</v>
      </c>
      <c r="D479" s="52" t="s">
        <v>350</v>
      </c>
      <c r="E479" s="52" t="s">
        <v>387</v>
      </c>
      <c r="F479" s="52" t="s">
        <v>1258</v>
      </c>
      <c r="G479" s="52" t="s">
        <v>60</v>
      </c>
      <c r="H479" s="54">
        <v>46082</v>
      </c>
      <c r="I479" s="52" t="s">
        <v>271</v>
      </c>
      <c r="J479" s="52" t="s">
        <v>314</v>
      </c>
      <c r="K479" s="52" t="s">
        <v>1663</v>
      </c>
      <c r="L479" s="52" t="s">
        <v>1663</v>
      </c>
      <c r="M479" s="52" t="s">
        <v>29</v>
      </c>
      <c r="N479" s="53">
        <v>-4.3</v>
      </c>
      <c r="O479" s="96">
        <v>-4.3</v>
      </c>
      <c r="P479" s="52" t="s">
        <v>1664</v>
      </c>
      <c r="Q479" s="52" t="s">
        <v>1652</v>
      </c>
      <c r="R479" s="52" t="s">
        <v>64</v>
      </c>
      <c r="S479" s="52" t="s">
        <v>314</v>
      </c>
    </row>
    <row r="480" spans="1:52" outlineLevel="2" x14ac:dyDescent="0.45">
      <c r="A480" t="s">
        <v>17</v>
      </c>
      <c r="B480" s="52" t="s">
        <v>57</v>
      </c>
      <c r="C480" s="52" t="s">
        <v>349</v>
      </c>
      <c r="D480" s="52" t="s">
        <v>350</v>
      </c>
      <c r="E480" s="52" t="s">
        <v>387</v>
      </c>
      <c r="F480" s="52" t="s">
        <v>1290</v>
      </c>
      <c r="G480" s="52" t="s">
        <v>60</v>
      </c>
      <c r="H480" s="54">
        <v>46082</v>
      </c>
      <c r="I480" s="52" t="s">
        <v>271</v>
      </c>
      <c r="J480" s="52" t="s">
        <v>314</v>
      </c>
      <c r="K480" s="52" t="s">
        <v>1663</v>
      </c>
      <c r="L480" s="52" t="s">
        <v>1663</v>
      </c>
      <c r="M480" s="52" t="s">
        <v>29</v>
      </c>
      <c r="N480" s="53">
        <v>-4.3</v>
      </c>
      <c r="O480" s="96">
        <v>-4.3</v>
      </c>
      <c r="P480" s="52" t="s">
        <v>1664</v>
      </c>
      <c r="Q480" s="52" t="s">
        <v>1652</v>
      </c>
      <c r="R480" s="52" t="s">
        <v>64</v>
      </c>
      <c r="S480" s="52" t="s">
        <v>314</v>
      </c>
    </row>
    <row r="481" spans="1:19" outlineLevel="2" x14ac:dyDescent="0.45">
      <c r="A481" t="s">
        <v>17</v>
      </c>
      <c r="B481" s="52" t="s">
        <v>57</v>
      </c>
      <c r="C481" s="52" t="s">
        <v>349</v>
      </c>
      <c r="D481" s="52" t="s">
        <v>350</v>
      </c>
      <c r="E481" s="52" t="s">
        <v>387</v>
      </c>
      <c r="F481" s="52" t="s">
        <v>1156</v>
      </c>
      <c r="G481" s="52" t="s">
        <v>60</v>
      </c>
      <c r="H481" s="54">
        <v>46082</v>
      </c>
      <c r="I481" s="52" t="s">
        <v>271</v>
      </c>
      <c r="J481" s="52" t="s">
        <v>314</v>
      </c>
      <c r="K481" s="52" t="s">
        <v>1663</v>
      </c>
      <c r="L481" s="52" t="s">
        <v>1663</v>
      </c>
      <c r="M481" s="52" t="s">
        <v>29</v>
      </c>
      <c r="N481" s="53">
        <v>-4.3</v>
      </c>
      <c r="O481" s="96">
        <v>-4.3</v>
      </c>
      <c r="P481" s="52" t="s">
        <v>1664</v>
      </c>
      <c r="Q481" s="52" t="s">
        <v>1652</v>
      </c>
      <c r="R481" s="52" t="s">
        <v>64</v>
      </c>
      <c r="S481" s="52" t="s">
        <v>314</v>
      </c>
    </row>
    <row r="482" spans="1:19" outlineLevel="2" x14ac:dyDescent="0.45">
      <c r="A482" t="s">
        <v>17</v>
      </c>
      <c r="B482" s="52" t="s">
        <v>57</v>
      </c>
      <c r="C482" s="52" t="s">
        <v>349</v>
      </c>
      <c r="D482" s="52" t="s">
        <v>350</v>
      </c>
      <c r="E482" s="52" t="s">
        <v>387</v>
      </c>
      <c r="F482" s="52" t="s">
        <v>1201</v>
      </c>
      <c r="G482" s="52" t="s">
        <v>60</v>
      </c>
      <c r="H482" s="54">
        <v>46082</v>
      </c>
      <c r="I482" s="52" t="s">
        <v>271</v>
      </c>
      <c r="J482" s="52" t="s">
        <v>314</v>
      </c>
      <c r="K482" s="52" t="s">
        <v>1663</v>
      </c>
      <c r="L482" s="52" t="s">
        <v>1663</v>
      </c>
      <c r="M482" s="52" t="s">
        <v>29</v>
      </c>
      <c r="N482" s="53">
        <v>-4.3</v>
      </c>
      <c r="O482" s="96">
        <v>-4.3</v>
      </c>
      <c r="P482" s="52" t="s">
        <v>1664</v>
      </c>
      <c r="Q482" s="52" t="s">
        <v>1652</v>
      </c>
      <c r="R482" s="52" t="s">
        <v>64</v>
      </c>
      <c r="S482" s="52" t="s">
        <v>314</v>
      </c>
    </row>
    <row r="483" spans="1:19" outlineLevel="2" x14ac:dyDescent="0.45">
      <c r="A483" t="s">
        <v>17</v>
      </c>
      <c r="B483" s="52" t="s">
        <v>57</v>
      </c>
      <c r="C483" s="52" t="s">
        <v>349</v>
      </c>
      <c r="D483" s="52" t="s">
        <v>350</v>
      </c>
      <c r="E483" s="52" t="s">
        <v>387</v>
      </c>
      <c r="F483" s="52" t="s">
        <v>1736</v>
      </c>
      <c r="G483" s="52" t="s">
        <v>60</v>
      </c>
      <c r="H483" s="54">
        <v>46082</v>
      </c>
      <c r="I483" s="52" t="s">
        <v>271</v>
      </c>
      <c r="J483" s="52" t="s">
        <v>314</v>
      </c>
      <c r="K483" s="52" t="s">
        <v>1674</v>
      </c>
      <c r="L483" s="52" t="s">
        <v>1674</v>
      </c>
      <c r="M483" s="52" t="s">
        <v>29</v>
      </c>
      <c r="N483" s="53">
        <v>-4</v>
      </c>
      <c r="O483" s="96">
        <v>-4</v>
      </c>
      <c r="P483" s="52" t="s">
        <v>1675</v>
      </c>
      <c r="Q483" s="52" t="s">
        <v>1652</v>
      </c>
      <c r="R483" s="52" t="s">
        <v>64</v>
      </c>
      <c r="S483" s="52" t="s">
        <v>314</v>
      </c>
    </row>
    <row r="484" spans="1:19" outlineLevel="2" x14ac:dyDescent="0.45">
      <c r="A484" t="s">
        <v>17</v>
      </c>
      <c r="B484" s="52" t="s">
        <v>57</v>
      </c>
      <c r="C484" s="52" t="s">
        <v>349</v>
      </c>
      <c r="D484" s="52" t="s">
        <v>350</v>
      </c>
      <c r="E484" s="52" t="s">
        <v>387</v>
      </c>
      <c r="F484" s="52" t="s">
        <v>1736</v>
      </c>
      <c r="G484" s="52" t="s">
        <v>60</v>
      </c>
      <c r="H484" s="54">
        <v>46082</v>
      </c>
      <c r="I484" s="52" t="s">
        <v>271</v>
      </c>
      <c r="J484" s="52" t="s">
        <v>314</v>
      </c>
      <c r="K484" s="52" t="s">
        <v>1663</v>
      </c>
      <c r="L484" s="52" t="s">
        <v>1663</v>
      </c>
      <c r="M484" s="52" t="s">
        <v>29</v>
      </c>
      <c r="N484" s="53">
        <v>-4</v>
      </c>
      <c r="O484" s="96">
        <v>-4</v>
      </c>
      <c r="P484" s="52" t="s">
        <v>1664</v>
      </c>
      <c r="Q484" s="52" t="s">
        <v>1652</v>
      </c>
      <c r="R484" s="52" t="s">
        <v>64</v>
      </c>
      <c r="S484" s="52" t="s">
        <v>314</v>
      </c>
    </row>
    <row r="485" spans="1:19" outlineLevel="2" x14ac:dyDescent="0.45">
      <c r="A485" t="s">
        <v>17</v>
      </c>
      <c r="B485" s="52" t="s">
        <v>57</v>
      </c>
      <c r="C485" s="52" t="s">
        <v>349</v>
      </c>
      <c r="D485" s="52" t="s">
        <v>350</v>
      </c>
      <c r="E485" s="52" t="s">
        <v>387</v>
      </c>
      <c r="F485" s="52" t="s">
        <v>1737</v>
      </c>
      <c r="G485" s="52" t="s">
        <v>60</v>
      </c>
      <c r="H485" s="54">
        <v>46082</v>
      </c>
      <c r="I485" s="52" t="s">
        <v>271</v>
      </c>
      <c r="J485" s="52" t="s">
        <v>383</v>
      </c>
      <c r="K485" s="52" t="s">
        <v>1665</v>
      </c>
      <c r="L485" s="52" t="s">
        <v>1665</v>
      </c>
      <c r="M485" s="52" t="s">
        <v>29</v>
      </c>
      <c r="N485" s="53">
        <v>-3.5</v>
      </c>
      <c r="O485" s="96">
        <v>-3.5</v>
      </c>
      <c r="P485" s="52" t="s">
        <v>1666</v>
      </c>
      <c r="Q485" s="52" t="s">
        <v>1652</v>
      </c>
      <c r="R485" s="52" t="s">
        <v>64</v>
      </c>
      <c r="S485" s="52" t="s">
        <v>383</v>
      </c>
    </row>
    <row r="486" spans="1:19" outlineLevel="2" x14ac:dyDescent="0.45">
      <c r="A486" t="s">
        <v>17</v>
      </c>
      <c r="B486" s="52" t="s">
        <v>57</v>
      </c>
      <c r="C486" s="52" t="s">
        <v>349</v>
      </c>
      <c r="D486" s="52" t="s">
        <v>350</v>
      </c>
      <c r="E486" s="52" t="s">
        <v>387</v>
      </c>
      <c r="F486" s="52" t="s">
        <v>1284</v>
      </c>
      <c r="G486" s="52" t="s">
        <v>60</v>
      </c>
      <c r="H486" s="54">
        <v>46082</v>
      </c>
      <c r="I486" s="52" t="s">
        <v>271</v>
      </c>
      <c r="J486" s="52" t="s">
        <v>1522</v>
      </c>
      <c r="K486" s="52" t="s">
        <v>1738</v>
      </c>
      <c r="L486" s="52" t="s">
        <v>1738</v>
      </c>
      <c r="M486" s="52" t="s">
        <v>29</v>
      </c>
      <c r="N486" s="53">
        <v>-3.5</v>
      </c>
      <c r="O486" s="96">
        <v>-3.5</v>
      </c>
      <c r="P486" s="52" t="s">
        <v>1739</v>
      </c>
      <c r="Q486" s="52" t="s">
        <v>1652</v>
      </c>
      <c r="R486" s="52" t="s">
        <v>64</v>
      </c>
      <c r="S486" s="52" t="s">
        <v>1522</v>
      </c>
    </row>
    <row r="487" spans="1:19" outlineLevel="2" x14ac:dyDescent="0.45">
      <c r="A487" t="s">
        <v>17</v>
      </c>
      <c r="B487" s="52" t="s">
        <v>57</v>
      </c>
      <c r="C487" s="52" t="s">
        <v>349</v>
      </c>
      <c r="D487" s="52" t="s">
        <v>350</v>
      </c>
      <c r="E487" s="52" t="s">
        <v>387</v>
      </c>
      <c r="F487" s="52" t="s">
        <v>1319</v>
      </c>
      <c r="G487" s="52" t="s">
        <v>60</v>
      </c>
      <c r="H487" s="54">
        <v>46082</v>
      </c>
      <c r="I487" s="52" t="s">
        <v>271</v>
      </c>
      <c r="J487" s="52" t="s">
        <v>1522</v>
      </c>
      <c r="K487" s="52" t="s">
        <v>1738</v>
      </c>
      <c r="L487" s="52" t="s">
        <v>1738</v>
      </c>
      <c r="M487" s="52" t="s">
        <v>29</v>
      </c>
      <c r="N487" s="53">
        <v>-3.5</v>
      </c>
      <c r="O487" s="96">
        <v>-3.5</v>
      </c>
      <c r="P487" s="52" t="s">
        <v>1739</v>
      </c>
      <c r="Q487" s="52" t="s">
        <v>1652</v>
      </c>
      <c r="R487" s="52" t="s">
        <v>64</v>
      </c>
      <c r="S487" s="52" t="s">
        <v>1522</v>
      </c>
    </row>
    <row r="488" spans="1:19" outlineLevel="2" x14ac:dyDescent="0.45">
      <c r="A488" t="s">
        <v>17</v>
      </c>
      <c r="B488" s="52" t="s">
        <v>57</v>
      </c>
      <c r="C488" s="52" t="s">
        <v>349</v>
      </c>
      <c r="D488" s="52" t="s">
        <v>350</v>
      </c>
      <c r="E488" s="52" t="s">
        <v>387</v>
      </c>
      <c r="F488" s="52" t="s">
        <v>1306</v>
      </c>
      <c r="G488" s="52" t="s">
        <v>60</v>
      </c>
      <c r="H488" s="54">
        <v>46082</v>
      </c>
      <c r="I488" s="52" t="s">
        <v>271</v>
      </c>
      <c r="J488" s="52" t="s">
        <v>1522</v>
      </c>
      <c r="K488" s="52" t="s">
        <v>1738</v>
      </c>
      <c r="L488" s="52" t="s">
        <v>1738</v>
      </c>
      <c r="M488" s="52" t="s">
        <v>29</v>
      </c>
      <c r="N488" s="53">
        <v>-3.5</v>
      </c>
      <c r="O488" s="96">
        <v>-3.5</v>
      </c>
      <c r="P488" s="52" t="s">
        <v>1739</v>
      </c>
      <c r="Q488" s="52" t="s">
        <v>1652</v>
      </c>
      <c r="R488" s="52" t="s">
        <v>64</v>
      </c>
      <c r="S488" s="52" t="s">
        <v>1522</v>
      </c>
    </row>
    <row r="489" spans="1:19" outlineLevel="2" x14ac:dyDescent="0.45">
      <c r="A489" t="s">
        <v>17</v>
      </c>
      <c r="B489" s="52" t="s">
        <v>57</v>
      </c>
      <c r="C489" s="52" t="s">
        <v>349</v>
      </c>
      <c r="D489" s="52" t="s">
        <v>350</v>
      </c>
      <c r="E489" s="52" t="s">
        <v>387</v>
      </c>
      <c r="F489" s="52" t="s">
        <v>1740</v>
      </c>
      <c r="G489" s="52" t="s">
        <v>60</v>
      </c>
      <c r="H489" s="54">
        <v>46082</v>
      </c>
      <c r="I489" s="52" t="s">
        <v>271</v>
      </c>
      <c r="J489" s="52" t="s">
        <v>1522</v>
      </c>
      <c r="K489" s="52" t="s">
        <v>1738</v>
      </c>
      <c r="L489" s="52" t="s">
        <v>1738</v>
      </c>
      <c r="M489" s="52" t="s">
        <v>29</v>
      </c>
      <c r="N489" s="53">
        <v>-3.5</v>
      </c>
      <c r="O489" s="96">
        <v>-3.5</v>
      </c>
      <c r="P489" s="52" t="s">
        <v>1739</v>
      </c>
      <c r="Q489" s="52" t="s">
        <v>1652</v>
      </c>
      <c r="R489" s="52" t="s">
        <v>64</v>
      </c>
      <c r="S489" s="52" t="s">
        <v>1522</v>
      </c>
    </row>
    <row r="490" spans="1:19" outlineLevel="2" x14ac:dyDescent="0.45">
      <c r="A490" t="s">
        <v>17</v>
      </c>
      <c r="B490" s="52" t="s">
        <v>57</v>
      </c>
      <c r="C490" s="52" t="s">
        <v>349</v>
      </c>
      <c r="D490" s="52" t="s">
        <v>350</v>
      </c>
      <c r="E490" s="52" t="s">
        <v>387</v>
      </c>
      <c r="F490" s="52" t="s">
        <v>1105</v>
      </c>
      <c r="G490" s="52" t="s">
        <v>60</v>
      </c>
      <c r="H490" s="54">
        <v>46082</v>
      </c>
      <c r="I490" s="52" t="s">
        <v>271</v>
      </c>
      <c r="J490" s="52" t="s">
        <v>314</v>
      </c>
      <c r="K490" s="52" t="s">
        <v>1663</v>
      </c>
      <c r="L490" s="52" t="s">
        <v>1663</v>
      </c>
      <c r="M490" s="52" t="s">
        <v>29</v>
      </c>
      <c r="N490" s="53">
        <v>-1</v>
      </c>
      <c r="O490" s="96">
        <v>-1</v>
      </c>
      <c r="P490" s="52" t="s">
        <v>1664</v>
      </c>
      <c r="Q490" s="52" t="s">
        <v>1652</v>
      </c>
      <c r="R490" s="52" t="s">
        <v>64</v>
      </c>
      <c r="S490" s="52" t="s">
        <v>314</v>
      </c>
    </row>
    <row r="491" spans="1:19" outlineLevel="2" x14ac:dyDescent="0.45">
      <c r="A491" t="s">
        <v>17</v>
      </c>
      <c r="B491" s="52" t="s">
        <v>57</v>
      </c>
      <c r="C491" s="52" t="s">
        <v>349</v>
      </c>
      <c r="D491" s="52" t="s">
        <v>350</v>
      </c>
      <c r="E491" s="52" t="s">
        <v>387</v>
      </c>
      <c r="F491" s="52" t="s">
        <v>1226</v>
      </c>
      <c r="G491" s="52" t="s">
        <v>60</v>
      </c>
      <c r="H491" s="54">
        <v>46082</v>
      </c>
      <c r="I491" s="52" t="s">
        <v>271</v>
      </c>
      <c r="J491" s="52" t="s">
        <v>314</v>
      </c>
      <c r="K491" s="52" t="s">
        <v>1663</v>
      </c>
      <c r="L491" s="52" t="s">
        <v>1663</v>
      </c>
      <c r="M491" s="52" t="s">
        <v>29</v>
      </c>
      <c r="N491" s="53">
        <v>-1</v>
      </c>
      <c r="O491" s="96">
        <v>-1</v>
      </c>
      <c r="P491" s="52" t="s">
        <v>1664</v>
      </c>
      <c r="Q491" s="52" t="s">
        <v>1652</v>
      </c>
      <c r="R491" s="52" t="s">
        <v>64</v>
      </c>
      <c r="S491" s="52" t="s">
        <v>314</v>
      </c>
    </row>
    <row r="492" spans="1:19" outlineLevel="2" x14ac:dyDescent="0.45">
      <c r="A492" t="s">
        <v>17</v>
      </c>
      <c r="B492" s="52" t="s">
        <v>66</v>
      </c>
      <c r="C492" s="52" t="s">
        <v>349</v>
      </c>
      <c r="D492" s="52" t="s">
        <v>350</v>
      </c>
      <c r="E492" s="52" t="s">
        <v>387</v>
      </c>
      <c r="F492" s="52" t="s">
        <v>1741</v>
      </c>
      <c r="G492" s="52" t="s">
        <v>60</v>
      </c>
      <c r="H492" s="54">
        <v>46082</v>
      </c>
      <c r="I492" s="52" t="s">
        <v>271</v>
      </c>
      <c r="J492" s="52" t="s">
        <v>298</v>
      </c>
      <c r="K492" s="52" t="s">
        <v>1742</v>
      </c>
      <c r="L492" s="52" t="s">
        <v>1742</v>
      </c>
      <c r="M492" s="52" t="s">
        <v>67</v>
      </c>
      <c r="N492" s="53">
        <v>-66083.679999999993</v>
      </c>
      <c r="O492" s="96">
        <v>-225213.18</v>
      </c>
      <c r="P492" s="52" t="s">
        <v>1743</v>
      </c>
      <c r="Q492" s="52" t="s">
        <v>1743</v>
      </c>
      <c r="R492" s="52" t="s">
        <v>64</v>
      </c>
      <c r="S492" s="52" t="s">
        <v>298</v>
      </c>
    </row>
    <row r="493" spans="1:19" outlineLevel="2" x14ac:dyDescent="0.45">
      <c r="A493" t="s">
        <v>17</v>
      </c>
      <c r="B493" s="52" t="s">
        <v>57</v>
      </c>
      <c r="C493" s="52" t="s">
        <v>349</v>
      </c>
      <c r="D493" s="52" t="s">
        <v>350</v>
      </c>
      <c r="E493" s="52" t="s">
        <v>387</v>
      </c>
      <c r="F493" s="52" t="s">
        <v>1945</v>
      </c>
      <c r="G493" s="52" t="s">
        <v>60</v>
      </c>
      <c r="H493" s="54">
        <v>46113</v>
      </c>
      <c r="I493" s="52" t="s">
        <v>1836</v>
      </c>
      <c r="J493" s="52" t="s">
        <v>1880</v>
      </c>
      <c r="K493" s="52" t="s">
        <v>1946</v>
      </c>
      <c r="L493" s="52" t="s">
        <v>1946</v>
      </c>
      <c r="M493" s="52" t="s">
        <v>29</v>
      </c>
      <c r="N493" s="53">
        <v>-43.5</v>
      </c>
      <c r="O493" s="53">
        <v>-43.5</v>
      </c>
      <c r="P493" s="52" t="s">
        <v>1947</v>
      </c>
      <c r="Q493" s="52" t="s">
        <v>1948</v>
      </c>
      <c r="R493" s="52" t="s">
        <v>64</v>
      </c>
      <c r="S493" s="52" t="s">
        <v>1880</v>
      </c>
    </row>
    <row r="494" spans="1:19" outlineLevel="2" x14ac:dyDescent="0.45">
      <c r="A494" t="s">
        <v>17</v>
      </c>
      <c r="B494" s="52" t="s">
        <v>57</v>
      </c>
      <c r="C494" s="52" t="s">
        <v>349</v>
      </c>
      <c r="D494" s="52" t="s">
        <v>350</v>
      </c>
      <c r="E494" s="52" t="s">
        <v>387</v>
      </c>
      <c r="F494" s="52" t="s">
        <v>1949</v>
      </c>
      <c r="G494" s="52" t="s">
        <v>60</v>
      </c>
      <c r="H494" s="54">
        <v>46113</v>
      </c>
      <c r="I494" s="52" t="s">
        <v>1836</v>
      </c>
      <c r="J494" s="52" t="s">
        <v>1950</v>
      </c>
      <c r="K494" s="52" t="s">
        <v>1951</v>
      </c>
      <c r="L494" s="52" t="s">
        <v>1951</v>
      </c>
      <c r="M494" s="52" t="s">
        <v>29</v>
      </c>
      <c r="N494" s="53">
        <v>-40</v>
      </c>
      <c r="O494" s="53">
        <v>-40</v>
      </c>
      <c r="P494" s="52" t="s">
        <v>1952</v>
      </c>
      <c r="Q494" s="52" t="s">
        <v>1953</v>
      </c>
      <c r="R494" s="52" t="s">
        <v>64</v>
      </c>
      <c r="S494" s="52" t="s">
        <v>1950</v>
      </c>
    </row>
    <row r="495" spans="1:19" outlineLevel="2" x14ac:dyDescent="0.45">
      <c r="A495" t="s">
        <v>17</v>
      </c>
      <c r="B495" s="52" t="s">
        <v>66</v>
      </c>
      <c r="C495" s="52" t="s">
        <v>349</v>
      </c>
      <c r="D495" s="52" t="s">
        <v>350</v>
      </c>
      <c r="E495" s="52" t="s">
        <v>387</v>
      </c>
      <c r="F495" s="52" t="s">
        <v>1954</v>
      </c>
      <c r="G495" s="52" t="s">
        <v>60</v>
      </c>
      <c r="H495" s="54">
        <v>46113</v>
      </c>
      <c r="I495" s="52" t="s">
        <v>1836</v>
      </c>
      <c r="J495" s="52" t="s">
        <v>1880</v>
      </c>
      <c r="K495" s="52" t="s">
        <v>1955</v>
      </c>
      <c r="L495" s="52" t="s">
        <v>1955</v>
      </c>
      <c r="M495" s="52" t="s">
        <v>67</v>
      </c>
      <c r="N495" s="53">
        <v>-15.3</v>
      </c>
      <c r="O495" s="53">
        <v>-53.99</v>
      </c>
      <c r="P495" s="52" t="s">
        <v>1956</v>
      </c>
      <c r="Q495" s="52" t="s">
        <v>1957</v>
      </c>
      <c r="R495" s="52" t="s">
        <v>64</v>
      </c>
      <c r="S495" s="52" t="s">
        <v>1880</v>
      </c>
    </row>
    <row r="496" spans="1:19" outlineLevel="2" x14ac:dyDescent="0.45">
      <c r="A496" t="s">
        <v>17</v>
      </c>
      <c r="B496" s="52" t="s">
        <v>57</v>
      </c>
      <c r="C496" s="52" t="s">
        <v>349</v>
      </c>
      <c r="D496" s="52" t="s">
        <v>350</v>
      </c>
      <c r="E496" s="52" t="s">
        <v>387</v>
      </c>
      <c r="F496" s="52" t="s">
        <v>1958</v>
      </c>
      <c r="G496" s="52" t="s">
        <v>60</v>
      </c>
      <c r="H496" s="54">
        <v>46113</v>
      </c>
      <c r="I496" s="52" t="s">
        <v>1836</v>
      </c>
      <c r="J496" s="52" t="s">
        <v>1908</v>
      </c>
      <c r="K496" s="52" t="s">
        <v>1959</v>
      </c>
      <c r="L496" s="52" t="s">
        <v>1959</v>
      </c>
      <c r="M496" s="52" t="s">
        <v>29</v>
      </c>
      <c r="N496" s="53">
        <v>-12.9</v>
      </c>
      <c r="O496" s="53">
        <v>-12.9</v>
      </c>
      <c r="P496" s="52" t="s">
        <v>1960</v>
      </c>
      <c r="Q496" s="52" t="s">
        <v>1961</v>
      </c>
      <c r="R496" s="52" t="s">
        <v>64</v>
      </c>
      <c r="S496" s="52" t="s">
        <v>1908</v>
      </c>
    </row>
    <row r="497" spans="1:19" outlineLevel="2" x14ac:dyDescent="0.45">
      <c r="A497" t="s">
        <v>17</v>
      </c>
      <c r="B497" s="52" t="s">
        <v>57</v>
      </c>
      <c r="C497" s="52" t="s">
        <v>349</v>
      </c>
      <c r="D497" s="52" t="s">
        <v>350</v>
      </c>
      <c r="E497" s="52" t="s">
        <v>387</v>
      </c>
      <c r="F497" s="52" t="s">
        <v>1962</v>
      </c>
      <c r="G497" s="52" t="s">
        <v>60</v>
      </c>
      <c r="H497" s="54">
        <v>46113</v>
      </c>
      <c r="I497" s="52" t="s">
        <v>1836</v>
      </c>
      <c r="J497" s="52" t="s">
        <v>1886</v>
      </c>
      <c r="K497" s="52" t="s">
        <v>1963</v>
      </c>
      <c r="L497" s="52" t="s">
        <v>1963</v>
      </c>
      <c r="M497" s="52" t="s">
        <v>29</v>
      </c>
      <c r="N497" s="53">
        <v>-4.3</v>
      </c>
      <c r="O497" s="53">
        <v>-4.3</v>
      </c>
      <c r="P497" s="52" t="s">
        <v>1964</v>
      </c>
      <c r="Q497" s="52" t="s">
        <v>1965</v>
      </c>
      <c r="R497" s="52" t="s">
        <v>64</v>
      </c>
      <c r="S497" s="52" t="s">
        <v>1886</v>
      </c>
    </row>
    <row r="498" spans="1:19" outlineLevel="2" x14ac:dyDescent="0.45">
      <c r="A498" t="s">
        <v>17</v>
      </c>
      <c r="B498" s="52" t="s">
        <v>57</v>
      </c>
      <c r="C498" s="52" t="s">
        <v>349</v>
      </c>
      <c r="D498" s="52" t="s">
        <v>350</v>
      </c>
      <c r="E498" s="52" t="s">
        <v>387</v>
      </c>
      <c r="F498" s="52" t="s">
        <v>1966</v>
      </c>
      <c r="G498" s="52" t="s">
        <v>60</v>
      </c>
      <c r="H498" s="54">
        <v>46113</v>
      </c>
      <c r="I498" s="52" t="s">
        <v>1836</v>
      </c>
      <c r="J498" s="52" t="s">
        <v>1865</v>
      </c>
      <c r="K498" s="52" t="s">
        <v>1967</v>
      </c>
      <c r="L498" s="52" t="s">
        <v>1967</v>
      </c>
      <c r="M498" s="52" t="s">
        <v>29</v>
      </c>
      <c r="N498" s="53">
        <v>-4.3</v>
      </c>
      <c r="O498" s="53">
        <v>-4.3</v>
      </c>
      <c r="P498" s="52" t="s">
        <v>1968</v>
      </c>
      <c r="Q498" s="52" t="s">
        <v>1969</v>
      </c>
      <c r="R498" s="52" t="s">
        <v>64</v>
      </c>
      <c r="S498" s="52" t="s">
        <v>1865</v>
      </c>
    </row>
    <row r="499" spans="1:19" outlineLevel="2" x14ac:dyDescent="0.45">
      <c r="A499" t="s">
        <v>17</v>
      </c>
      <c r="B499" s="52" t="s">
        <v>57</v>
      </c>
      <c r="C499" s="52" t="s">
        <v>349</v>
      </c>
      <c r="D499" s="52" t="s">
        <v>350</v>
      </c>
      <c r="E499" s="52" t="s">
        <v>387</v>
      </c>
      <c r="F499" s="52" t="s">
        <v>1970</v>
      </c>
      <c r="G499" s="52" t="s">
        <v>60</v>
      </c>
      <c r="H499" s="54">
        <v>46113</v>
      </c>
      <c r="I499" s="52" t="s">
        <v>1836</v>
      </c>
      <c r="J499" s="52" t="s">
        <v>1891</v>
      </c>
      <c r="K499" s="52" t="s">
        <v>1971</v>
      </c>
      <c r="L499" s="52" t="s">
        <v>1971</v>
      </c>
      <c r="M499" s="52" t="s">
        <v>29</v>
      </c>
      <c r="N499" s="53">
        <v>-21.5</v>
      </c>
      <c r="O499" s="53">
        <v>-21.5</v>
      </c>
      <c r="P499" s="52" t="s">
        <v>1972</v>
      </c>
      <c r="Q499" s="52" t="s">
        <v>1973</v>
      </c>
      <c r="R499" s="52" t="s">
        <v>64</v>
      </c>
      <c r="S499" s="52" t="s">
        <v>1891</v>
      </c>
    </row>
    <row r="500" spans="1:19" outlineLevel="2" x14ac:dyDescent="0.45">
      <c r="A500" t="s">
        <v>17</v>
      </c>
      <c r="B500" s="52" t="s">
        <v>66</v>
      </c>
      <c r="C500" s="52" t="s">
        <v>349</v>
      </c>
      <c r="D500" s="52" t="s">
        <v>350</v>
      </c>
      <c r="E500" s="52" t="s">
        <v>387</v>
      </c>
      <c r="F500" s="52" t="s">
        <v>1974</v>
      </c>
      <c r="G500" s="52" t="s">
        <v>60</v>
      </c>
      <c r="H500" s="54">
        <v>46113</v>
      </c>
      <c r="I500" s="52" t="s">
        <v>1836</v>
      </c>
      <c r="J500" s="52" t="s">
        <v>1975</v>
      </c>
      <c r="K500" s="52" t="s">
        <v>1976</v>
      </c>
      <c r="L500" s="52" t="s">
        <v>1976</v>
      </c>
      <c r="M500" s="52" t="s">
        <v>67</v>
      </c>
      <c r="N500" s="53">
        <v>-1.53</v>
      </c>
      <c r="O500" s="53">
        <v>-5.17</v>
      </c>
      <c r="P500" s="52" t="s">
        <v>1977</v>
      </c>
      <c r="Q500" s="52" t="s">
        <v>1978</v>
      </c>
      <c r="R500" s="52" t="s">
        <v>64</v>
      </c>
      <c r="S500" s="52" t="s">
        <v>1975</v>
      </c>
    </row>
    <row r="501" spans="1:19" outlineLevel="2" x14ac:dyDescent="0.45">
      <c r="A501" t="s">
        <v>17</v>
      </c>
      <c r="B501" s="52" t="s">
        <v>66</v>
      </c>
      <c r="C501" s="52" t="s">
        <v>349</v>
      </c>
      <c r="D501" s="52" t="s">
        <v>350</v>
      </c>
      <c r="E501" s="52" t="s">
        <v>387</v>
      </c>
      <c r="F501" s="52" t="s">
        <v>1979</v>
      </c>
      <c r="G501" s="52" t="s">
        <v>60</v>
      </c>
      <c r="H501" s="54">
        <v>46113</v>
      </c>
      <c r="I501" s="52" t="s">
        <v>1836</v>
      </c>
      <c r="J501" s="52" t="s">
        <v>1891</v>
      </c>
      <c r="K501" s="52" t="s">
        <v>1980</v>
      </c>
      <c r="L501" s="52" t="s">
        <v>1980</v>
      </c>
      <c r="M501" s="52" t="s">
        <v>67</v>
      </c>
      <c r="N501" s="53">
        <v>-3.06</v>
      </c>
      <c r="O501" s="53">
        <v>-10.54</v>
      </c>
      <c r="P501" s="52" t="s">
        <v>1981</v>
      </c>
      <c r="Q501" s="52" t="s">
        <v>1982</v>
      </c>
      <c r="R501" s="52" t="s">
        <v>64</v>
      </c>
      <c r="S501" s="52" t="s">
        <v>1891</v>
      </c>
    </row>
    <row r="502" spans="1:19" outlineLevel="2" x14ac:dyDescent="0.45">
      <c r="A502" t="s">
        <v>17</v>
      </c>
      <c r="B502" s="52" t="s">
        <v>66</v>
      </c>
      <c r="C502" s="52" t="s">
        <v>349</v>
      </c>
      <c r="D502" s="52" t="s">
        <v>350</v>
      </c>
      <c r="E502" s="52" t="s">
        <v>387</v>
      </c>
      <c r="F502" s="52" t="s">
        <v>1983</v>
      </c>
      <c r="G502" s="52" t="s">
        <v>60</v>
      </c>
      <c r="H502" s="54">
        <v>46113</v>
      </c>
      <c r="I502" s="52" t="s">
        <v>1836</v>
      </c>
      <c r="J502" s="52" t="s">
        <v>1880</v>
      </c>
      <c r="K502" s="52" t="s">
        <v>1984</v>
      </c>
      <c r="L502" s="52" t="s">
        <v>1984</v>
      </c>
      <c r="M502" s="52" t="s">
        <v>67</v>
      </c>
      <c r="N502" s="53">
        <v>-1.53</v>
      </c>
      <c r="O502" s="53">
        <v>-5.4</v>
      </c>
      <c r="P502" s="52" t="s">
        <v>1985</v>
      </c>
      <c r="Q502" s="52" t="s">
        <v>1986</v>
      </c>
      <c r="R502" s="52" t="s">
        <v>64</v>
      </c>
      <c r="S502" s="52" t="s">
        <v>1880</v>
      </c>
    </row>
    <row r="503" spans="1:19" outlineLevel="2" x14ac:dyDescent="0.45">
      <c r="A503" t="s">
        <v>17</v>
      </c>
      <c r="B503" s="52" t="s">
        <v>57</v>
      </c>
      <c r="C503" s="52" t="s">
        <v>349</v>
      </c>
      <c r="D503" s="52" t="s">
        <v>350</v>
      </c>
      <c r="E503" s="52" t="s">
        <v>387</v>
      </c>
      <c r="F503" s="52" t="s">
        <v>1987</v>
      </c>
      <c r="G503" s="52" t="s">
        <v>60</v>
      </c>
      <c r="H503" s="54">
        <v>46113</v>
      </c>
      <c r="I503" s="52" t="s">
        <v>1836</v>
      </c>
      <c r="J503" s="52" t="s">
        <v>1988</v>
      </c>
      <c r="K503" s="52" t="s">
        <v>1989</v>
      </c>
      <c r="L503" s="52" t="s">
        <v>1989</v>
      </c>
      <c r="M503" s="52" t="s">
        <v>29</v>
      </c>
      <c r="N503" s="53">
        <v>-4.3</v>
      </c>
      <c r="O503" s="53">
        <v>-4.3</v>
      </c>
      <c r="P503" s="52" t="s">
        <v>1990</v>
      </c>
      <c r="Q503" s="52" t="s">
        <v>1991</v>
      </c>
      <c r="R503" s="52" t="s">
        <v>64</v>
      </c>
      <c r="S503" s="52" t="s">
        <v>1988</v>
      </c>
    </row>
    <row r="504" spans="1:19" outlineLevel="2" x14ac:dyDescent="0.45">
      <c r="A504" t="s">
        <v>17</v>
      </c>
      <c r="B504" s="52" t="s">
        <v>66</v>
      </c>
      <c r="C504" s="52" t="s">
        <v>349</v>
      </c>
      <c r="D504" s="52" t="s">
        <v>350</v>
      </c>
      <c r="E504" s="52" t="s">
        <v>387</v>
      </c>
      <c r="F504" s="52" t="s">
        <v>1992</v>
      </c>
      <c r="G504" s="52" t="s">
        <v>60</v>
      </c>
      <c r="H504" s="54">
        <v>46113</v>
      </c>
      <c r="I504" s="52" t="s">
        <v>1836</v>
      </c>
      <c r="J504" s="52" t="s">
        <v>1908</v>
      </c>
      <c r="K504" s="52" t="s">
        <v>1993</v>
      </c>
      <c r="L504" s="52" t="s">
        <v>1993</v>
      </c>
      <c r="M504" s="52" t="s">
        <v>67</v>
      </c>
      <c r="N504" s="53">
        <v>-1.53</v>
      </c>
      <c r="O504" s="53">
        <v>-5.28</v>
      </c>
      <c r="P504" s="52" t="s">
        <v>1994</v>
      </c>
      <c r="Q504" s="52" t="s">
        <v>1995</v>
      </c>
      <c r="R504" s="52" t="s">
        <v>64</v>
      </c>
      <c r="S504" s="52" t="s">
        <v>1908</v>
      </c>
    </row>
    <row r="505" spans="1:19" outlineLevel="2" x14ac:dyDescent="0.45">
      <c r="A505" t="s">
        <v>17</v>
      </c>
      <c r="B505" s="52" t="s">
        <v>66</v>
      </c>
      <c r="C505" s="52" t="s">
        <v>349</v>
      </c>
      <c r="D505" s="52" t="s">
        <v>350</v>
      </c>
      <c r="E505" s="52" t="s">
        <v>387</v>
      </c>
      <c r="F505" s="52" t="s">
        <v>1996</v>
      </c>
      <c r="G505" s="52" t="s">
        <v>60</v>
      </c>
      <c r="H505" s="54">
        <v>46113</v>
      </c>
      <c r="I505" s="52" t="s">
        <v>1836</v>
      </c>
      <c r="J505" s="52" t="s">
        <v>1988</v>
      </c>
      <c r="K505" s="52" t="s">
        <v>1997</v>
      </c>
      <c r="L505" s="52" t="s">
        <v>1997</v>
      </c>
      <c r="M505" s="52" t="s">
        <v>67</v>
      </c>
      <c r="N505" s="53">
        <v>-1.53</v>
      </c>
      <c r="O505" s="53">
        <v>-5.2</v>
      </c>
      <c r="P505" s="52" t="s">
        <v>1998</v>
      </c>
      <c r="Q505" s="52" t="s">
        <v>1999</v>
      </c>
      <c r="R505" s="52" t="s">
        <v>64</v>
      </c>
      <c r="S505" s="52" t="s">
        <v>1988</v>
      </c>
    </row>
    <row r="506" spans="1:19" outlineLevel="2" x14ac:dyDescent="0.45">
      <c r="A506" t="s">
        <v>17</v>
      </c>
      <c r="B506" s="52" t="s">
        <v>57</v>
      </c>
      <c r="C506" s="52" t="s">
        <v>349</v>
      </c>
      <c r="D506" s="52" t="s">
        <v>350</v>
      </c>
      <c r="E506" s="52" t="s">
        <v>387</v>
      </c>
      <c r="F506" s="52" t="s">
        <v>2000</v>
      </c>
      <c r="G506" s="52" t="s">
        <v>60</v>
      </c>
      <c r="H506" s="54">
        <v>46113</v>
      </c>
      <c r="I506" s="52" t="s">
        <v>1836</v>
      </c>
      <c r="J506" s="52" t="s">
        <v>2001</v>
      </c>
      <c r="K506" s="52" t="s">
        <v>2002</v>
      </c>
      <c r="L506" s="52" t="s">
        <v>2002</v>
      </c>
      <c r="M506" s="52" t="s">
        <v>29</v>
      </c>
      <c r="N506" s="53">
        <v>-8.6</v>
      </c>
      <c r="O506" s="53">
        <v>-8.6</v>
      </c>
      <c r="P506" s="52" t="s">
        <v>2003</v>
      </c>
      <c r="Q506" s="52" t="s">
        <v>2004</v>
      </c>
      <c r="R506" s="52" t="s">
        <v>64</v>
      </c>
      <c r="S506" s="52" t="s">
        <v>2001</v>
      </c>
    </row>
    <row r="507" spans="1:19" outlineLevel="2" x14ac:dyDescent="0.45">
      <c r="A507" t="s">
        <v>17</v>
      </c>
      <c r="B507" s="52" t="s">
        <v>66</v>
      </c>
      <c r="C507" s="52" t="s">
        <v>349</v>
      </c>
      <c r="D507" s="52" t="s">
        <v>350</v>
      </c>
      <c r="E507" s="52" t="s">
        <v>387</v>
      </c>
      <c r="F507" s="52" t="s">
        <v>2005</v>
      </c>
      <c r="G507" s="52" t="s">
        <v>60</v>
      </c>
      <c r="H507" s="54">
        <v>46113</v>
      </c>
      <c r="I507" s="52" t="s">
        <v>1836</v>
      </c>
      <c r="J507" s="52" t="s">
        <v>1870</v>
      </c>
      <c r="K507" s="52" t="s">
        <v>2006</v>
      </c>
      <c r="L507" s="52" t="s">
        <v>2006</v>
      </c>
      <c r="M507" s="52" t="s">
        <v>67</v>
      </c>
      <c r="N507" s="53">
        <v>-6.12</v>
      </c>
      <c r="O507" s="53">
        <v>-21.39</v>
      </c>
      <c r="P507" s="52" t="s">
        <v>2007</v>
      </c>
      <c r="Q507" s="52" t="s">
        <v>2008</v>
      </c>
      <c r="R507" s="52" t="s">
        <v>64</v>
      </c>
      <c r="S507" s="52" t="s">
        <v>1870</v>
      </c>
    </row>
    <row r="508" spans="1:19" outlineLevel="2" x14ac:dyDescent="0.45">
      <c r="A508" t="s">
        <v>17</v>
      </c>
      <c r="B508" s="52" t="s">
        <v>57</v>
      </c>
      <c r="C508" s="52" t="s">
        <v>349</v>
      </c>
      <c r="D508" s="52" t="s">
        <v>350</v>
      </c>
      <c r="E508" s="52" t="s">
        <v>387</v>
      </c>
      <c r="F508" s="52" t="s">
        <v>2009</v>
      </c>
      <c r="G508" s="52" t="s">
        <v>60</v>
      </c>
      <c r="H508" s="54">
        <v>46113</v>
      </c>
      <c r="I508" s="52" t="s">
        <v>1836</v>
      </c>
      <c r="J508" s="52" t="s">
        <v>1941</v>
      </c>
      <c r="K508" s="52" t="s">
        <v>2010</v>
      </c>
      <c r="L508" s="52" t="s">
        <v>2010</v>
      </c>
      <c r="M508" s="52" t="s">
        <v>29</v>
      </c>
      <c r="N508" s="53">
        <v>-8.6</v>
      </c>
      <c r="O508" s="53">
        <v>-8.6</v>
      </c>
      <c r="P508" s="52" t="s">
        <v>2011</v>
      </c>
      <c r="Q508" s="52" t="s">
        <v>2012</v>
      </c>
      <c r="R508" s="52" t="s">
        <v>64</v>
      </c>
      <c r="S508" s="52" t="s">
        <v>1941</v>
      </c>
    </row>
    <row r="509" spans="1:19" outlineLevel="2" x14ac:dyDescent="0.45">
      <c r="A509" t="s">
        <v>17</v>
      </c>
      <c r="B509" s="52" t="s">
        <v>57</v>
      </c>
      <c r="C509" s="52" t="s">
        <v>349</v>
      </c>
      <c r="D509" s="52" t="s">
        <v>350</v>
      </c>
      <c r="E509" s="52" t="s">
        <v>387</v>
      </c>
      <c r="F509" s="52" t="s">
        <v>2013</v>
      </c>
      <c r="G509" s="52" t="s">
        <v>60</v>
      </c>
      <c r="H509" s="54">
        <v>46113</v>
      </c>
      <c r="I509" s="52" t="s">
        <v>1836</v>
      </c>
      <c r="J509" s="52" t="s">
        <v>1975</v>
      </c>
      <c r="K509" s="52" t="s">
        <v>2014</v>
      </c>
      <c r="L509" s="52" t="s">
        <v>2014</v>
      </c>
      <c r="M509" s="52" t="s">
        <v>29</v>
      </c>
      <c r="N509" s="53">
        <v>-12.9</v>
      </c>
      <c r="O509" s="53">
        <v>-12.9</v>
      </c>
      <c r="P509" s="52" t="s">
        <v>2015</v>
      </c>
      <c r="Q509" s="52" t="s">
        <v>2016</v>
      </c>
      <c r="R509" s="52" t="s">
        <v>64</v>
      </c>
      <c r="S509" s="52" t="s">
        <v>1975</v>
      </c>
    </row>
    <row r="510" spans="1:19" outlineLevel="2" x14ac:dyDescent="0.45">
      <c r="A510" t="s">
        <v>17</v>
      </c>
      <c r="B510" s="52" t="s">
        <v>57</v>
      </c>
      <c r="C510" s="52" t="s">
        <v>349</v>
      </c>
      <c r="D510" s="52" t="s">
        <v>350</v>
      </c>
      <c r="E510" s="52" t="s">
        <v>387</v>
      </c>
      <c r="F510" s="52" t="s">
        <v>2017</v>
      </c>
      <c r="G510" s="52" t="s">
        <v>60</v>
      </c>
      <c r="H510" s="54">
        <v>46113</v>
      </c>
      <c r="I510" s="52" t="s">
        <v>1836</v>
      </c>
      <c r="J510" s="52" t="s">
        <v>1886</v>
      </c>
      <c r="K510" s="52" t="s">
        <v>2018</v>
      </c>
      <c r="L510" s="52" t="s">
        <v>2018</v>
      </c>
      <c r="M510" s="52" t="s">
        <v>29</v>
      </c>
      <c r="N510" s="53">
        <v>-23.9</v>
      </c>
      <c r="O510" s="53">
        <v>-23.9</v>
      </c>
      <c r="P510" s="52" t="s">
        <v>2019</v>
      </c>
      <c r="Q510" s="52" t="s">
        <v>2020</v>
      </c>
      <c r="R510" s="52" t="s">
        <v>64</v>
      </c>
      <c r="S510" s="52" t="s">
        <v>1886</v>
      </c>
    </row>
    <row r="511" spans="1:19" outlineLevel="2" x14ac:dyDescent="0.45">
      <c r="A511" t="s">
        <v>17</v>
      </c>
      <c r="B511" s="52" t="s">
        <v>57</v>
      </c>
      <c r="C511" s="52" t="s">
        <v>349</v>
      </c>
      <c r="D511" s="52" t="s">
        <v>350</v>
      </c>
      <c r="E511" s="52" t="s">
        <v>387</v>
      </c>
      <c r="F511" s="52" t="s">
        <v>2021</v>
      </c>
      <c r="G511" s="52" t="s">
        <v>60</v>
      </c>
      <c r="H511" s="54">
        <v>46113</v>
      </c>
      <c r="I511" s="52" t="s">
        <v>1836</v>
      </c>
      <c r="J511" s="52" t="s">
        <v>1988</v>
      </c>
      <c r="K511" s="52" t="s">
        <v>2022</v>
      </c>
      <c r="L511" s="52" t="s">
        <v>2022</v>
      </c>
      <c r="M511" s="52" t="s">
        <v>29</v>
      </c>
      <c r="N511" s="53">
        <v>-21</v>
      </c>
      <c r="O511" s="53">
        <v>-21</v>
      </c>
      <c r="P511" s="52" t="s">
        <v>2023</v>
      </c>
      <c r="Q511" s="52" t="s">
        <v>2024</v>
      </c>
      <c r="R511" s="52" t="s">
        <v>64</v>
      </c>
      <c r="S511" s="52" t="s">
        <v>1988</v>
      </c>
    </row>
    <row r="512" spans="1:19" outlineLevel="2" x14ac:dyDescent="0.45">
      <c r="A512" t="s">
        <v>17</v>
      </c>
      <c r="B512" s="52" t="s">
        <v>66</v>
      </c>
      <c r="C512" s="52" t="s">
        <v>349</v>
      </c>
      <c r="D512" s="52" t="s">
        <v>350</v>
      </c>
      <c r="E512" s="52" t="s">
        <v>387</v>
      </c>
      <c r="F512" s="52" t="s">
        <v>2025</v>
      </c>
      <c r="G512" s="52" t="s">
        <v>60</v>
      </c>
      <c r="H512" s="54">
        <v>46113</v>
      </c>
      <c r="I512" s="52" t="s">
        <v>1836</v>
      </c>
      <c r="J512" s="52" t="s">
        <v>1880</v>
      </c>
      <c r="K512" s="52" t="s">
        <v>2026</v>
      </c>
      <c r="L512" s="52" t="s">
        <v>2026</v>
      </c>
      <c r="M512" s="52" t="s">
        <v>67</v>
      </c>
      <c r="N512" s="53">
        <v>-3.95</v>
      </c>
      <c r="O512" s="53">
        <v>-13.94</v>
      </c>
      <c r="P512" s="52" t="s">
        <v>2027</v>
      </c>
      <c r="Q512" s="52" t="s">
        <v>2028</v>
      </c>
      <c r="R512" s="52" t="s">
        <v>64</v>
      </c>
      <c r="S512" s="52" t="s">
        <v>1880</v>
      </c>
    </row>
    <row r="513" spans="1:19" hidden="1" outlineLevel="2" x14ac:dyDescent="0.45">
      <c r="A513" t="s">
        <v>17</v>
      </c>
      <c r="B513" s="52" t="s">
        <v>57</v>
      </c>
      <c r="C513" s="52" t="s">
        <v>376</v>
      </c>
      <c r="D513" s="52" t="s">
        <v>377</v>
      </c>
      <c r="E513" s="52" t="s">
        <v>387</v>
      </c>
      <c r="F513" s="52" t="s">
        <v>2029</v>
      </c>
      <c r="G513" s="52" t="s">
        <v>60</v>
      </c>
      <c r="H513" s="54">
        <v>46113</v>
      </c>
      <c r="I513" s="52" t="s">
        <v>1836</v>
      </c>
      <c r="J513" s="52" t="s">
        <v>1950</v>
      </c>
      <c r="K513" s="52" t="s">
        <v>2030</v>
      </c>
      <c r="L513" s="52" t="s">
        <v>2030</v>
      </c>
      <c r="M513" s="52" t="s">
        <v>29</v>
      </c>
      <c r="N513" s="53">
        <v>-314244.7</v>
      </c>
      <c r="O513" s="53">
        <v>-314244.7</v>
      </c>
      <c r="P513" s="52" t="s">
        <v>2031</v>
      </c>
      <c r="Q513" s="52" t="s">
        <v>2032</v>
      </c>
      <c r="R513" s="55" t="s">
        <v>64</v>
      </c>
      <c r="S513" s="52" t="s">
        <v>1950</v>
      </c>
    </row>
    <row r="514" spans="1:19" hidden="1" outlineLevel="2" x14ac:dyDescent="0.45">
      <c r="A514" t="s">
        <v>17</v>
      </c>
      <c r="B514" s="52" t="s">
        <v>66</v>
      </c>
      <c r="C514" s="52" t="s">
        <v>376</v>
      </c>
      <c r="D514" s="52" t="s">
        <v>377</v>
      </c>
      <c r="E514" s="52" t="s">
        <v>387</v>
      </c>
      <c r="F514" s="52" t="s">
        <v>2033</v>
      </c>
      <c r="G514" s="52" t="s">
        <v>60</v>
      </c>
      <c r="H514" s="54">
        <v>46113</v>
      </c>
      <c r="I514" s="52" t="s">
        <v>1836</v>
      </c>
      <c r="J514" s="52" t="s">
        <v>1870</v>
      </c>
      <c r="K514" s="52" t="s">
        <v>2034</v>
      </c>
      <c r="L514" s="52" t="s">
        <v>2034</v>
      </c>
      <c r="M514" s="52" t="s">
        <v>67</v>
      </c>
      <c r="N514" s="53">
        <v>-15000</v>
      </c>
      <c r="O514" s="53">
        <v>-52425</v>
      </c>
      <c r="P514" s="52" t="s">
        <v>2035</v>
      </c>
      <c r="Q514" s="52" t="s">
        <v>2036</v>
      </c>
      <c r="R514" s="55" t="s">
        <v>64</v>
      </c>
      <c r="S514" s="52" t="s">
        <v>1870</v>
      </c>
    </row>
    <row r="515" spans="1:19" hidden="1" outlineLevel="2" x14ac:dyDescent="0.45">
      <c r="A515" t="s">
        <v>17</v>
      </c>
      <c r="B515" s="52" t="s">
        <v>66</v>
      </c>
      <c r="C515" s="52" t="s">
        <v>376</v>
      </c>
      <c r="D515" s="52" t="s">
        <v>377</v>
      </c>
      <c r="E515" s="52" t="s">
        <v>387</v>
      </c>
      <c r="F515" s="52" t="s">
        <v>2037</v>
      </c>
      <c r="G515" s="52" t="s">
        <v>60</v>
      </c>
      <c r="H515" s="54">
        <v>46113</v>
      </c>
      <c r="I515" s="52" t="s">
        <v>1836</v>
      </c>
      <c r="J515" s="52" t="s">
        <v>1870</v>
      </c>
      <c r="K515" s="52" t="s">
        <v>2038</v>
      </c>
      <c r="L515" s="52" t="s">
        <v>2038</v>
      </c>
      <c r="M515" s="52" t="s">
        <v>67</v>
      </c>
      <c r="N515" s="53">
        <v>-14584.8</v>
      </c>
      <c r="O515" s="53">
        <v>-50973.88</v>
      </c>
      <c r="P515" s="52" t="s">
        <v>2039</v>
      </c>
      <c r="Q515" s="52" t="s">
        <v>2040</v>
      </c>
      <c r="R515" s="55" t="s">
        <v>64</v>
      </c>
      <c r="S515" s="52" t="s">
        <v>1870</v>
      </c>
    </row>
    <row r="516" spans="1:19" hidden="1" outlineLevel="2" x14ac:dyDescent="0.45">
      <c r="A516" t="s">
        <v>17</v>
      </c>
      <c r="B516" s="52" t="s">
        <v>57</v>
      </c>
      <c r="C516" s="52" t="s">
        <v>376</v>
      </c>
      <c r="D516" s="52" t="s">
        <v>377</v>
      </c>
      <c r="E516" s="52" t="s">
        <v>387</v>
      </c>
      <c r="F516" s="52" t="s">
        <v>2041</v>
      </c>
      <c r="G516" s="52" t="s">
        <v>60</v>
      </c>
      <c r="H516" s="54">
        <v>46113</v>
      </c>
      <c r="I516" s="52" t="s">
        <v>1836</v>
      </c>
      <c r="J516" s="52" t="s">
        <v>1886</v>
      </c>
      <c r="K516" s="52" t="s">
        <v>2042</v>
      </c>
      <c r="L516" s="52" t="s">
        <v>2042</v>
      </c>
      <c r="M516" s="52" t="s">
        <v>29</v>
      </c>
      <c r="N516" s="53">
        <v>-48612.23</v>
      </c>
      <c r="O516" s="53">
        <v>-48612.23</v>
      </c>
      <c r="P516" s="52" t="s">
        <v>2043</v>
      </c>
      <c r="Q516" s="52" t="s">
        <v>2044</v>
      </c>
      <c r="R516" s="55" t="s">
        <v>64</v>
      </c>
      <c r="S516" s="52" t="s">
        <v>1886</v>
      </c>
    </row>
    <row r="517" spans="1:19" hidden="1" outlineLevel="2" x14ac:dyDescent="0.45">
      <c r="A517" t="s">
        <v>17</v>
      </c>
      <c r="B517" s="52" t="s">
        <v>57</v>
      </c>
      <c r="C517" s="52" t="s">
        <v>376</v>
      </c>
      <c r="D517" s="52" t="s">
        <v>377</v>
      </c>
      <c r="E517" s="52" t="s">
        <v>387</v>
      </c>
      <c r="F517" s="52" t="s">
        <v>2045</v>
      </c>
      <c r="G517" s="52" t="s">
        <v>60</v>
      </c>
      <c r="H517" s="54">
        <v>46113</v>
      </c>
      <c r="I517" s="52" t="s">
        <v>1836</v>
      </c>
      <c r="J517" s="52" t="s">
        <v>1880</v>
      </c>
      <c r="K517" s="52" t="s">
        <v>2046</v>
      </c>
      <c r="L517" s="52" t="s">
        <v>2046</v>
      </c>
      <c r="M517" s="52" t="s">
        <v>29</v>
      </c>
      <c r="N517" s="53">
        <v>-43169.09</v>
      </c>
      <c r="O517" s="53">
        <v>-43169.09</v>
      </c>
      <c r="P517" s="52" t="s">
        <v>2047</v>
      </c>
      <c r="Q517" s="52" t="s">
        <v>2048</v>
      </c>
      <c r="R517" s="55" t="s">
        <v>64</v>
      </c>
      <c r="S517" s="52" t="s">
        <v>1880</v>
      </c>
    </row>
    <row r="518" spans="1:19" hidden="1" outlineLevel="2" x14ac:dyDescent="0.45">
      <c r="A518" t="s">
        <v>17</v>
      </c>
      <c r="B518" s="52" t="s">
        <v>66</v>
      </c>
      <c r="C518" s="52" t="s">
        <v>376</v>
      </c>
      <c r="D518" s="52" t="s">
        <v>377</v>
      </c>
      <c r="E518" s="52" t="s">
        <v>387</v>
      </c>
      <c r="F518" s="52" t="s">
        <v>2052</v>
      </c>
      <c r="G518" s="52" t="s">
        <v>60</v>
      </c>
      <c r="H518" s="54">
        <v>46113</v>
      </c>
      <c r="I518" s="52" t="s">
        <v>1836</v>
      </c>
      <c r="J518" s="52" t="s">
        <v>1908</v>
      </c>
      <c r="K518" s="52" t="s">
        <v>2053</v>
      </c>
      <c r="L518" s="52" t="s">
        <v>2053</v>
      </c>
      <c r="M518" s="52" t="s">
        <v>67</v>
      </c>
      <c r="N518" s="53">
        <v>-11800</v>
      </c>
      <c r="O518" s="53">
        <v>-40698.199999999997</v>
      </c>
      <c r="P518" s="52" t="s">
        <v>2054</v>
      </c>
      <c r="Q518" s="52" t="s">
        <v>2055</v>
      </c>
      <c r="R518" s="55" t="s">
        <v>64</v>
      </c>
      <c r="S518" s="52" t="s">
        <v>1908</v>
      </c>
    </row>
    <row r="519" spans="1:19" hidden="1" outlineLevel="2" x14ac:dyDescent="0.45">
      <c r="A519" t="s">
        <v>17</v>
      </c>
      <c r="B519" s="52" t="s">
        <v>57</v>
      </c>
      <c r="C519" s="52" t="s">
        <v>376</v>
      </c>
      <c r="D519" s="52" t="s">
        <v>377</v>
      </c>
      <c r="E519" s="52" t="s">
        <v>387</v>
      </c>
      <c r="F519" s="52" t="s">
        <v>2056</v>
      </c>
      <c r="G519" s="52" t="s">
        <v>60</v>
      </c>
      <c r="H519" s="54">
        <v>46113</v>
      </c>
      <c r="I519" s="52" t="s">
        <v>1836</v>
      </c>
      <c r="J519" s="52" t="s">
        <v>1891</v>
      </c>
      <c r="K519" s="52" t="s">
        <v>2057</v>
      </c>
      <c r="L519" s="52" t="s">
        <v>2057</v>
      </c>
      <c r="M519" s="52" t="s">
        <v>29</v>
      </c>
      <c r="N519" s="53">
        <v>-30105</v>
      </c>
      <c r="O519" s="53">
        <v>-30105</v>
      </c>
      <c r="P519" s="52" t="s">
        <v>2058</v>
      </c>
      <c r="Q519" s="52" t="s">
        <v>2059</v>
      </c>
      <c r="R519" s="55" t="s">
        <v>64</v>
      </c>
      <c r="S519" s="52" t="s">
        <v>1891</v>
      </c>
    </row>
    <row r="520" spans="1:19" outlineLevel="2" x14ac:dyDescent="0.45">
      <c r="A520" t="s">
        <v>17</v>
      </c>
      <c r="B520" s="52" t="s">
        <v>57</v>
      </c>
      <c r="C520" s="52" t="s">
        <v>1099</v>
      </c>
      <c r="D520" s="52" t="s">
        <v>1100</v>
      </c>
      <c r="E520" s="52" t="s">
        <v>387</v>
      </c>
      <c r="F520" s="52" t="s">
        <v>2060</v>
      </c>
      <c r="G520" s="52" t="s">
        <v>60</v>
      </c>
      <c r="H520" s="54">
        <v>46113</v>
      </c>
      <c r="I520" s="52" t="s">
        <v>1836</v>
      </c>
      <c r="J520" s="52" t="s">
        <v>1870</v>
      </c>
      <c r="K520" s="52" t="s">
        <v>1358</v>
      </c>
      <c r="L520" s="52" t="s">
        <v>1358</v>
      </c>
      <c r="M520" s="52" t="s">
        <v>29</v>
      </c>
      <c r="N520" s="53">
        <v>-29250</v>
      </c>
      <c r="O520" s="53">
        <v>-29250</v>
      </c>
      <c r="P520" s="52" t="s">
        <v>1359</v>
      </c>
      <c r="Q520" s="52" t="s">
        <v>2061</v>
      </c>
      <c r="R520" s="55" t="s">
        <v>64</v>
      </c>
      <c r="S520" s="52" t="s">
        <v>1870</v>
      </c>
    </row>
    <row r="521" spans="1:19" hidden="1" outlineLevel="2" x14ac:dyDescent="0.45">
      <c r="A521" t="s">
        <v>17</v>
      </c>
      <c r="B521" s="52" t="s">
        <v>66</v>
      </c>
      <c r="C521" s="52" t="s">
        <v>376</v>
      </c>
      <c r="D521" s="52" t="s">
        <v>377</v>
      </c>
      <c r="E521" s="52" t="s">
        <v>387</v>
      </c>
      <c r="F521" s="52" t="s">
        <v>2062</v>
      </c>
      <c r="G521" s="52" t="s">
        <v>60</v>
      </c>
      <c r="H521" s="54">
        <v>46113</v>
      </c>
      <c r="I521" s="52" t="s">
        <v>1836</v>
      </c>
      <c r="J521" s="52" t="s">
        <v>1988</v>
      </c>
      <c r="K521" s="52" t="s">
        <v>2063</v>
      </c>
      <c r="L521" s="52" t="s">
        <v>2063</v>
      </c>
      <c r="M521" s="52" t="s">
        <v>67</v>
      </c>
      <c r="N521" s="53">
        <v>-5900</v>
      </c>
      <c r="O521" s="53">
        <v>-20054.099999999999</v>
      </c>
      <c r="P521" s="52" t="s">
        <v>2064</v>
      </c>
      <c r="Q521" s="52" t="s">
        <v>2065</v>
      </c>
      <c r="R521" s="55" t="s">
        <v>64</v>
      </c>
      <c r="S521" s="52" t="s">
        <v>1988</v>
      </c>
    </row>
    <row r="522" spans="1:19" hidden="1" outlineLevel="2" x14ac:dyDescent="0.45">
      <c r="A522" t="s">
        <v>17</v>
      </c>
      <c r="B522" s="52" t="s">
        <v>57</v>
      </c>
      <c r="C522" s="52" t="s">
        <v>376</v>
      </c>
      <c r="D522" s="52" t="s">
        <v>377</v>
      </c>
      <c r="E522" s="52" t="s">
        <v>387</v>
      </c>
      <c r="F522" s="52" t="s">
        <v>2066</v>
      </c>
      <c r="G522" s="52" t="s">
        <v>60</v>
      </c>
      <c r="H522" s="54">
        <v>46113</v>
      </c>
      <c r="I522" s="52" t="s">
        <v>1836</v>
      </c>
      <c r="J522" s="52" t="s">
        <v>1886</v>
      </c>
      <c r="K522" s="52" t="s">
        <v>2067</v>
      </c>
      <c r="L522" s="52" t="s">
        <v>2067</v>
      </c>
      <c r="M522" s="52" t="s">
        <v>29</v>
      </c>
      <c r="N522" s="53">
        <v>-13700</v>
      </c>
      <c r="O522" s="53">
        <v>-13700</v>
      </c>
      <c r="P522" s="52" t="s">
        <v>2068</v>
      </c>
      <c r="Q522" s="52" t="s">
        <v>2044</v>
      </c>
      <c r="R522" s="55" t="s">
        <v>64</v>
      </c>
      <c r="S522" s="52" t="s">
        <v>1886</v>
      </c>
    </row>
    <row r="523" spans="1:19" hidden="1" outlineLevel="2" x14ac:dyDescent="0.45">
      <c r="A523" t="s">
        <v>17</v>
      </c>
      <c r="B523" s="52" t="s">
        <v>66</v>
      </c>
      <c r="C523" s="52" t="s">
        <v>376</v>
      </c>
      <c r="D523" s="52" t="s">
        <v>377</v>
      </c>
      <c r="E523" s="52" t="s">
        <v>387</v>
      </c>
      <c r="F523" s="52" t="s">
        <v>2069</v>
      </c>
      <c r="G523" s="52" t="s">
        <v>60</v>
      </c>
      <c r="H523" s="54">
        <v>46113</v>
      </c>
      <c r="I523" s="52" t="s">
        <v>1836</v>
      </c>
      <c r="J523" s="52" t="s">
        <v>1870</v>
      </c>
      <c r="K523" s="52" t="s">
        <v>2070</v>
      </c>
      <c r="L523" s="52" t="s">
        <v>2070</v>
      </c>
      <c r="M523" s="52" t="s">
        <v>67</v>
      </c>
      <c r="N523" s="53">
        <v>-3776</v>
      </c>
      <c r="O523" s="53">
        <v>-13197.12</v>
      </c>
      <c r="P523" s="52" t="s">
        <v>2071</v>
      </c>
      <c r="Q523" s="52" t="s">
        <v>2036</v>
      </c>
      <c r="R523" s="55" t="s">
        <v>64</v>
      </c>
      <c r="S523" s="52" t="s">
        <v>1870</v>
      </c>
    </row>
    <row r="524" spans="1:19" hidden="1" outlineLevel="2" x14ac:dyDescent="0.45">
      <c r="A524" t="s">
        <v>17</v>
      </c>
      <c r="B524" s="52" t="s">
        <v>57</v>
      </c>
      <c r="C524" s="52" t="s">
        <v>376</v>
      </c>
      <c r="D524" s="52" t="s">
        <v>377</v>
      </c>
      <c r="E524" s="52" t="s">
        <v>387</v>
      </c>
      <c r="F524" s="52" t="s">
        <v>2072</v>
      </c>
      <c r="G524" s="52" t="s">
        <v>60</v>
      </c>
      <c r="H524" s="54">
        <v>46113</v>
      </c>
      <c r="I524" s="52" t="s">
        <v>1836</v>
      </c>
      <c r="J524" s="52" t="s">
        <v>1880</v>
      </c>
      <c r="K524" s="52" t="s">
        <v>2073</v>
      </c>
      <c r="L524" s="52" t="s">
        <v>2073</v>
      </c>
      <c r="M524" s="52" t="s">
        <v>29</v>
      </c>
      <c r="N524" s="53">
        <v>-11835.31</v>
      </c>
      <c r="O524" s="53">
        <v>-11835.31</v>
      </c>
      <c r="P524" s="52" t="s">
        <v>2074</v>
      </c>
      <c r="Q524" s="52" t="s">
        <v>2075</v>
      </c>
      <c r="R524" s="55" t="s">
        <v>64</v>
      </c>
      <c r="S524" s="52" t="s">
        <v>1880</v>
      </c>
    </row>
    <row r="525" spans="1:19" outlineLevel="2" x14ac:dyDescent="0.45">
      <c r="A525" t="s">
        <v>17</v>
      </c>
      <c r="B525" s="52" t="s">
        <v>66</v>
      </c>
      <c r="C525" s="52" t="s">
        <v>682</v>
      </c>
      <c r="D525" s="52" t="s">
        <v>683</v>
      </c>
      <c r="E525" s="52" t="s">
        <v>387</v>
      </c>
      <c r="F525" s="52" t="s">
        <v>2076</v>
      </c>
      <c r="G525" s="52" t="s">
        <v>60</v>
      </c>
      <c r="H525" s="54">
        <v>46113</v>
      </c>
      <c r="I525" s="52" t="s">
        <v>1836</v>
      </c>
      <c r="J525" s="52" t="s">
        <v>1870</v>
      </c>
      <c r="K525" s="52" t="s">
        <v>2077</v>
      </c>
      <c r="L525" s="52" t="s">
        <v>2077</v>
      </c>
      <c r="M525" s="52" t="s">
        <v>67</v>
      </c>
      <c r="N525" s="53">
        <v>-3115.2</v>
      </c>
      <c r="O525" s="53">
        <v>-10887.62</v>
      </c>
      <c r="P525" s="52" t="s">
        <v>2078</v>
      </c>
      <c r="Q525" s="52" t="s">
        <v>2079</v>
      </c>
      <c r="R525" s="55" t="s">
        <v>64</v>
      </c>
      <c r="S525" s="52" t="s">
        <v>1870</v>
      </c>
    </row>
    <row r="526" spans="1:19" hidden="1" outlineLevel="2" x14ac:dyDescent="0.45">
      <c r="A526" t="s">
        <v>17</v>
      </c>
      <c r="B526" s="52" t="s">
        <v>57</v>
      </c>
      <c r="C526" s="52" t="s">
        <v>376</v>
      </c>
      <c r="D526" s="52" t="s">
        <v>377</v>
      </c>
      <c r="E526" s="52" t="s">
        <v>387</v>
      </c>
      <c r="F526" s="52" t="s">
        <v>2080</v>
      </c>
      <c r="G526" s="52" t="s">
        <v>60</v>
      </c>
      <c r="H526" s="54">
        <v>46113</v>
      </c>
      <c r="I526" s="52" t="s">
        <v>1836</v>
      </c>
      <c r="J526" s="52" t="s">
        <v>2081</v>
      </c>
      <c r="K526" s="52" t="s">
        <v>2082</v>
      </c>
      <c r="L526" s="52" t="s">
        <v>2082</v>
      </c>
      <c r="M526" s="52" t="s">
        <v>29</v>
      </c>
      <c r="N526" s="53">
        <v>-10000</v>
      </c>
      <c r="O526" s="53">
        <v>-10000</v>
      </c>
      <c r="P526" s="52" t="s">
        <v>2083</v>
      </c>
      <c r="Q526" s="52" t="s">
        <v>2084</v>
      </c>
      <c r="R526" s="55" t="s">
        <v>64</v>
      </c>
      <c r="S526" s="52" t="s">
        <v>2081</v>
      </c>
    </row>
    <row r="527" spans="1:19" outlineLevel="2" x14ac:dyDescent="0.45">
      <c r="A527" t="s">
        <v>17</v>
      </c>
      <c r="B527" s="52" t="s">
        <v>57</v>
      </c>
      <c r="C527" s="52" t="s">
        <v>697</v>
      </c>
      <c r="D527" s="52" t="s">
        <v>698</v>
      </c>
      <c r="E527" s="52" t="s">
        <v>387</v>
      </c>
      <c r="F527" s="52" t="s">
        <v>2085</v>
      </c>
      <c r="G527" s="52" t="s">
        <v>60</v>
      </c>
      <c r="H527" s="54">
        <v>46113</v>
      </c>
      <c r="I527" s="52" t="s">
        <v>1836</v>
      </c>
      <c r="J527" s="52" t="s">
        <v>1908</v>
      </c>
      <c r="K527" s="52" t="s">
        <v>2086</v>
      </c>
      <c r="L527" s="52" t="s">
        <v>2087</v>
      </c>
      <c r="M527" s="52" t="s">
        <v>29</v>
      </c>
      <c r="N527" s="53">
        <v>-9957.86</v>
      </c>
      <c r="O527" s="53">
        <v>-9957.86</v>
      </c>
      <c r="P527" s="52" t="s">
        <v>702</v>
      </c>
      <c r="Q527" s="52" t="s">
        <v>2088</v>
      </c>
      <c r="R527" s="55" t="s">
        <v>64</v>
      </c>
      <c r="S527" s="52" t="s">
        <v>1908</v>
      </c>
    </row>
    <row r="528" spans="1:19" hidden="1" outlineLevel="2" x14ac:dyDescent="0.45">
      <c r="A528" t="s">
        <v>17</v>
      </c>
      <c r="B528" s="52" t="s">
        <v>57</v>
      </c>
      <c r="C528" s="52" t="s">
        <v>376</v>
      </c>
      <c r="D528" s="52" t="s">
        <v>377</v>
      </c>
      <c r="E528" s="52" t="s">
        <v>387</v>
      </c>
      <c r="F528" s="52" t="s">
        <v>2089</v>
      </c>
      <c r="G528" s="52" t="s">
        <v>60</v>
      </c>
      <c r="H528" s="54">
        <v>46113</v>
      </c>
      <c r="I528" s="52" t="s">
        <v>1836</v>
      </c>
      <c r="J528" s="52" t="s">
        <v>1988</v>
      </c>
      <c r="K528" s="52" t="s">
        <v>2090</v>
      </c>
      <c r="L528" s="52" t="s">
        <v>2090</v>
      </c>
      <c r="M528" s="52" t="s">
        <v>29</v>
      </c>
      <c r="N528" s="53">
        <v>-8964.09</v>
      </c>
      <c r="O528" s="53">
        <v>-8964.09</v>
      </c>
      <c r="P528" s="52" t="s">
        <v>2091</v>
      </c>
      <c r="Q528" s="52" t="s">
        <v>2092</v>
      </c>
      <c r="R528" s="55" t="s">
        <v>64</v>
      </c>
      <c r="S528" s="52" t="s">
        <v>1988</v>
      </c>
    </row>
    <row r="529" spans="1:19" outlineLevel="2" x14ac:dyDescent="0.45">
      <c r="A529" t="s">
        <v>17</v>
      </c>
      <c r="B529" s="52" t="s">
        <v>57</v>
      </c>
      <c r="C529" s="52" t="s">
        <v>707</v>
      </c>
      <c r="D529" s="52" t="s">
        <v>708</v>
      </c>
      <c r="E529" s="52" t="s">
        <v>387</v>
      </c>
      <c r="F529" s="52" t="s">
        <v>2093</v>
      </c>
      <c r="G529" s="52" t="s">
        <v>60</v>
      </c>
      <c r="H529" s="54">
        <v>46113</v>
      </c>
      <c r="I529" s="52" t="s">
        <v>1836</v>
      </c>
      <c r="J529" s="52" t="s">
        <v>1908</v>
      </c>
      <c r="K529" s="52" t="s">
        <v>2094</v>
      </c>
      <c r="L529" s="52" t="s">
        <v>2095</v>
      </c>
      <c r="M529" s="52" t="s">
        <v>29</v>
      </c>
      <c r="N529" s="53">
        <v>-7653.54</v>
      </c>
      <c r="O529" s="53">
        <v>-7653.54</v>
      </c>
      <c r="P529" s="52" t="s">
        <v>712</v>
      </c>
      <c r="Q529" s="52" t="s">
        <v>2096</v>
      </c>
      <c r="R529" s="55" t="s">
        <v>64</v>
      </c>
      <c r="S529" s="52" t="s">
        <v>1908</v>
      </c>
    </row>
    <row r="530" spans="1:19" outlineLevel="2" x14ac:dyDescent="0.45">
      <c r="A530" t="s">
        <v>17</v>
      </c>
      <c r="B530" s="52" t="s">
        <v>57</v>
      </c>
      <c r="C530" s="52"/>
      <c r="D530" s="52" t="s">
        <v>1276</v>
      </c>
      <c r="E530" s="52" t="s">
        <v>387</v>
      </c>
      <c r="F530" s="52" t="s">
        <v>2097</v>
      </c>
      <c r="G530" s="52" t="s">
        <v>60</v>
      </c>
      <c r="H530" s="54">
        <v>46113</v>
      </c>
      <c r="I530" s="52" t="s">
        <v>1836</v>
      </c>
      <c r="J530" s="52" t="s">
        <v>1891</v>
      </c>
      <c r="K530" s="52"/>
      <c r="L530" s="52"/>
      <c r="M530" s="52" t="s">
        <v>29</v>
      </c>
      <c r="N530" s="53">
        <v>-7048</v>
      </c>
      <c r="O530" s="53">
        <v>-7048</v>
      </c>
      <c r="P530" s="52" t="s">
        <v>2098</v>
      </c>
      <c r="Q530" s="52" t="s">
        <v>2098</v>
      </c>
      <c r="R530" s="55" t="s">
        <v>64</v>
      </c>
      <c r="S530" s="52" t="s">
        <v>1891</v>
      </c>
    </row>
    <row r="531" spans="1:19" outlineLevel="2" x14ac:dyDescent="0.45">
      <c r="A531" t="s">
        <v>17</v>
      </c>
      <c r="B531" s="52" t="s">
        <v>57</v>
      </c>
      <c r="C531" s="52" t="s">
        <v>2099</v>
      </c>
      <c r="D531" s="52" t="s">
        <v>2100</v>
      </c>
      <c r="E531" s="52" t="s">
        <v>387</v>
      </c>
      <c r="F531" s="52" t="s">
        <v>2101</v>
      </c>
      <c r="G531" s="52" t="s">
        <v>60</v>
      </c>
      <c r="H531" s="54">
        <v>46113</v>
      </c>
      <c r="I531" s="52" t="s">
        <v>1836</v>
      </c>
      <c r="J531" s="52" t="s">
        <v>1886</v>
      </c>
      <c r="K531" s="52" t="s">
        <v>2102</v>
      </c>
      <c r="L531" s="52" t="s">
        <v>2102</v>
      </c>
      <c r="M531" s="52" t="s">
        <v>29</v>
      </c>
      <c r="N531" s="53">
        <v>-6750</v>
      </c>
      <c r="O531" s="53">
        <v>-6750</v>
      </c>
      <c r="P531" s="52" t="s">
        <v>2103</v>
      </c>
      <c r="Q531" s="52" t="s">
        <v>2104</v>
      </c>
      <c r="R531" s="55" t="s">
        <v>64</v>
      </c>
      <c r="S531" s="52" t="s">
        <v>1886</v>
      </c>
    </row>
    <row r="532" spans="1:19" outlineLevel="2" x14ac:dyDescent="0.45">
      <c r="A532" t="s">
        <v>17</v>
      </c>
      <c r="B532" s="52" t="s">
        <v>66</v>
      </c>
      <c r="C532" s="52"/>
      <c r="D532" s="52" t="s">
        <v>1276</v>
      </c>
      <c r="E532" s="52" t="s">
        <v>387</v>
      </c>
      <c r="F532" s="52" t="s">
        <v>2105</v>
      </c>
      <c r="G532" s="52" t="s">
        <v>60</v>
      </c>
      <c r="H532" s="54">
        <v>46113</v>
      </c>
      <c r="I532" s="52" t="s">
        <v>1836</v>
      </c>
      <c r="J532" s="52" t="s">
        <v>1975</v>
      </c>
      <c r="K532" s="52"/>
      <c r="L532" s="52"/>
      <c r="M532" s="52" t="s">
        <v>67</v>
      </c>
      <c r="N532" s="53">
        <v>-1821.04</v>
      </c>
      <c r="O532" s="53">
        <v>-6153.29</v>
      </c>
      <c r="P532" s="52" t="s">
        <v>2106</v>
      </c>
      <c r="Q532" s="52" t="s">
        <v>2106</v>
      </c>
      <c r="R532" s="55" t="s">
        <v>64</v>
      </c>
      <c r="S532" s="52" t="s">
        <v>1975</v>
      </c>
    </row>
    <row r="533" spans="1:19" outlineLevel="2" x14ac:dyDescent="0.45">
      <c r="A533" t="s">
        <v>17</v>
      </c>
      <c r="B533" s="52" t="s">
        <v>57</v>
      </c>
      <c r="C533" s="52" t="s">
        <v>2099</v>
      </c>
      <c r="D533" s="52" t="s">
        <v>2100</v>
      </c>
      <c r="E533" s="52" t="s">
        <v>387</v>
      </c>
      <c r="F533" s="52" t="s">
        <v>2107</v>
      </c>
      <c r="G533" s="52" t="s">
        <v>60</v>
      </c>
      <c r="H533" s="54">
        <v>46113</v>
      </c>
      <c r="I533" s="52" t="s">
        <v>1836</v>
      </c>
      <c r="J533" s="52" t="s">
        <v>1880</v>
      </c>
      <c r="K533" s="52" t="s">
        <v>2108</v>
      </c>
      <c r="L533" s="52" t="s">
        <v>2108</v>
      </c>
      <c r="M533" s="52" t="s">
        <v>29</v>
      </c>
      <c r="N533" s="53">
        <v>-5940</v>
      </c>
      <c r="O533" s="53">
        <v>-5940</v>
      </c>
      <c r="P533" s="52" t="s">
        <v>2109</v>
      </c>
      <c r="Q533" s="52" t="s">
        <v>2110</v>
      </c>
      <c r="R533" s="55" t="s">
        <v>64</v>
      </c>
      <c r="S533" s="52" t="s">
        <v>1880</v>
      </c>
    </row>
    <row r="534" spans="1:19" outlineLevel="2" x14ac:dyDescent="0.45">
      <c r="A534" t="s">
        <v>17</v>
      </c>
      <c r="B534" s="52" t="s">
        <v>57</v>
      </c>
      <c r="C534" s="52"/>
      <c r="D534" s="52" t="s">
        <v>1575</v>
      </c>
      <c r="E534" s="52" t="s">
        <v>387</v>
      </c>
      <c r="F534" s="52" t="s">
        <v>2111</v>
      </c>
      <c r="G534" s="52" t="s">
        <v>60</v>
      </c>
      <c r="H534" s="54">
        <v>46113</v>
      </c>
      <c r="I534" s="52" t="s">
        <v>1836</v>
      </c>
      <c r="J534" s="52" t="s">
        <v>1886</v>
      </c>
      <c r="K534" s="52"/>
      <c r="L534" s="52"/>
      <c r="M534" s="52" t="s">
        <v>29</v>
      </c>
      <c r="N534" s="53">
        <v>-4999</v>
      </c>
      <c r="O534" s="53">
        <v>-4999</v>
      </c>
      <c r="P534" s="52" t="s">
        <v>2112</v>
      </c>
      <c r="Q534" s="52" t="s">
        <v>2112</v>
      </c>
      <c r="R534" s="55" t="s">
        <v>64</v>
      </c>
      <c r="S534" s="52" t="s">
        <v>1886</v>
      </c>
    </row>
    <row r="535" spans="1:19" outlineLevel="2" x14ac:dyDescent="0.45">
      <c r="A535" t="s">
        <v>17</v>
      </c>
      <c r="B535" s="52" t="s">
        <v>57</v>
      </c>
      <c r="C535" s="52" t="s">
        <v>734</v>
      </c>
      <c r="D535" s="52" t="s">
        <v>735</v>
      </c>
      <c r="E535" s="52" t="s">
        <v>387</v>
      </c>
      <c r="F535" s="52" t="s">
        <v>2113</v>
      </c>
      <c r="G535" s="52" t="s">
        <v>60</v>
      </c>
      <c r="H535" s="54">
        <v>46113</v>
      </c>
      <c r="I535" s="52" t="s">
        <v>1836</v>
      </c>
      <c r="J535" s="52" t="s">
        <v>1908</v>
      </c>
      <c r="K535" s="52" t="s">
        <v>2114</v>
      </c>
      <c r="L535" s="52" t="s">
        <v>2115</v>
      </c>
      <c r="M535" s="52" t="s">
        <v>29</v>
      </c>
      <c r="N535" s="53">
        <v>-4670.9399999999996</v>
      </c>
      <c r="O535" s="53">
        <v>-4670.9399999999996</v>
      </c>
      <c r="P535" s="52" t="s">
        <v>739</v>
      </c>
      <c r="Q535" s="52" t="s">
        <v>2116</v>
      </c>
      <c r="R535" s="55" t="s">
        <v>64</v>
      </c>
      <c r="S535" s="52" t="s">
        <v>1908</v>
      </c>
    </row>
    <row r="536" spans="1:19" hidden="1" outlineLevel="2" x14ac:dyDescent="0.45">
      <c r="A536" t="s">
        <v>17</v>
      </c>
      <c r="B536" s="52" t="s">
        <v>57</v>
      </c>
      <c r="C536" s="52" t="s">
        <v>376</v>
      </c>
      <c r="D536" s="52" t="s">
        <v>377</v>
      </c>
      <c r="E536" s="52" t="s">
        <v>387</v>
      </c>
      <c r="F536" s="52" t="s">
        <v>2117</v>
      </c>
      <c r="G536" s="52" t="s">
        <v>60</v>
      </c>
      <c r="H536" s="54">
        <v>46113</v>
      </c>
      <c r="I536" s="52" t="s">
        <v>1836</v>
      </c>
      <c r="J536" s="52" t="s">
        <v>2001</v>
      </c>
      <c r="K536" s="52" t="s">
        <v>2118</v>
      </c>
      <c r="L536" s="52" t="s">
        <v>2118</v>
      </c>
      <c r="M536" s="52" t="s">
        <v>29</v>
      </c>
      <c r="N536" s="53">
        <v>-4345.7299999999996</v>
      </c>
      <c r="O536" s="53">
        <v>-4345.7299999999996</v>
      </c>
      <c r="P536" s="52" t="s">
        <v>2119</v>
      </c>
      <c r="Q536" s="52" t="s">
        <v>2120</v>
      </c>
      <c r="R536" s="55" t="s">
        <v>64</v>
      </c>
      <c r="S536" s="52" t="s">
        <v>2001</v>
      </c>
    </row>
    <row r="537" spans="1:19" outlineLevel="2" x14ac:dyDescent="0.45">
      <c r="A537" t="s">
        <v>17</v>
      </c>
      <c r="B537" s="52" t="s">
        <v>57</v>
      </c>
      <c r="C537" s="52" t="s">
        <v>758</v>
      </c>
      <c r="D537" s="52" t="s">
        <v>759</v>
      </c>
      <c r="E537" s="52" t="s">
        <v>387</v>
      </c>
      <c r="F537" s="52" t="s">
        <v>2121</v>
      </c>
      <c r="G537" s="52" t="s">
        <v>60</v>
      </c>
      <c r="H537" s="54">
        <v>46113</v>
      </c>
      <c r="I537" s="52" t="s">
        <v>1836</v>
      </c>
      <c r="J537" s="52" t="s">
        <v>1941</v>
      </c>
      <c r="K537" s="52" t="s">
        <v>2122</v>
      </c>
      <c r="L537" s="52" t="s">
        <v>2122</v>
      </c>
      <c r="M537" s="52" t="s">
        <v>29</v>
      </c>
      <c r="N537" s="53">
        <v>-4325.3999999999996</v>
      </c>
      <c r="O537" s="53">
        <v>-4325.3999999999996</v>
      </c>
      <c r="P537" s="52" t="s">
        <v>1499</v>
      </c>
      <c r="Q537" s="52" t="s">
        <v>2123</v>
      </c>
      <c r="R537" s="55" t="s">
        <v>64</v>
      </c>
      <c r="S537" s="52" t="s">
        <v>1941</v>
      </c>
    </row>
    <row r="538" spans="1:19" hidden="1" outlineLevel="2" x14ac:dyDescent="0.45">
      <c r="A538" t="s">
        <v>17</v>
      </c>
      <c r="B538" s="52" t="s">
        <v>57</v>
      </c>
      <c r="C538" s="52" t="s">
        <v>376</v>
      </c>
      <c r="D538" s="52" t="s">
        <v>377</v>
      </c>
      <c r="E538" s="52" t="s">
        <v>387</v>
      </c>
      <c r="F538" s="52" t="s">
        <v>2124</v>
      </c>
      <c r="G538" s="52" t="s">
        <v>60</v>
      </c>
      <c r="H538" s="54">
        <v>46113</v>
      </c>
      <c r="I538" s="52" t="s">
        <v>1836</v>
      </c>
      <c r="J538" s="52" t="s">
        <v>1870</v>
      </c>
      <c r="K538" s="52" t="s">
        <v>2125</v>
      </c>
      <c r="L538" s="52" t="s">
        <v>2125</v>
      </c>
      <c r="M538" s="52" t="s">
        <v>29</v>
      </c>
      <c r="N538" s="53">
        <v>-4012</v>
      </c>
      <c r="O538" s="53">
        <v>-4012</v>
      </c>
      <c r="P538" s="52" t="s">
        <v>2126</v>
      </c>
      <c r="Q538" s="52" t="s">
        <v>2127</v>
      </c>
      <c r="R538" s="55" t="s">
        <v>64</v>
      </c>
      <c r="S538" s="52" t="s">
        <v>1870</v>
      </c>
    </row>
    <row r="539" spans="1:19" hidden="1" outlineLevel="2" x14ac:dyDescent="0.45">
      <c r="A539" t="s">
        <v>17</v>
      </c>
      <c r="B539" s="52" t="s">
        <v>57</v>
      </c>
      <c r="C539" s="52" t="s">
        <v>376</v>
      </c>
      <c r="D539" s="52" t="s">
        <v>377</v>
      </c>
      <c r="E539" s="52" t="s">
        <v>387</v>
      </c>
      <c r="F539" s="52" t="s">
        <v>2128</v>
      </c>
      <c r="G539" s="52" t="s">
        <v>60</v>
      </c>
      <c r="H539" s="54">
        <v>46113</v>
      </c>
      <c r="I539" s="52" t="s">
        <v>1836</v>
      </c>
      <c r="J539" s="52" t="s">
        <v>1988</v>
      </c>
      <c r="K539" s="52" t="s">
        <v>2129</v>
      </c>
      <c r="L539" s="52" t="s">
        <v>2129</v>
      </c>
      <c r="M539" s="52" t="s">
        <v>29</v>
      </c>
      <c r="N539" s="53">
        <v>-4000</v>
      </c>
      <c r="O539" s="53">
        <v>-4000</v>
      </c>
      <c r="P539" s="52" t="s">
        <v>2130</v>
      </c>
      <c r="Q539" s="52" t="s">
        <v>2131</v>
      </c>
      <c r="R539" s="55" t="s">
        <v>64</v>
      </c>
      <c r="S539" s="52" t="s">
        <v>1988</v>
      </c>
    </row>
    <row r="540" spans="1:19" outlineLevel="2" x14ac:dyDescent="0.45">
      <c r="A540" t="s">
        <v>17</v>
      </c>
      <c r="B540" s="52" t="s">
        <v>57</v>
      </c>
      <c r="C540" s="52" t="s">
        <v>1365</v>
      </c>
      <c r="D540" s="52" t="s">
        <v>1366</v>
      </c>
      <c r="E540" s="52" t="s">
        <v>387</v>
      </c>
      <c r="F540" s="52" t="s">
        <v>1790</v>
      </c>
      <c r="G540" s="52" t="s">
        <v>60</v>
      </c>
      <c r="H540" s="54">
        <v>46113</v>
      </c>
      <c r="I540" s="52" t="s">
        <v>1836</v>
      </c>
      <c r="J540" s="52" t="s">
        <v>1988</v>
      </c>
      <c r="K540" s="52" t="s">
        <v>1369</v>
      </c>
      <c r="L540" s="52" t="s">
        <v>1369</v>
      </c>
      <c r="M540" s="52" t="s">
        <v>29</v>
      </c>
      <c r="N540" s="53">
        <v>-3648</v>
      </c>
      <c r="O540" s="53">
        <v>-3648</v>
      </c>
      <c r="P540" s="52" t="s">
        <v>1370</v>
      </c>
      <c r="Q540" s="52" t="s">
        <v>2132</v>
      </c>
      <c r="R540" s="55" t="s">
        <v>64</v>
      </c>
      <c r="S540" s="52" t="s">
        <v>1988</v>
      </c>
    </row>
    <row r="541" spans="1:19" outlineLevel="2" x14ac:dyDescent="0.45">
      <c r="A541" t="s">
        <v>17</v>
      </c>
      <c r="B541" s="52" t="s">
        <v>57</v>
      </c>
      <c r="C541" s="52"/>
      <c r="D541" s="52" t="s">
        <v>1575</v>
      </c>
      <c r="E541" s="52" t="s">
        <v>387</v>
      </c>
      <c r="F541" s="52" t="s">
        <v>2133</v>
      </c>
      <c r="G541" s="52" t="s">
        <v>60</v>
      </c>
      <c r="H541" s="54">
        <v>46113</v>
      </c>
      <c r="I541" s="52" t="s">
        <v>1836</v>
      </c>
      <c r="J541" s="52" t="s">
        <v>1891</v>
      </c>
      <c r="K541" s="52"/>
      <c r="L541" s="52"/>
      <c r="M541" s="52" t="s">
        <v>29</v>
      </c>
      <c r="N541" s="53">
        <v>-3478.84</v>
      </c>
      <c r="O541" s="53">
        <v>-3478.84</v>
      </c>
      <c r="P541" s="52" t="s">
        <v>2134</v>
      </c>
      <c r="Q541" s="52" t="s">
        <v>2134</v>
      </c>
      <c r="R541" s="55" t="s">
        <v>64</v>
      </c>
      <c r="S541" s="52" t="s">
        <v>1891</v>
      </c>
    </row>
    <row r="542" spans="1:19" outlineLevel="2" x14ac:dyDescent="0.45">
      <c r="A542" t="s">
        <v>17</v>
      </c>
      <c r="B542" s="52" t="s">
        <v>57</v>
      </c>
      <c r="C542" s="52" t="s">
        <v>774</v>
      </c>
      <c r="D542" s="52" t="s">
        <v>775</v>
      </c>
      <c r="E542" s="52" t="s">
        <v>387</v>
      </c>
      <c r="F542" s="52" t="s">
        <v>2135</v>
      </c>
      <c r="G542" s="52" t="s">
        <v>60</v>
      </c>
      <c r="H542" s="54">
        <v>46113</v>
      </c>
      <c r="I542" s="52" t="s">
        <v>1836</v>
      </c>
      <c r="J542" s="52" t="s">
        <v>1886</v>
      </c>
      <c r="K542" s="52" t="s">
        <v>777</v>
      </c>
      <c r="L542" s="52" t="s">
        <v>777</v>
      </c>
      <c r="M542" s="52" t="s">
        <v>29</v>
      </c>
      <c r="N542" s="53">
        <v>-3396.53</v>
      </c>
      <c r="O542" s="53">
        <v>-3396.53</v>
      </c>
      <c r="P542" s="52" t="s">
        <v>778</v>
      </c>
      <c r="Q542" s="52" t="s">
        <v>2136</v>
      </c>
      <c r="R542" s="55" t="s">
        <v>64</v>
      </c>
      <c r="S542" s="52" t="s">
        <v>1886</v>
      </c>
    </row>
    <row r="543" spans="1:19" outlineLevel="2" x14ac:dyDescent="0.45">
      <c r="A543" t="s">
        <v>17</v>
      </c>
      <c r="B543" s="52" t="s">
        <v>57</v>
      </c>
      <c r="C543" s="52" t="s">
        <v>774</v>
      </c>
      <c r="D543" s="52" t="s">
        <v>775</v>
      </c>
      <c r="E543" s="52" t="s">
        <v>387</v>
      </c>
      <c r="F543" s="52" t="s">
        <v>2137</v>
      </c>
      <c r="G543" s="52" t="s">
        <v>60</v>
      </c>
      <c r="H543" s="54">
        <v>46113</v>
      </c>
      <c r="I543" s="52" t="s">
        <v>1836</v>
      </c>
      <c r="J543" s="52" t="s">
        <v>1988</v>
      </c>
      <c r="K543" s="52" t="s">
        <v>777</v>
      </c>
      <c r="L543" s="52" t="s">
        <v>777</v>
      </c>
      <c r="M543" s="52" t="s">
        <v>29</v>
      </c>
      <c r="N543" s="53">
        <v>-3000</v>
      </c>
      <c r="O543" s="53">
        <v>-3000</v>
      </c>
      <c r="P543" s="52" t="s">
        <v>778</v>
      </c>
      <c r="Q543" s="52" t="s">
        <v>2138</v>
      </c>
      <c r="R543" s="55" t="s">
        <v>64</v>
      </c>
      <c r="S543" s="52" t="s">
        <v>1988</v>
      </c>
    </row>
    <row r="544" spans="1:19" outlineLevel="2" x14ac:dyDescent="0.45">
      <c r="A544" t="s">
        <v>17</v>
      </c>
      <c r="B544" s="52" t="s">
        <v>57</v>
      </c>
      <c r="C544" s="52" t="s">
        <v>747</v>
      </c>
      <c r="D544" s="52" t="s">
        <v>748</v>
      </c>
      <c r="E544" s="52" t="s">
        <v>387</v>
      </c>
      <c r="F544" s="52" t="s">
        <v>2139</v>
      </c>
      <c r="G544" s="52" t="s">
        <v>60</v>
      </c>
      <c r="H544" s="54">
        <v>46113</v>
      </c>
      <c r="I544" s="52" t="s">
        <v>1836</v>
      </c>
      <c r="J544" s="52" t="s">
        <v>1941</v>
      </c>
      <c r="K544" s="52" t="s">
        <v>2140</v>
      </c>
      <c r="L544" s="52" t="s">
        <v>2140</v>
      </c>
      <c r="M544" s="52" t="s">
        <v>29</v>
      </c>
      <c r="N544" s="53">
        <v>-2883.57</v>
      </c>
      <c r="O544" s="53">
        <v>-2883.57</v>
      </c>
      <c r="P544" s="52" t="s">
        <v>2141</v>
      </c>
      <c r="Q544" s="52" t="s">
        <v>2142</v>
      </c>
      <c r="R544" s="55" t="s">
        <v>64</v>
      </c>
      <c r="S544" s="52" t="s">
        <v>1941</v>
      </c>
    </row>
    <row r="545" spans="1:19" hidden="1" outlineLevel="2" x14ac:dyDescent="0.45">
      <c r="A545" t="s">
        <v>17</v>
      </c>
      <c r="B545" s="52" t="s">
        <v>57</v>
      </c>
      <c r="C545" s="52" t="s">
        <v>376</v>
      </c>
      <c r="D545" s="52" t="s">
        <v>377</v>
      </c>
      <c r="E545" s="52" t="s">
        <v>387</v>
      </c>
      <c r="F545" s="52" t="s">
        <v>2143</v>
      </c>
      <c r="G545" s="52" t="s">
        <v>60</v>
      </c>
      <c r="H545" s="54">
        <v>46113</v>
      </c>
      <c r="I545" s="52" t="s">
        <v>1836</v>
      </c>
      <c r="J545" s="52" t="s">
        <v>1908</v>
      </c>
      <c r="K545" s="52" t="s">
        <v>2144</v>
      </c>
      <c r="L545" s="52" t="s">
        <v>2144</v>
      </c>
      <c r="M545" s="52" t="s">
        <v>29</v>
      </c>
      <c r="N545" s="53">
        <v>-2500</v>
      </c>
      <c r="O545" s="53">
        <v>-2500</v>
      </c>
      <c r="P545" s="52" t="s">
        <v>2145</v>
      </c>
      <c r="Q545" s="52" t="s">
        <v>2146</v>
      </c>
      <c r="R545" s="55" t="s">
        <v>64</v>
      </c>
      <c r="S545" s="52" t="s">
        <v>1908</v>
      </c>
    </row>
    <row r="546" spans="1:19" outlineLevel="2" x14ac:dyDescent="0.45">
      <c r="A546" t="s">
        <v>17</v>
      </c>
      <c r="B546" s="52" t="s">
        <v>57</v>
      </c>
      <c r="C546" s="52" t="s">
        <v>747</v>
      </c>
      <c r="D546" s="52" t="s">
        <v>748</v>
      </c>
      <c r="E546" s="52" t="s">
        <v>387</v>
      </c>
      <c r="F546" s="52" t="s">
        <v>2147</v>
      </c>
      <c r="G546" s="52" t="s">
        <v>60</v>
      </c>
      <c r="H546" s="54">
        <v>46113</v>
      </c>
      <c r="I546" s="52" t="s">
        <v>1836</v>
      </c>
      <c r="J546" s="52" t="s">
        <v>1941</v>
      </c>
      <c r="K546" s="52" t="s">
        <v>2148</v>
      </c>
      <c r="L546" s="52" t="s">
        <v>2148</v>
      </c>
      <c r="M546" s="52" t="s">
        <v>29</v>
      </c>
      <c r="N546" s="53">
        <v>-2476.46</v>
      </c>
      <c r="O546" s="53">
        <v>-2476.46</v>
      </c>
      <c r="P546" s="52" t="s">
        <v>2149</v>
      </c>
      <c r="Q546" s="52" t="s">
        <v>2142</v>
      </c>
      <c r="R546" s="55" t="s">
        <v>64</v>
      </c>
      <c r="S546" s="52" t="s">
        <v>1941</v>
      </c>
    </row>
    <row r="547" spans="1:19" outlineLevel="2" x14ac:dyDescent="0.45">
      <c r="A547" t="s">
        <v>17</v>
      </c>
      <c r="B547" s="52" t="s">
        <v>57</v>
      </c>
      <c r="C547" s="52" t="s">
        <v>758</v>
      </c>
      <c r="D547" s="52" t="s">
        <v>759</v>
      </c>
      <c r="E547" s="52" t="s">
        <v>387</v>
      </c>
      <c r="F547" s="52" t="s">
        <v>2150</v>
      </c>
      <c r="G547" s="52" t="s">
        <v>60</v>
      </c>
      <c r="H547" s="54">
        <v>46113</v>
      </c>
      <c r="I547" s="52" t="s">
        <v>1836</v>
      </c>
      <c r="J547" s="52" t="s">
        <v>1941</v>
      </c>
      <c r="K547" s="52" t="s">
        <v>2151</v>
      </c>
      <c r="L547" s="52" t="s">
        <v>2151</v>
      </c>
      <c r="M547" s="52" t="s">
        <v>29</v>
      </c>
      <c r="N547" s="53">
        <v>-2343.4</v>
      </c>
      <c r="O547" s="53">
        <v>-2343.4</v>
      </c>
      <c r="P547" s="52" t="s">
        <v>2152</v>
      </c>
      <c r="Q547" s="52" t="s">
        <v>2153</v>
      </c>
      <c r="R547" s="55" t="s">
        <v>64</v>
      </c>
      <c r="S547" s="52" t="s">
        <v>1941</v>
      </c>
    </row>
    <row r="548" spans="1:19" outlineLevel="2" x14ac:dyDescent="0.45">
      <c r="A548" t="s">
        <v>17</v>
      </c>
      <c r="B548" s="52" t="s">
        <v>57</v>
      </c>
      <c r="C548" s="52" t="s">
        <v>774</v>
      </c>
      <c r="D548" s="52" t="s">
        <v>775</v>
      </c>
      <c r="E548" s="52" t="s">
        <v>387</v>
      </c>
      <c r="F548" s="52" t="s">
        <v>2154</v>
      </c>
      <c r="G548" s="52" t="s">
        <v>60</v>
      </c>
      <c r="H548" s="54">
        <v>46113</v>
      </c>
      <c r="I548" s="52" t="s">
        <v>1836</v>
      </c>
      <c r="J548" s="52" t="s">
        <v>1891</v>
      </c>
      <c r="K548" s="52" t="s">
        <v>777</v>
      </c>
      <c r="L548" s="52" t="s">
        <v>777</v>
      </c>
      <c r="M548" s="52" t="s">
        <v>29</v>
      </c>
      <c r="N548" s="53">
        <v>-2233.4</v>
      </c>
      <c r="O548" s="53">
        <v>-2233.4</v>
      </c>
      <c r="P548" s="52" t="s">
        <v>778</v>
      </c>
      <c r="Q548" s="52" t="s">
        <v>2155</v>
      </c>
      <c r="R548" s="55" t="s">
        <v>64</v>
      </c>
      <c r="S548" s="52" t="s">
        <v>1891</v>
      </c>
    </row>
    <row r="549" spans="1:19" hidden="1" outlineLevel="2" x14ac:dyDescent="0.45">
      <c r="A549" t="s">
        <v>17</v>
      </c>
      <c r="B549" s="52" t="s">
        <v>57</v>
      </c>
      <c r="C549" s="52" t="s">
        <v>376</v>
      </c>
      <c r="D549" s="52" t="s">
        <v>377</v>
      </c>
      <c r="E549" s="52" t="s">
        <v>387</v>
      </c>
      <c r="F549" s="52" t="s">
        <v>2156</v>
      </c>
      <c r="G549" s="52" t="s">
        <v>60</v>
      </c>
      <c r="H549" s="54">
        <v>46113</v>
      </c>
      <c r="I549" s="52" t="s">
        <v>1836</v>
      </c>
      <c r="J549" s="52" t="s">
        <v>1865</v>
      </c>
      <c r="K549" s="52" t="s">
        <v>2157</v>
      </c>
      <c r="L549" s="52" t="s">
        <v>2157</v>
      </c>
      <c r="M549" s="52" t="s">
        <v>29</v>
      </c>
      <c r="N549" s="53">
        <v>-2065</v>
      </c>
      <c r="O549" s="53">
        <v>-2065</v>
      </c>
      <c r="P549" s="52" t="s">
        <v>2158</v>
      </c>
      <c r="Q549" s="52" t="s">
        <v>2159</v>
      </c>
      <c r="R549" s="55" t="s">
        <v>64</v>
      </c>
      <c r="S549" s="52" t="s">
        <v>1865</v>
      </c>
    </row>
    <row r="550" spans="1:19" hidden="1" outlineLevel="2" x14ac:dyDescent="0.45">
      <c r="A550" t="s">
        <v>17</v>
      </c>
      <c r="B550" s="52" t="s">
        <v>57</v>
      </c>
      <c r="C550" s="52" t="s">
        <v>376</v>
      </c>
      <c r="D550" s="52" t="s">
        <v>377</v>
      </c>
      <c r="E550" s="52" t="s">
        <v>387</v>
      </c>
      <c r="F550" s="52" t="s">
        <v>2160</v>
      </c>
      <c r="G550" s="52" t="s">
        <v>60</v>
      </c>
      <c r="H550" s="54">
        <v>46113</v>
      </c>
      <c r="I550" s="52" t="s">
        <v>1836</v>
      </c>
      <c r="J550" s="52" t="s">
        <v>1870</v>
      </c>
      <c r="K550" s="52" t="s">
        <v>2125</v>
      </c>
      <c r="L550" s="52" t="s">
        <v>2125</v>
      </c>
      <c r="M550" s="52" t="s">
        <v>29</v>
      </c>
      <c r="N550" s="53">
        <v>-2000</v>
      </c>
      <c r="O550" s="53">
        <v>-2000</v>
      </c>
      <c r="P550" s="52" t="s">
        <v>2126</v>
      </c>
      <c r="Q550" s="52" t="s">
        <v>2127</v>
      </c>
      <c r="R550" s="55" t="s">
        <v>64</v>
      </c>
      <c r="S550" s="52" t="s">
        <v>1870</v>
      </c>
    </row>
    <row r="551" spans="1:19" outlineLevel="2" x14ac:dyDescent="0.45">
      <c r="A551" t="s">
        <v>17</v>
      </c>
      <c r="B551" s="52" t="s">
        <v>66</v>
      </c>
      <c r="C551" s="52" t="s">
        <v>669</v>
      </c>
      <c r="D551" s="52" t="s">
        <v>670</v>
      </c>
      <c r="E551" s="52" t="s">
        <v>387</v>
      </c>
      <c r="F551" s="52" t="s">
        <v>2161</v>
      </c>
      <c r="G551" s="52" t="s">
        <v>60</v>
      </c>
      <c r="H551" s="54">
        <v>46113</v>
      </c>
      <c r="I551" s="52" t="s">
        <v>1836</v>
      </c>
      <c r="J551" s="52" t="s">
        <v>1880</v>
      </c>
      <c r="K551" s="52" t="s">
        <v>2162</v>
      </c>
      <c r="L551" s="52" t="s">
        <v>2162</v>
      </c>
      <c r="M551" s="52" t="s">
        <v>67</v>
      </c>
      <c r="N551" s="53">
        <v>-519.20000000000005</v>
      </c>
      <c r="O551" s="53">
        <v>-1832.26</v>
      </c>
      <c r="P551" s="52" t="s">
        <v>2163</v>
      </c>
      <c r="Q551" s="52" t="s">
        <v>2164</v>
      </c>
      <c r="R551" s="55" t="s">
        <v>64</v>
      </c>
      <c r="S551" s="52" t="s">
        <v>1880</v>
      </c>
    </row>
    <row r="552" spans="1:19" outlineLevel="2" x14ac:dyDescent="0.45">
      <c r="A552" t="s">
        <v>17</v>
      </c>
      <c r="B552" s="52" t="s">
        <v>57</v>
      </c>
      <c r="C552" s="52" t="s">
        <v>829</v>
      </c>
      <c r="D552" s="52" t="s">
        <v>830</v>
      </c>
      <c r="E552" s="52" t="s">
        <v>387</v>
      </c>
      <c r="F552" s="52" t="s">
        <v>2165</v>
      </c>
      <c r="G552" s="52" t="s">
        <v>60</v>
      </c>
      <c r="H552" s="54">
        <v>46113</v>
      </c>
      <c r="I552" s="52" t="s">
        <v>1836</v>
      </c>
      <c r="J552" s="52" t="s">
        <v>1908</v>
      </c>
      <c r="K552" s="52" t="s">
        <v>2166</v>
      </c>
      <c r="L552" s="52" t="s">
        <v>2167</v>
      </c>
      <c r="M552" s="52" t="s">
        <v>29</v>
      </c>
      <c r="N552" s="53">
        <v>-1808.4</v>
      </c>
      <c r="O552" s="53">
        <v>-1808.4</v>
      </c>
      <c r="P552" s="52" t="s">
        <v>834</v>
      </c>
      <c r="Q552" s="52" t="s">
        <v>2168</v>
      </c>
      <c r="R552" s="55" t="s">
        <v>64</v>
      </c>
      <c r="S552" s="52" t="s">
        <v>1908</v>
      </c>
    </row>
    <row r="553" spans="1:19" s="1" customFormat="1" hidden="1" outlineLevel="2" x14ac:dyDescent="0.45">
      <c r="A553" t="s">
        <v>17</v>
      </c>
      <c r="B553" s="52" t="s">
        <v>57</v>
      </c>
      <c r="C553" s="52" t="s">
        <v>376</v>
      </c>
      <c r="D553" s="52" t="s">
        <v>377</v>
      </c>
      <c r="E553" s="52" t="s">
        <v>387</v>
      </c>
      <c r="F553" s="52" t="s">
        <v>2169</v>
      </c>
      <c r="G553" s="52" t="s">
        <v>60</v>
      </c>
      <c r="H553" s="54">
        <v>46113</v>
      </c>
      <c r="I553" s="52" t="s">
        <v>1836</v>
      </c>
      <c r="J553" s="52" t="s">
        <v>1870</v>
      </c>
      <c r="K553" s="52" t="s">
        <v>2125</v>
      </c>
      <c r="L553" s="52" t="s">
        <v>2125</v>
      </c>
      <c r="M553" s="52" t="s">
        <v>29</v>
      </c>
      <c r="N553" s="53">
        <v>-1700</v>
      </c>
      <c r="O553" s="53">
        <v>-1700</v>
      </c>
      <c r="P553" s="52" t="s">
        <v>2126</v>
      </c>
      <c r="Q553" s="52" t="s">
        <v>2127</v>
      </c>
      <c r="R553" s="55" t="s">
        <v>64</v>
      </c>
      <c r="S553" s="52" t="s">
        <v>1870</v>
      </c>
    </row>
    <row r="554" spans="1:19" outlineLevel="2" x14ac:dyDescent="0.45">
      <c r="A554" t="s">
        <v>17</v>
      </c>
      <c r="B554" s="52" t="s">
        <v>57</v>
      </c>
      <c r="C554" s="52" t="s">
        <v>805</v>
      </c>
      <c r="D554" s="52" t="s">
        <v>806</v>
      </c>
      <c r="E554" s="52" t="s">
        <v>387</v>
      </c>
      <c r="F554" s="52" t="s">
        <v>2170</v>
      </c>
      <c r="G554" s="52" t="s">
        <v>60</v>
      </c>
      <c r="H554" s="54">
        <v>46113</v>
      </c>
      <c r="I554" s="52" t="s">
        <v>1836</v>
      </c>
      <c r="J554" s="52" t="s">
        <v>1941</v>
      </c>
      <c r="K554" s="52" t="s">
        <v>2171</v>
      </c>
      <c r="L554" s="52" t="s">
        <v>2171</v>
      </c>
      <c r="M554" s="52" t="s">
        <v>29</v>
      </c>
      <c r="N554" s="53">
        <v>-1652</v>
      </c>
      <c r="O554" s="53">
        <v>-1652</v>
      </c>
      <c r="P554" s="52" t="s">
        <v>2172</v>
      </c>
      <c r="Q554" s="52" t="s">
        <v>2173</v>
      </c>
      <c r="R554" s="55" t="s">
        <v>64</v>
      </c>
      <c r="S554" s="52" t="s">
        <v>1941</v>
      </c>
    </row>
    <row r="555" spans="1:19" outlineLevel="2" x14ac:dyDescent="0.45">
      <c r="A555" t="s">
        <v>17</v>
      </c>
      <c r="B555" s="52" t="s">
        <v>57</v>
      </c>
      <c r="C555" s="52" t="s">
        <v>682</v>
      </c>
      <c r="D555" s="52" t="s">
        <v>683</v>
      </c>
      <c r="E555" s="52" t="s">
        <v>387</v>
      </c>
      <c r="F555" s="52" t="s">
        <v>2174</v>
      </c>
      <c r="G555" s="52" t="s">
        <v>60</v>
      </c>
      <c r="H555" s="54">
        <v>46113</v>
      </c>
      <c r="I555" s="52" t="s">
        <v>1836</v>
      </c>
      <c r="J555" s="52" t="s">
        <v>1988</v>
      </c>
      <c r="K555" s="52" t="s">
        <v>2077</v>
      </c>
      <c r="L555" s="52" t="s">
        <v>2077</v>
      </c>
      <c r="M555" s="52" t="s">
        <v>29</v>
      </c>
      <c r="N555" s="53">
        <v>-1431</v>
      </c>
      <c r="O555" s="53">
        <v>-1431</v>
      </c>
      <c r="P555" s="52" t="s">
        <v>2078</v>
      </c>
      <c r="Q555" s="52" t="s">
        <v>2132</v>
      </c>
      <c r="R555" s="55" t="s">
        <v>64</v>
      </c>
      <c r="S555" s="52" t="s">
        <v>1988</v>
      </c>
    </row>
    <row r="556" spans="1:19" outlineLevel="2" x14ac:dyDescent="0.45">
      <c r="A556" t="s">
        <v>17</v>
      </c>
      <c r="B556" s="52" t="s">
        <v>57</v>
      </c>
      <c r="C556" s="52" t="s">
        <v>697</v>
      </c>
      <c r="D556" s="52" t="s">
        <v>698</v>
      </c>
      <c r="E556" s="52" t="s">
        <v>387</v>
      </c>
      <c r="F556" s="52" t="s">
        <v>2085</v>
      </c>
      <c r="G556" s="52" t="s">
        <v>60</v>
      </c>
      <c r="H556" s="54">
        <v>46113</v>
      </c>
      <c r="I556" s="52" t="s">
        <v>1836</v>
      </c>
      <c r="J556" s="52" t="s">
        <v>1908</v>
      </c>
      <c r="K556" s="52" t="s">
        <v>2175</v>
      </c>
      <c r="L556" s="52" t="s">
        <v>2176</v>
      </c>
      <c r="M556" s="52" t="s">
        <v>29</v>
      </c>
      <c r="N556" s="53">
        <v>-1031.97</v>
      </c>
      <c r="O556" s="53">
        <v>-1031.97</v>
      </c>
      <c r="P556" s="52" t="s">
        <v>2177</v>
      </c>
      <c r="Q556" s="52" t="s">
        <v>2088</v>
      </c>
      <c r="R556" s="55" t="s">
        <v>64</v>
      </c>
      <c r="S556" s="52" t="s">
        <v>1908</v>
      </c>
    </row>
    <row r="557" spans="1:19" outlineLevel="2" x14ac:dyDescent="0.45">
      <c r="A557" t="s">
        <v>17</v>
      </c>
      <c r="B557" s="52" t="s">
        <v>57</v>
      </c>
      <c r="C557" s="52" t="s">
        <v>2178</v>
      </c>
      <c r="D557" s="52" t="s">
        <v>2179</v>
      </c>
      <c r="E557" s="52" t="s">
        <v>387</v>
      </c>
      <c r="F557" s="52" t="s">
        <v>2180</v>
      </c>
      <c r="G557" s="52" t="s">
        <v>60</v>
      </c>
      <c r="H557" s="54">
        <v>46113</v>
      </c>
      <c r="I557" s="52" t="s">
        <v>1836</v>
      </c>
      <c r="J557" s="52" t="s">
        <v>1891</v>
      </c>
      <c r="K557" s="52" t="s">
        <v>2181</v>
      </c>
      <c r="L557" s="52" t="s">
        <v>2181</v>
      </c>
      <c r="M557" s="52" t="s">
        <v>29</v>
      </c>
      <c r="N557" s="53">
        <v>-1021</v>
      </c>
      <c r="O557" s="53">
        <v>-1021</v>
      </c>
      <c r="P557" s="52" t="s">
        <v>2182</v>
      </c>
      <c r="Q557" s="52" t="s">
        <v>2183</v>
      </c>
      <c r="R557" s="55" t="s">
        <v>64</v>
      </c>
      <c r="S557" s="52" t="s">
        <v>1891</v>
      </c>
    </row>
    <row r="558" spans="1:19" outlineLevel="2" x14ac:dyDescent="0.45">
      <c r="A558" t="s">
        <v>17</v>
      </c>
      <c r="B558" s="52" t="s">
        <v>57</v>
      </c>
      <c r="C558" s="52" t="s">
        <v>2184</v>
      </c>
      <c r="D558" s="52" t="s">
        <v>2185</v>
      </c>
      <c r="E558" s="52" t="s">
        <v>387</v>
      </c>
      <c r="F558" s="52" t="s">
        <v>2186</v>
      </c>
      <c r="G558" s="52" t="s">
        <v>60</v>
      </c>
      <c r="H558" s="54">
        <v>46113</v>
      </c>
      <c r="I558" s="52" t="s">
        <v>1836</v>
      </c>
      <c r="J558" s="52" t="s">
        <v>1891</v>
      </c>
      <c r="K558" s="52" t="s">
        <v>2187</v>
      </c>
      <c r="L558" s="52" t="s">
        <v>2187</v>
      </c>
      <c r="M558" s="52" t="s">
        <v>29</v>
      </c>
      <c r="N558" s="53">
        <v>-920.84</v>
      </c>
      <c r="O558" s="53">
        <v>-920.84</v>
      </c>
      <c r="P558" s="52" t="s">
        <v>2188</v>
      </c>
      <c r="Q558" s="52" t="s">
        <v>2189</v>
      </c>
      <c r="R558" s="55" t="s">
        <v>64</v>
      </c>
      <c r="S558" s="52" t="s">
        <v>1891</v>
      </c>
    </row>
    <row r="559" spans="1:19" outlineLevel="2" x14ac:dyDescent="0.45">
      <c r="A559" t="s">
        <v>17</v>
      </c>
      <c r="B559" s="52" t="s">
        <v>57</v>
      </c>
      <c r="C559" s="52" t="s">
        <v>1245</v>
      </c>
      <c r="D559" s="52" t="s">
        <v>1246</v>
      </c>
      <c r="E559" s="52" t="s">
        <v>387</v>
      </c>
      <c r="F559" s="52" t="s">
        <v>2190</v>
      </c>
      <c r="G559" s="52" t="s">
        <v>60</v>
      </c>
      <c r="H559" s="54">
        <v>46113</v>
      </c>
      <c r="I559" s="52" t="s">
        <v>1836</v>
      </c>
      <c r="J559" s="52" t="s">
        <v>1975</v>
      </c>
      <c r="K559" s="52" t="s">
        <v>2191</v>
      </c>
      <c r="L559" s="52" t="s">
        <v>2191</v>
      </c>
      <c r="M559" s="52" t="s">
        <v>29</v>
      </c>
      <c r="N559" s="53">
        <v>-800</v>
      </c>
      <c r="O559" s="53">
        <v>-800</v>
      </c>
      <c r="P559" s="52" t="s">
        <v>2192</v>
      </c>
      <c r="Q559" s="52" t="s">
        <v>2193</v>
      </c>
      <c r="R559" s="55" t="s">
        <v>64</v>
      </c>
      <c r="S559" s="52" t="s">
        <v>1975</v>
      </c>
    </row>
    <row r="560" spans="1:19" outlineLevel="2" x14ac:dyDescent="0.45">
      <c r="A560" t="s">
        <v>17</v>
      </c>
      <c r="B560" s="52" t="s">
        <v>57</v>
      </c>
      <c r="C560" s="52" t="s">
        <v>774</v>
      </c>
      <c r="D560" s="52" t="s">
        <v>775</v>
      </c>
      <c r="E560" s="52" t="s">
        <v>387</v>
      </c>
      <c r="F560" s="52" t="s">
        <v>2154</v>
      </c>
      <c r="G560" s="52" t="s">
        <v>60</v>
      </c>
      <c r="H560" s="54">
        <v>46113</v>
      </c>
      <c r="I560" s="52" t="s">
        <v>1836</v>
      </c>
      <c r="J560" s="52" t="s">
        <v>1891</v>
      </c>
      <c r="K560" s="52" t="s">
        <v>777</v>
      </c>
      <c r="L560" s="52" t="s">
        <v>777</v>
      </c>
      <c r="M560" s="52" t="s">
        <v>29</v>
      </c>
      <c r="N560" s="53">
        <v>-766.6</v>
      </c>
      <c r="O560" s="53">
        <v>-766.6</v>
      </c>
      <c r="P560" s="52" t="s">
        <v>778</v>
      </c>
      <c r="Q560" s="52" t="s">
        <v>2155</v>
      </c>
      <c r="R560" s="55" t="s">
        <v>64</v>
      </c>
      <c r="S560" s="52" t="s">
        <v>1891</v>
      </c>
    </row>
    <row r="561" spans="1:19" outlineLevel="2" x14ac:dyDescent="0.45">
      <c r="A561" t="s">
        <v>17</v>
      </c>
      <c r="B561" s="52" t="s">
        <v>57</v>
      </c>
      <c r="C561" s="52" t="s">
        <v>850</v>
      </c>
      <c r="D561" s="52" t="s">
        <v>851</v>
      </c>
      <c r="E561" s="52" t="s">
        <v>387</v>
      </c>
      <c r="F561" s="52" t="s">
        <v>2194</v>
      </c>
      <c r="G561" s="52" t="s">
        <v>60</v>
      </c>
      <c r="H561" s="54">
        <v>46113</v>
      </c>
      <c r="I561" s="52" t="s">
        <v>1836</v>
      </c>
      <c r="J561" s="52" t="s">
        <v>1865</v>
      </c>
      <c r="K561" s="52" t="s">
        <v>2195</v>
      </c>
      <c r="L561" s="52" t="s">
        <v>2195</v>
      </c>
      <c r="M561" s="52" t="s">
        <v>29</v>
      </c>
      <c r="N561" s="53">
        <v>-700</v>
      </c>
      <c r="O561" s="53">
        <v>-700</v>
      </c>
      <c r="P561" s="52" t="s">
        <v>2196</v>
      </c>
      <c r="Q561" s="52" t="s">
        <v>2197</v>
      </c>
      <c r="R561" s="55" t="s">
        <v>64</v>
      </c>
      <c r="S561" s="52" t="s">
        <v>1865</v>
      </c>
    </row>
    <row r="562" spans="1:19" outlineLevel="2" x14ac:dyDescent="0.45">
      <c r="A562" t="s">
        <v>17</v>
      </c>
      <c r="B562" s="52" t="s">
        <v>57</v>
      </c>
      <c r="C562" s="52" t="s">
        <v>1547</v>
      </c>
      <c r="D562" s="52" t="s">
        <v>1548</v>
      </c>
      <c r="E562" s="52" t="s">
        <v>387</v>
      </c>
      <c r="F562" s="52" t="s">
        <v>2198</v>
      </c>
      <c r="G562" s="52" t="s">
        <v>60</v>
      </c>
      <c r="H562" s="54">
        <v>46113</v>
      </c>
      <c r="I562" s="52" t="s">
        <v>1836</v>
      </c>
      <c r="J562" s="52" t="s">
        <v>1908</v>
      </c>
      <c r="K562" s="52" t="s">
        <v>2199</v>
      </c>
      <c r="L562" s="52" t="s">
        <v>2199</v>
      </c>
      <c r="M562" s="52" t="s">
        <v>29</v>
      </c>
      <c r="N562" s="53">
        <v>-679.68</v>
      </c>
      <c r="O562" s="53">
        <v>-679.68</v>
      </c>
      <c r="P562" s="52" t="s">
        <v>2200</v>
      </c>
      <c r="Q562" s="52" t="s">
        <v>1911</v>
      </c>
      <c r="R562" s="55" t="s">
        <v>64</v>
      </c>
      <c r="S562" s="52" t="s">
        <v>1908</v>
      </c>
    </row>
    <row r="563" spans="1:19" hidden="1" outlineLevel="2" x14ac:dyDescent="0.45">
      <c r="A563" t="s">
        <v>17</v>
      </c>
      <c r="B563" s="52" t="s">
        <v>57</v>
      </c>
      <c r="C563" s="52"/>
      <c r="D563" s="52" t="s">
        <v>610</v>
      </c>
      <c r="E563" s="52" t="s">
        <v>387</v>
      </c>
      <c r="F563" s="52" t="s">
        <v>2201</v>
      </c>
      <c r="G563" s="52" t="s">
        <v>60</v>
      </c>
      <c r="H563" s="54">
        <v>46113</v>
      </c>
      <c r="I563" s="52" t="s">
        <v>1836</v>
      </c>
      <c r="J563" s="52" t="s">
        <v>2001</v>
      </c>
      <c r="K563" s="52" t="s">
        <v>2202</v>
      </c>
      <c r="L563" s="52" t="s">
        <v>2202</v>
      </c>
      <c r="M563" s="52" t="s">
        <v>29</v>
      </c>
      <c r="N563" s="53">
        <v>-620</v>
      </c>
      <c r="O563" s="53">
        <v>-620</v>
      </c>
      <c r="P563" s="52" t="s">
        <v>2203</v>
      </c>
      <c r="Q563" s="52" t="s">
        <v>2204</v>
      </c>
      <c r="R563" s="55" t="s">
        <v>64</v>
      </c>
      <c r="S563" s="52" t="s">
        <v>2001</v>
      </c>
    </row>
    <row r="564" spans="1:19" outlineLevel="2" x14ac:dyDescent="0.45">
      <c r="A564" t="s">
        <v>17</v>
      </c>
      <c r="B564" s="52" t="s">
        <v>57</v>
      </c>
      <c r="C564" s="52" t="s">
        <v>774</v>
      </c>
      <c r="D564" s="52" t="s">
        <v>775</v>
      </c>
      <c r="E564" s="52" t="s">
        <v>387</v>
      </c>
      <c r="F564" s="52" t="s">
        <v>2135</v>
      </c>
      <c r="G564" s="52" t="s">
        <v>60</v>
      </c>
      <c r="H564" s="54">
        <v>46113</v>
      </c>
      <c r="I564" s="52" t="s">
        <v>1836</v>
      </c>
      <c r="J564" s="52" t="s">
        <v>1886</v>
      </c>
      <c r="K564" s="52" t="s">
        <v>777</v>
      </c>
      <c r="L564" s="52" t="s">
        <v>777</v>
      </c>
      <c r="M564" s="52" t="s">
        <v>29</v>
      </c>
      <c r="N564" s="53">
        <v>-603.47</v>
      </c>
      <c r="O564" s="53">
        <v>-603.47</v>
      </c>
      <c r="P564" s="52" t="s">
        <v>778</v>
      </c>
      <c r="Q564" s="52" t="s">
        <v>2136</v>
      </c>
      <c r="R564" s="55" t="s">
        <v>64</v>
      </c>
      <c r="S564" s="52" t="s">
        <v>1886</v>
      </c>
    </row>
    <row r="565" spans="1:19" outlineLevel="2" x14ac:dyDescent="0.45">
      <c r="A565" t="s">
        <v>17</v>
      </c>
      <c r="B565" s="52" t="s">
        <v>57</v>
      </c>
      <c r="C565" s="52" t="s">
        <v>870</v>
      </c>
      <c r="D565" s="52" t="s">
        <v>871</v>
      </c>
      <c r="E565" s="52" t="s">
        <v>387</v>
      </c>
      <c r="F565" s="52" t="s">
        <v>2205</v>
      </c>
      <c r="G565" s="52" t="s">
        <v>60</v>
      </c>
      <c r="H565" s="54">
        <v>46113</v>
      </c>
      <c r="I565" s="52" t="s">
        <v>1836</v>
      </c>
      <c r="J565" s="52" t="s">
        <v>1886</v>
      </c>
      <c r="K565" s="52"/>
      <c r="L565" s="52"/>
      <c r="M565" s="52" t="s">
        <v>29</v>
      </c>
      <c r="N565" s="53">
        <v>-593.99</v>
      </c>
      <c r="O565" s="53">
        <v>-593.99</v>
      </c>
      <c r="P565" s="52" t="s">
        <v>2206</v>
      </c>
      <c r="Q565" s="52" t="s">
        <v>2206</v>
      </c>
      <c r="R565" s="55" t="s">
        <v>64</v>
      </c>
      <c r="S565" s="52" t="s">
        <v>1886</v>
      </c>
    </row>
    <row r="566" spans="1:19" outlineLevel="2" x14ac:dyDescent="0.45">
      <c r="A566" t="s">
        <v>17</v>
      </c>
      <c r="B566" s="52" t="s">
        <v>57</v>
      </c>
      <c r="C566" s="52" t="s">
        <v>870</v>
      </c>
      <c r="D566" s="52" t="s">
        <v>871</v>
      </c>
      <c r="E566" s="52" t="s">
        <v>387</v>
      </c>
      <c r="F566" s="52" t="s">
        <v>2207</v>
      </c>
      <c r="G566" s="52" t="s">
        <v>60</v>
      </c>
      <c r="H566" s="54">
        <v>46113</v>
      </c>
      <c r="I566" s="52" t="s">
        <v>1836</v>
      </c>
      <c r="J566" s="52" t="s">
        <v>1975</v>
      </c>
      <c r="K566" s="52"/>
      <c r="L566" s="52"/>
      <c r="M566" s="52" t="s">
        <v>29</v>
      </c>
      <c r="N566" s="53">
        <v>-530</v>
      </c>
      <c r="O566" s="53">
        <v>-530</v>
      </c>
      <c r="P566" s="52" t="s">
        <v>2208</v>
      </c>
      <c r="Q566" s="52" t="s">
        <v>2208</v>
      </c>
      <c r="R566" s="55" t="s">
        <v>64</v>
      </c>
      <c r="S566" s="52" t="s">
        <v>1975</v>
      </c>
    </row>
    <row r="567" spans="1:19" outlineLevel="2" x14ac:dyDescent="0.45">
      <c r="A567" t="s">
        <v>17</v>
      </c>
      <c r="B567" s="52" t="s">
        <v>57</v>
      </c>
      <c r="C567" s="52" t="s">
        <v>2209</v>
      </c>
      <c r="D567" s="52" t="s">
        <v>2210</v>
      </c>
      <c r="E567" s="52" t="s">
        <v>387</v>
      </c>
      <c r="F567" s="52" t="s">
        <v>2211</v>
      </c>
      <c r="G567" s="52" t="s">
        <v>60</v>
      </c>
      <c r="H567" s="54">
        <v>46113</v>
      </c>
      <c r="I567" s="52" t="s">
        <v>1836</v>
      </c>
      <c r="J567" s="52" t="s">
        <v>1891</v>
      </c>
      <c r="K567" s="52" t="s">
        <v>2212</v>
      </c>
      <c r="L567" s="52" t="s">
        <v>2212</v>
      </c>
      <c r="M567" s="52" t="s">
        <v>29</v>
      </c>
      <c r="N567" s="53">
        <v>-513.6</v>
      </c>
      <c r="O567" s="53">
        <v>-513.6</v>
      </c>
      <c r="P567" s="52" t="s">
        <v>2213</v>
      </c>
      <c r="Q567" s="52" t="s">
        <v>2214</v>
      </c>
      <c r="R567" s="55" t="s">
        <v>64</v>
      </c>
      <c r="S567" s="52" t="s">
        <v>1891</v>
      </c>
    </row>
    <row r="568" spans="1:19" outlineLevel="2" x14ac:dyDescent="0.45">
      <c r="A568" t="s">
        <v>17</v>
      </c>
      <c r="B568" s="52" t="s">
        <v>57</v>
      </c>
      <c r="C568" s="52" t="s">
        <v>870</v>
      </c>
      <c r="D568" s="52" t="s">
        <v>871</v>
      </c>
      <c r="E568" s="52" t="s">
        <v>387</v>
      </c>
      <c r="F568" s="52" t="s">
        <v>2215</v>
      </c>
      <c r="G568" s="52" t="s">
        <v>60</v>
      </c>
      <c r="H568" s="54">
        <v>46113</v>
      </c>
      <c r="I568" s="52" t="s">
        <v>1836</v>
      </c>
      <c r="J568" s="52" t="s">
        <v>1886</v>
      </c>
      <c r="K568" s="52"/>
      <c r="L568" s="52"/>
      <c r="M568" s="52" t="s">
        <v>29</v>
      </c>
      <c r="N568" s="53">
        <v>-507.1</v>
      </c>
      <c r="O568" s="53">
        <v>-507.1</v>
      </c>
      <c r="P568" s="52" t="s">
        <v>2216</v>
      </c>
      <c r="Q568" s="52" t="s">
        <v>2216</v>
      </c>
      <c r="R568" s="55" t="s">
        <v>64</v>
      </c>
      <c r="S568" s="52" t="s">
        <v>1886</v>
      </c>
    </row>
    <row r="569" spans="1:19" outlineLevel="2" x14ac:dyDescent="0.45">
      <c r="A569" t="s">
        <v>17</v>
      </c>
      <c r="B569" s="52" t="s">
        <v>57</v>
      </c>
      <c r="C569" s="52" t="s">
        <v>1304</v>
      </c>
      <c r="D569" s="52" t="s">
        <v>1305</v>
      </c>
      <c r="E569" s="52" t="s">
        <v>387</v>
      </c>
      <c r="F569" s="52" t="s">
        <v>2217</v>
      </c>
      <c r="G569" s="52" t="s">
        <v>60</v>
      </c>
      <c r="H569" s="54">
        <v>46113</v>
      </c>
      <c r="I569" s="52" t="s">
        <v>1836</v>
      </c>
      <c r="J569" s="52" t="s">
        <v>1891</v>
      </c>
      <c r="K569" s="52" t="s">
        <v>2218</v>
      </c>
      <c r="L569" s="52" t="s">
        <v>2218</v>
      </c>
      <c r="M569" s="52" t="s">
        <v>29</v>
      </c>
      <c r="N569" s="53">
        <v>-499</v>
      </c>
      <c r="O569" s="53">
        <v>-499</v>
      </c>
      <c r="P569" s="52" t="s">
        <v>2219</v>
      </c>
      <c r="Q569" s="52" t="s">
        <v>2220</v>
      </c>
      <c r="R569" s="55" t="s">
        <v>64</v>
      </c>
      <c r="S569" s="52" t="s">
        <v>1891</v>
      </c>
    </row>
    <row r="570" spans="1:19" outlineLevel="2" x14ac:dyDescent="0.45">
      <c r="A570" t="s">
        <v>17</v>
      </c>
      <c r="B570" s="52" t="s">
        <v>57</v>
      </c>
      <c r="C570" s="52" t="s">
        <v>870</v>
      </c>
      <c r="D570" s="52" t="s">
        <v>871</v>
      </c>
      <c r="E570" s="52" t="s">
        <v>387</v>
      </c>
      <c r="F570" s="52" t="s">
        <v>2205</v>
      </c>
      <c r="G570" s="52" t="s">
        <v>60</v>
      </c>
      <c r="H570" s="54">
        <v>46113</v>
      </c>
      <c r="I570" s="52" t="s">
        <v>1836</v>
      </c>
      <c r="J570" s="52" t="s">
        <v>1886</v>
      </c>
      <c r="K570" s="52"/>
      <c r="L570" s="52"/>
      <c r="M570" s="52" t="s">
        <v>29</v>
      </c>
      <c r="N570" s="53">
        <v>-487.3</v>
      </c>
      <c r="O570" s="53">
        <v>-487.3</v>
      </c>
      <c r="P570" s="52" t="s">
        <v>2206</v>
      </c>
      <c r="Q570" s="52" t="s">
        <v>2206</v>
      </c>
      <c r="R570" s="55" t="s">
        <v>64</v>
      </c>
      <c r="S570" s="52" t="s">
        <v>1886</v>
      </c>
    </row>
    <row r="571" spans="1:19" hidden="1" outlineLevel="2" x14ac:dyDescent="0.45">
      <c r="A571" t="s">
        <v>17</v>
      </c>
      <c r="B571" s="52" t="s">
        <v>66</v>
      </c>
      <c r="C571" s="52"/>
      <c r="D571" s="52" t="s">
        <v>610</v>
      </c>
      <c r="E571" s="52" t="s">
        <v>387</v>
      </c>
      <c r="F571" s="52" t="s">
        <v>2221</v>
      </c>
      <c r="G571" s="52" t="s">
        <v>60</v>
      </c>
      <c r="H571" s="54">
        <v>46113</v>
      </c>
      <c r="I571" s="52" t="s">
        <v>1836</v>
      </c>
      <c r="J571" s="52" t="s">
        <v>1891</v>
      </c>
      <c r="K571" s="52" t="s">
        <v>2222</v>
      </c>
      <c r="L571" s="52" t="s">
        <v>2222</v>
      </c>
      <c r="M571" s="52" t="s">
        <v>67</v>
      </c>
      <c r="N571" s="53">
        <v>-129.80000000000001</v>
      </c>
      <c r="O571" s="53">
        <v>-447.03</v>
      </c>
      <c r="P571" s="52" t="s">
        <v>2223</v>
      </c>
      <c r="Q571" s="52" t="s">
        <v>2224</v>
      </c>
      <c r="R571" s="55" t="s">
        <v>64</v>
      </c>
      <c r="S571" s="52" t="s">
        <v>1891</v>
      </c>
    </row>
    <row r="572" spans="1:19" outlineLevel="2" x14ac:dyDescent="0.45">
      <c r="A572" t="s">
        <v>17</v>
      </c>
      <c r="B572" s="52" t="s">
        <v>57</v>
      </c>
      <c r="C572" s="52"/>
      <c r="D572" s="52" t="s">
        <v>1575</v>
      </c>
      <c r="E572" s="52" t="s">
        <v>387</v>
      </c>
      <c r="F572" s="52" t="s">
        <v>2133</v>
      </c>
      <c r="G572" s="52" t="s">
        <v>60</v>
      </c>
      <c r="H572" s="54">
        <v>46113</v>
      </c>
      <c r="I572" s="52" t="s">
        <v>1836</v>
      </c>
      <c r="J572" s="52" t="s">
        <v>1891</v>
      </c>
      <c r="K572" s="52"/>
      <c r="L572" s="52"/>
      <c r="M572" s="52" t="s">
        <v>29</v>
      </c>
      <c r="N572" s="53">
        <v>-420</v>
      </c>
      <c r="O572" s="53">
        <v>-420</v>
      </c>
      <c r="P572" s="52" t="s">
        <v>2134</v>
      </c>
      <c r="Q572" s="52" t="s">
        <v>2134</v>
      </c>
      <c r="R572" s="55" t="s">
        <v>64</v>
      </c>
      <c r="S572" s="52" t="s">
        <v>1891</v>
      </c>
    </row>
    <row r="573" spans="1:19" outlineLevel="2" x14ac:dyDescent="0.45">
      <c r="A573" t="s">
        <v>17</v>
      </c>
      <c r="B573" s="52" t="s">
        <v>66</v>
      </c>
      <c r="C573" s="52" t="s">
        <v>1627</v>
      </c>
      <c r="D573" s="52" t="s">
        <v>1628</v>
      </c>
      <c r="E573" s="52" t="s">
        <v>387</v>
      </c>
      <c r="F573" s="52" t="s">
        <v>2225</v>
      </c>
      <c r="G573" s="52" t="s">
        <v>60</v>
      </c>
      <c r="H573" s="54">
        <v>46113</v>
      </c>
      <c r="I573" s="52" t="s">
        <v>1836</v>
      </c>
      <c r="J573" s="52" t="s">
        <v>1880</v>
      </c>
      <c r="K573" s="52" t="s">
        <v>2226</v>
      </c>
      <c r="L573" s="52" t="s">
        <v>2226</v>
      </c>
      <c r="M573" s="52" t="s">
        <v>67</v>
      </c>
      <c r="N573" s="53">
        <v>-118</v>
      </c>
      <c r="O573" s="53">
        <v>-416.42</v>
      </c>
      <c r="P573" s="52" t="s">
        <v>2227</v>
      </c>
      <c r="Q573" s="52" t="s">
        <v>2228</v>
      </c>
      <c r="R573" s="55" t="s">
        <v>64</v>
      </c>
      <c r="S573" s="52" t="s">
        <v>1880</v>
      </c>
    </row>
    <row r="574" spans="1:19" outlineLevel="2" x14ac:dyDescent="0.45">
      <c r="A574" t="s">
        <v>17</v>
      </c>
      <c r="B574" s="52" t="s">
        <v>57</v>
      </c>
      <c r="C574" s="52" t="s">
        <v>780</v>
      </c>
      <c r="D574" s="52" t="s">
        <v>781</v>
      </c>
      <c r="E574" s="52" t="s">
        <v>387</v>
      </c>
      <c r="F574" s="52" t="s">
        <v>2229</v>
      </c>
      <c r="G574" s="52" t="s">
        <v>60</v>
      </c>
      <c r="H574" s="54">
        <v>46113</v>
      </c>
      <c r="I574" s="52" t="s">
        <v>1836</v>
      </c>
      <c r="J574" s="52" t="s">
        <v>1886</v>
      </c>
      <c r="K574" s="52" t="s">
        <v>2230</v>
      </c>
      <c r="L574" s="52" t="s">
        <v>2230</v>
      </c>
      <c r="M574" s="52" t="s">
        <v>29</v>
      </c>
      <c r="N574" s="53">
        <v>-396.48</v>
      </c>
      <c r="O574" s="53">
        <v>-396.48</v>
      </c>
      <c r="P574" s="52" t="s">
        <v>2231</v>
      </c>
      <c r="Q574" s="52" t="s">
        <v>2232</v>
      </c>
      <c r="R574" s="55" t="s">
        <v>64</v>
      </c>
      <c r="S574" s="52" t="s">
        <v>1886</v>
      </c>
    </row>
    <row r="575" spans="1:19" outlineLevel="2" x14ac:dyDescent="0.45">
      <c r="A575" t="s">
        <v>17</v>
      </c>
      <c r="B575" s="52" t="s">
        <v>57</v>
      </c>
      <c r="C575" s="52" t="s">
        <v>2233</v>
      </c>
      <c r="D575" s="52" t="s">
        <v>2234</v>
      </c>
      <c r="E575" s="52" t="s">
        <v>387</v>
      </c>
      <c r="F575" s="52" t="s">
        <v>2235</v>
      </c>
      <c r="G575" s="52" t="s">
        <v>60</v>
      </c>
      <c r="H575" s="54">
        <v>46113</v>
      </c>
      <c r="I575" s="52" t="s">
        <v>1836</v>
      </c>
      <c r="J575" s="52" t="s">
        <v>1975</v>
      </c>
      <c r="K575" s="52" t="s">
        <v>2236</v>
      </c>
      <c r="L575" s="52" t="s">
        <v>2236</v>
      </c>
      <c r="M575" s="52" t="s">
        <v>29</v>
      </c>
      <c r="N575" s="53">
        <v>-310</v>
      </c>
      <c r="O575" s="53">
        <v>-310</v>
      </c>
      <c r="P575" s="52" t="s">
        <v>2237</v>
      </c>
      <c r="Q575" s="52" t="s">
        <v>2238</v>
      </c>
      <c r="R575" s="55" t="s">
        <v>64</v>
      </c>
      <c r="S575" s="52" t="s">
        <v>1975</v>
      </c>
    </row>
    <row r="576" spans="1:19" outlineLevel="2" x14ac:dyDescent="0.45">
      <c r="A576" t="s">
        <v>17</v>
      </c>
      <c r="B576" s="52" t="s">
        <v>57</v>
      </c>
      <c r="C576" s="52" t="s">
        <v>785</v>
      </c>
      <c r="D576" s="52" t="s">
        <v>786</v>
      </c>
      <c r="E576" s="52" t="s">
        <v>387</v>
      </c>
      <c r="F576" s="52" t="s">
        <v>2239</v>
      </c>
      <c r="G576" s="52" t="s">
        <v>60</v>
      </c>
      <c r="H576" s="54">
        <v>46113</v>
      </c>
      <c r="I576" s="52" t="s">
        <v>1836</v>
      </c>
      <c r="J576" s="52" t="s">
        <v>1988</v>
      </c>
      <c r="K576" s="52" t="s">
        <v>2240</v>
      </c>
      <c r="L576" s="52" t="s">
        <v>2240</v>
      </c>
      <c r="M576" s="52" t="s">
        <v>29</v>
      </c>
      <c r="N576" s="53">
        <v>-305</v>
      </c>
      <c r="O576" s="53">
        <v>-305</v>
      </c>
      <c r="P576" s="52" t="s">
        <v>2241</v>
      </c>
      <c r="Q576" s="52" t="s">
        <v>2132</v>
      </c>
      <c r="R576" s="55" t="s">
        <v>64</v>
      </c>
      <c r="S576" s="52" t="s">
        <v>1988</v>
      </c>
    </row>
    <row r="577" spans="1:19" outlineLevel="2" x14ac:dyDescent="0.45">
      <c r="A577" t="s">
        <v>17</v>
      </c>
      <c r="B577" s="52" t="s">
        <v>57</v>
      </c>
      <c r="C577" s="52" t="s">
        <v>2242</v>
      </c>
      <c r="D577" s="52" t="s">
        <v>2243</v>
      </c>
      <c r="E577" s="52" t="s">
        <v>387</v>
      </c>
      <c r="F577" s="52" t="s">
        <v>2244</v>
      </c>
      <c r="G577" s="52" t="s">
        <v>60</v>
      </c>
      <c r="H577" s="54">
        <v>46113</v>
      </c>
      <c r="I577" s="52" t="s">
        <v>1836</v>
      </c>
      <c r="J577" s="52" t="s">
        <v>1908</v>
      </c>
      <c r="K577" s="52" t="s">
        <v>2245</v>
      </c>
      <c r="L577" s="52" t="s">
        <v>2245</v>
      </c>
      <c r="M577" s="52" t="s">
        <v>29</v>
      </c>
      <c r="N577" s="53">
        <v>-260</v>
      </c>
      <c r="O577" s="53">
        <v>-260</v>
      </c>
      <c r="P577" s="52" t="s">
        <v>2246</v>
      </c>
      <c r="Q577" s="52" t="s">
        <v>1911</v>
      </c>
      <c r="R577" s="55" t="s">
        <v>64</v>
      </c>
      <c r="S577" s="52" t="s">
        <v>1908</v>
      </c>
    </row>
    <row r="578" spans="1:19" outlineLevel="2" x14ac:dyDescent="0.45">
      <c r="A578" t="s">
        <v>17</v>
      </c>
      <c r="B578" s="52" t="s">
        <v>57</v>
      </c>
      <c r="C578" s="52" t="s">
        <v>2242</v>
      </c>
      <c r="D578" s="52" t="s">
        <v>2243</v>
      </c>
      <c r="E578" s="52" t="s">
        <v>387</v>
      </c>
      <c r="F578" s="52" t="s">
        <v>2247</v>
      </c>
      <c r="G578" s="52" t="s">
        <v>60</v>
      </c>
      <c r="H578" s="54">
        <v>46113</v>
      </c>
      <c r="I578" s="52" t="s">
        <v>1836</v>
      </c>
      <c r="J578" s="52" t="s">
        <v>1988</v>
      </c>
      <c r="K578" s="52" t="s">
        <v>2245</v>
      </c>
      <c r="L578" s="52" t="s">
        <v>2245</v>
      </c>
      <c r="M578" s="52" t="s">
        <v>29</v>
      </c>
      <c r="N578" s="53">
        <v>-260</v>
      </c>
      <c r="O578" s="53">
        <v>-260</v>
      </c>
      <c r="P578" s="52" t="s">
        <v>2246</v>
      </c>
      <c r="Q578" s="52" t="s">
        <v>2248</v>
      </c>
      <c r="R578" s="55" t="s">
        <v>64</v>
      </c>
      <c r="S578" s="52" t="s">
        <v>1988</v>
      </c>
    </row>
    <row r="579" spans="1:19" outlineLevel="2" x14ac:dyDescent="0.45">
      <c r="A579" t="s">
        <v>17</v>
      </c>
      <c r="B579" s="52" t="s">
        <v>57</v>
      </c>
      <c r="C579" s="52" t="s">
        <v>780</v>
      </c>
      <c r="D579" s="52" t="s">
        <v>781</v>
      </c>
      <c r="E579" s="52" t="s">
        <v>387</v>
      </c>
      <c r="F579" s="52" t="s">
        <v>1140</v>
      </c>
      <c r="G579" s="52" t="s">
        <v>60</v>
      </c>
      <c r="H579" s="54">
        <v>46113</v>
      </c>
      <c r="I579" s="52" t="s">
        <v>1836</v>
      </c>
      <c r="J579" s="52" t="s">
        <v>1988</v>
      </c>
      <c r="K579" s="52" t="s">
        <v>2249</v>
      </c>
      <c r="L579" s="52" t="s">
        <v>2249</v>
      </c>
      <c r="M579" s="52" t="s">
        <v>29</v>
      </c>
      <c r="N579" s="53">
        <v>-204</v>
      </c>
      <c r="O579" s="53">
        <v>-204</v>
      </c>
      <c r="P579" s="52" t="s">
        <v>2250</v>
      </c>
      <c r="Q579" s="52" t="s">
        <v>2132</v>
      </c>
      <c r="R579" s="55" t="s">
        <v>64</v>
      </c>
      <c r="S579" s="52" t="s">
        <v>1988</v>
      </c>
    </row>
    <row r="580" spans="1:19" outlineLevel="2" x14ac:dyDescent="0.45">
      <c r="A580" t="s">
        <v>17</v>
      </c>
      <c r="B580" s="52" t="s">
        <v>57</v>
      </c>
      <c r="C580" s="52" t="s">
        <v>838</v>
      </c>
      <c r="D580" s="52" t="s">
        <v>839</v>
      </c>
      <c r="E580" s="52" t="s">
        <v>387</v>
      </c>
      <c r="F580" s="52" t="s">
        <v>2251</v>
      </c>
      <c r="G580" s="52" t="s">
        <v>60</v>
      </c>
      <c r="H580" s="54">
        <v>46113</v>
      </c>
      <c r="I580" s="52" t="s">
        <v>1836</v>
      </c>
      <c r="J580" s="52" t="s">
        <v>1886</v>
      </c>
      <c r="K580" s="52" t="s">
        <v>2252</v>
      </c>
      <c r="L580" s="52" t="s">
        <v>2252</v>
      </c>
      <c r="M580" s="52" t="s">
        <v>29</v>
      </c>
      <c r="N580" s="53">
        <v>-119.98</v>
      </c>
      <c r="O580" s="53">
        <v>-119.98</v>
      </c>
      <c r="P580" s="52" t="s">
        <v>2253</v>
      </c>
      <c r="Q580" s="52" t="s">
        <v>2254</v>
      </c>
      <c r="R580" s="55" t="s">
        <v>64</v>
      </c>
      <c r="S580" s="52" t="s">
        <v>1886</v>
      </c>
    </row>
    <row r="581" spans="1:19" outlineLevel="2" x14ac:dyDescent="0.45">
      <c r="A581" t="s">
        <v>17</v>
      </c>
      <c r="B581" s="52" t="s">
        <v>57</v>
      </c>
      <c r="C581" s="52" t="s">
        <v>1245</v>
      </c>
      <c r="D581" s="52" t="s">
        <v>1246</v>
      </c>
      <c r="E581" s="52" t="s">
        <v>387</v>
      </c>
      <c r="F581" s="52" t="s">
        <v>2190</v>
      </c>
      <c r="G581" s="52" t="s">
        <v>60</v>
      </c>
      <c r="H581" s="54">
        <v>46113</v>
      </c>
      <c r="I581" s="52" t="s">
        <v>1836</v>
      </c>
      <c r="J581" s="52" t="s">
        <v>1975</v>
      </c>
      <c r="K581" s="52" t="s">
        <v>2255</v>
      </c>
      <c r="L581" s="52" t="s">
        <v>2255</v>
      </c>
      <c r="M581" s="52" t="s">
        <v>29</v>
      </c>
      <c r="N581" s="53">
        <v>-100</v>
      </c>
      <c r="O581" s="53">
        <v>-100</v>
      </c>
      <c r="P581" s="52" t="s">
        <v>2256</v>
      </c>
      <c r="Q581" s="52" t="s">
        <v>2193</v>
      </c>
      <c r="R581" s="55" t="s">
        <v>64</v>
      </c>
      <c r="S581" s="52" t="s">
        <v>1975</v>
      </c>
    </row>
    <row r="582" spans="1:19" outlineLevel="2" x14ac:dyDescent="0.45">
      <c r="A582" t="s">
        <v>17</v>
      </c>
      <c r="B582" s="52" t="s">
        <v>57</v>
      </c>
      <c r="C582" s="52" t="s">
        <v>1609</v>
      </c>
      <c r="D582" s="52" t="s">
        <v>1610</v>
      </c>
      <c r="E582" s="52" t="s">
        <v>387</v>
      </c>
      <c r="F582" s="52" t="s">
        <v>2257</v>
      </c>
      <c r="G582" s="52" t="s">
        <v>60</v>
      </c>
      <c r="H582" s="54">
        <v>46113</v>
      </c>
      <c r="I582" s="52" t="s">
        <v>1836</v>
      </c>
      <c r="J582" s="52" t="s">
        <v>1988</v>
      </c>
      <c r="K582" s="52" t="s">
        <v>2258</v>
      </c>
      <c r="L582" s="52" t="s">
        <v>2258</v>
      </c>
      <c r="M582" s="52" t="s">
        <v>29</v>
      </c>
      <c r="N582" s="53">
        <v>-93</v>
      </c>
      <c r="O582" s="53">
        <v>-93</v>
      </c>
      <c r="P582" s="52" t="s">
        <v>2259</v>
      </c>
      <c r="Q582" s="52" t="s">
        <v>2132</v>
      </c>
      <c r="R582" s="55" t="s">
        <v>64</v>
      </c>
      <c r="S582" s="52" t="s">
        <v>1988</v>
      </c>
    </row>
    <row r="583" spans="1:19" hidden="1" outlineLevel="2" x14ac:dyDescent="0.45">
      <c r="A583" t="s">
        <v>17</v>
      </c>
      <c r="B583" s="52" t="s">
        <v>57</v>
      </c>
      <c r="C583" s="52" t="s">
        <v>376</v>
      </c>
      <c r="D583" s="52" t="s">
        <v>377</v>
      </c>
      <c r="E583" s="52" t="s">
        <v>387</v>
      </c>
      <c r="F583" s="52" t="s">
        <v>2260</v>
      </c>
      <c r="G583" s="52" t="s">
        <v>60</v>
      </c>
      <c r="H583" s="54">
        <v>46113</v>
      </c>
      <c r="I583" s="52" t="s">
        <v>1836</v>
      </c>
      <c r="J583" s="52" t="s">
        <v>1891</v>
      </c>
      <c r="K583" s="52" t="s">
        <v>2261</v>
      </c>
      <c r="L583" s="52" t="s">
        <v>2261</v>
      </c>
      <c r="M583" s="52" t="s">
        <v>29</v>
      </c>
      <c r="N583" s="53">
        <v>-75.7</v>
      </c>
      <c r="O583" s="53">
        <v>-75.7</v>
      </c>
      <c r="P583" s="52" t="s">
        <v>2262</v>
      </c>
      <c r="Q583" s="52" t="s">
        <v>2263</v>
      </c>
      <c r="R583" s="55" t="s">
        <v>64</v>
      </c>
      <c r="S583" s="52" t="s">
        <v>1891</v>
      </c>
    </row>
    <row r="584" spans="1:19" outlineLevel="2" x14ac:dyDescent="0.45">
      <c r="A584" t="s">
        <v>17</v>
      </c>
      <c r="B584" s="52" t="s">
        <v>57</v>
      </c>
      <c r="C584" s="52" t="s">
        <v>349</v>
      </c>
      <c r="D584" s="52" t="s">
        <v>350</v>
      </c>
      <c r="E584" s="52" t="s">
        <v>387</v>
      </c>
      <c r="F584" s="52" t="s">
        <v>2264</v>
      </c>
      <c r="G584" s="52" t="s">
        <v>60</v>
      </c>
      <c r="H584" s="54">
        <v>46113</v>
      </c>
      <c r="I584" s="52" t="s">
        <v>1836</v>
      </c>
      <c r="J584" s="52" t="s">
        <v>1880</v>
      </c>
      <c r="K584" s="52" t="s">
        <v>2265</v>
      </c>
      <c r="L584" s="52" t="s">
        <v>2265</v>
      </c>
      <c r="M584" s="52" t="s">
        <v>29</v>
      </c>
      <c r="N584" s="53">
        <v>-75.45</v>
      </c>
      <c r="O584" s="53">
        <v>-75.45</v>
      </c>
      <c r="P584" s="52" t="s">
        <v>2027</v>
      </c>
      <c r="Q584" s="52" t="s">
        <v>2266</v>
      </c>
      <c r="R584" s="55" t="s">
        <v>64</v>
      </c>
      <c r="S584" s="52" t="s">
        <v>1880</v>
      </c>
    </row>
    <row r="585" spans="1:19" hidden="1" outlineLevel="2" x14ac:dyDescent="0.45">
      <c r="A585" t="s">
        <v>17</v>
      </c>
      <c r="B585" s="52" t="s">
        <v>57</v>
      </c>
      <c r="C585" s="52" t="s">
        <v>376</v>
      </c>
      <c r="D585" s="52" t="s">
        <v>377</v>
      </c>
      <c r="E585" s="52" t="s">
        <v>387</v>
      </c>
      <c r="F585" s="52" t="s">
        <v>2267</v>
      </c>
      <c r="G585" s="52" t="s">
        <v>60</v>
      </c>
      <c r="H585" s="54">
        <v>46113</v>
      </c>
      <c r="I585" s="52" t="s">
        <v>1836</v>
      </c>
      <c r="J585" s="52" t="s">
        <v>1891</v>
      </c>
      <c r="K585" s="52" t="s">
        <v>2261</v>
      </c>
      <c r="L585" s="52" t="s">
        <v>2261</v>
      </c>
      <c r="M585" s="52" t="s">
        <v>29</v>
      </c>
      <c r="N585" s="53">
        <v>-67.2</v>
      </c>
      <c r="O585" s="53">
        <v>-67.2</v>
      </c>
      <c r="P585" s="52" t="s">
        <v>2262</v>
      </c>
      <c r="Q585" s="52" t="s">
        <v>2263</v>
      </c>
      <c r="R585" s="55" t="s">
        <v>64</v>
      </c>
      <c r="S585" s="52" t="s">
        <v>1891</v>
      </c>
    </row>
    <row r="586" spans="1:19" outlineLevel="2" x14ac:dyDescent="0.45">
      <c r="A586" t="s">
        <v>17</v>
      </c>
      <c r="B586" s="52" t="s">
        <v>57</v>
      </c>
      <c r="C586" s="52" t="s">
        <v>911</v>
      </c>
      <c r="D586" s="52" t="s">
        <v>912</v>
      </c>
      <c r="E586" s="52" t="s">
        <v>387</v>
      </c>
      <c r="F586" s="52" t="s">
        <v>1277</v>
      </c>
      <c r="G586" s="52" t="s">
        <v>60</v>
      </c>
      <c r="H586" s="54">
        <v>46113</v>
      </c>
      <c r="I586" s="52" t="s">
        <v>1836</v>
      </c>
      <c r="J586" s="52" t="s">
        <v>1988</v>
      </c>
      <c r="K586" s="52" t="s">
        <v>2268</v>
      </c>
      <c r="L586" s="52" t="s">
        <v>2268</v>
      </c>
      <c r="M586" s="52" t="s">
        <v>29</v>
      </c>
      <c r="N586" s="53">
        <v>-48</v>
      </c>
      <c r="O586" s="53">
        <v>-48</v>
      </c>
      <c r="P586" s="52" t="s">
        <v>2269</v>
      </c>
      <c r="Q586" s="52" t="s">
        <v>2132</v>
      </c>
      <c r="R586" s="55" t="s">
        <v>64</v>
      </c>
      <c r="S586" s="52" t="s">
        <v>1988</v>
      </c>
    </row>
    <row r="587" spans="1:19" outlineLevel="2" x14ac:dyDescent="0.45">
      <c r="A587" t="s">
        <v>17</v>
      </c>
      <c r="B587" s="52" t="s">
        <v>57</v>
      </c>
      <c r="C587" s="52" t="s">
        <v>780</v>
      </c>
      <c r="D587" s="52" t="s">
        <v>781</v>
      </c>
      <c r="E587" s="52" t="s">
        <v>387</v>
      </c>
      <c r="F587" s="52" t="s">
        <v>2229</v>
      </c>
      <c r="G587" s="52" t="s">
        <v>60</v>
      </c>
      <c r="H587" s="54">
        <v>46113</v>
      </c>
      <c r="I587" s="52" t="s">
        <v>1836</v>
      </c>
      <c r="J587" s="52" t="s">
        <v>1886</v>
      </c>
      <c r="K587" s="52" t="s">
        <v>2230</v>
      </c>
      <c r="L587" s="52" t="s">
        <v>2230</v>
      </c>
      <c r="M587" s="52" t="s">
        <v>29</v>
      </c>
      <c r="N587" s="53">
        <v>-16.52</v>
      </c>
      <c r="O587" s="53">
        <v>-16.52</v>
      </c>
      <c r="P587" s="52" t="s">
        <v>2231</v>
      </c>
      <c r="Q587" s="52" t="s">
        <v>2232</v>
      </c>
      <c r="R587" s="55" t="s">
        <v>64</v>
      </c>
      <c r="S587" s="52" t="s">
        <v>1886</v>
      </c>
    </row>
    <row r="588" spans="1:19" s="70" customFormat="1" outlineLevel="2" x14ac:dyDescent="0.45">
      <c r="A588" s="70" t="s">
        <v>17</v>
      </c>
      <c r="B588" s="71" t="s">
        <v>66</v>
      </c>
      <c r="C588" s="71" t="s">
        <v>1365</v>
      </c>
      <c r="D588" s="71" t="s">
        <v>1366</v>
      </c>
      <c r="E588" s="71" t="s">
        <v>387</v>
      </c>
      <c r="F588" s="71" t="s">
        <v>2049</v>
      </c>
      <c r="G588" s="71" t="s">
        <v>60</v>
      </c>
      <c r="H588" s="72">
        <v>46113</v>
      </c>
      <c r="I588" s="71" t="s">
        <v>1836</v>
      </c>
      <c r="J588" s="71" t="s">
        <v>1870</v>
      </c>
      <c r="K588" s="71" t="s">
        <v>2050</v>
      </c>
      <c r="L588" s="71" t="s">
        <v>2050</v>
      </c>
      <c r="M588" s="71" t="s">
        <v>67</v>
      </c>
      <c r="N588" s="73">
        <v>-11800</v>
      </c>
      <c r="O588" s="73">
        <v>-41241</v>
      </c>
      <c r="P588" s="71" t="s">
        <v>1336</v>
      </c>
      <c r="Q588" s="71" t="s">
        <v>2051</v>
      </c>
      <c r="R588" s="75" t="s">
        <v>64</v>
      </c>
      <c r="S588" s="71" t="s">
        <v>1870</v>
      </c>
    </row>
    <row r="589" spans="1:19" s="70" customFormat="1" outlineLevel="2" x14ac:dyDescent="0.45">
      <c r="A589" s="70" t="s">
        <v>17</v>
      </c>
      <c r="B589" s="71" t="s">
        <v>66</v>
      </c>
      <c r="C589" s="71" t="s">
        <v>1365</v>
      </c>
      <c r="D589" s="71" t="s">
        <v>1366</v>
      </c>
      <c r="E589" s="71" t="s">
        <v>71</v>
      </c>
      <c r="F589" s="71" t="s">
        <v>2270</v>
      </c>
      <c r="G589" s="71" t="s">
        <v>73</v>
      </c>
      <c r="H589" s="72">
        <v>46113</v>
      </c>
      <c r="I589" s="71" t="s">
        <v>1836</v>
      </c>
      <c r="J589" s="71" t="s">
        <v>1950</v>
      </c>
      <c r="K589" s="71" t="s">
        <v>2271</v>
      </c>
      <c r="L589" s="71" t="s">
        <v>2271</v>
      </c>
      <c r="M589" s="71" t="s">
        <v>67</v>
      </c>
      <c r="N589" s="73">
        <v>11800</v>
      </c>
      <c r="O589" s="73">
        <v>40910.6</v>
      </c>
      <c r="P589" s="71" t="s">
        <v>2272</v>
      </c>
      <c r="Q589" s="71" t="s">
        <v>2273</v>
      </c>
      <c r="R589" s="75" t="s">
        <v>64</v>
      </c>
      <c r="S589" s="71" t="s">
        <v>1870</v>
      </c>
    </row>
    <row r="590" spans="1:19" outlineLevel="2" x14ac:dyDescent="0.45">
      <c r="A590" t="s">
        <v>17</v>
      </c>
      <c r="B590" s="52" t="s">
        <v>57</v>
      </c>
      <c r="C590" s="52" t="s">
        <v>1745</v>
      </c>
      <c r="D590" s="52" t="s">
        <v>1746</v>
      </c>
      <c r="E590" s="52" t="s">
        <v>387</v>
      </c>
      <c r="F590" s="52" t="s">
        <v>2420</v>
      </c>
      <c r="G590" s="52" t="s">
        <v>60</v>
      </c>
      <c r="H590" s="54">
        <v>46143</v>
      </c>
      <c r="I590" s="52" t="s">
        <v>2304</v>
      </c>
      <c r="J590" s="52" t="s">
        <v>2321</v>
      </c>
      <c r="K590" s="52" t="s">
        <v>2421</v>
      </c>
      <c r="L590" s="52" t="s">
        <v>2421</v>
      </c>
      <c r="M590" s="52" t="s">
        <v>29</v>
      </c>
      <c r="N590" s="53">
        <v>-1.24</v>
      </c>
      <c r="O590" s="53">
        <v>-1.24</v>
      </c>
      <c r="P590" s="52" t="s">
        <v>2422</v>
      </c>
      <c r="Q590" s="52" t="s">
        <v>2423</v>
      </c>
      <c r="R590" s="52" t="s">
        <v>64</v>
      </c>
      <c r="S590" s="52" t="s">
        <v>2321</v>
      </c>
    </row>
    <row r="591" spans="1:19" outlineLevel="2" x14ac:dyDescent="0.45">
      <c r="A591" t="s">
        <v>17</v>
      </c>
      <c r="B591" s="52" t="s">
        <v>57</v>
      </c>
      <c r="C591" s="52" t="s">
        <v>349</v>
      </c>
      <c r="D591" s="52" t="s">
        <v>350</v>
      </c>
      <c r="E591" s="52" t="s">
        <v>387</v>
      </c>
      <c r="F591" s="52" t="s">
        <v>2424</v>
      </c>
      <c r="G591" s="52" t="s">
        <v>60</v>
      </c>
      <c r="H591" s="54">
        <v>46143</v>
      </c>
      <c r="I591" s="52" t="s">
        <v>2304</v>
      </c>
      <c r="J591" s="52" t="s">
        <v>2343</v>
      </c>
      <c r="K591" s="52" t="s">
        <v>2425</v>
      </c>
      <c r="L591" s="52" t="s">
        <v>2425</v>
      </c>
      <c r="M591" s="52" t="s">
        <v>29</v>
      </c>
      <c r="N591" s="53">
        <v>-50</v>
      </c>
      <c r="O591" s="53">
        <v>-50</v>
      </c>
      <c r="P591" s="52" t="s">
        <v>2426</v>
      </c>
      <c r="Q591" s="52" t="s">
        <v>2427</v>
      </c>
      <c r="R591" s="52" t="s">
        <v>64</v>
      </c>
      <c r="S591" s="52" t="s">
        <v>2343</v>
      </c>
    </row>
    <row r="592" spans="1:19" outlineLevel="2" x14ac:dyDescent="0.45">
      <c r="A592" t="s">
        <v>17</v>
      </c>
      <c r="B592" s="52" t="s">
        <v>57</v>
      </c>
      <c r="C592" s="52" t="s">
        <v>349</v>
      </c>
      <c r="D592" s="52" t="s">
        <v>350</v>
      </c>
      <c r="E592" s="52" t="s">
        <v>387</v>
      </c>
      <c r="F592" s="52" t="s">
        <v>2428</v>
      </c>
      <c r="G592" s="52" t="s">
        <v>60</v>
      </c>
      <c r="H592" s="54">
        <v>46143</v>
      </c>
      <c r="I592" s="52" t="s">
        <v>2304</v>
      </c>
      <c r="J592" s="52" t="s">
        <v>2328</v>
      </c>
      <c r="K592" s="52" t="s">
        <v>2429</v>
      </c>
      <c r="L592" s="52" t="s">
        <v>2429</v>
      </c>
      <c r="M592" s="52" t="s">
        <v>29</v>
      </c>
      <c r="N592" s="53">
        <v>-3.5</v>
      </c>
      <c r="O592" s="53">
        <v>-3.5</v>
      </c>
      <c r="P592" s="52" t="s">
        <v>2430</v>
      </c>
      <c r="Q592" s="52" t="s">
        <v>2431</v>
      </c>
      <c r="R592" s="52" t="s">
        <v>64</v>
      </c>
      <c r="S592" s="52" t="s">
        <v>2328</v>
      </c>
    </row>
    <row r="593" spans="1:19" outlineLevel="2" x14ac:dyDescent="0.45">
      <c r="A593" t="s">
        <v>17</v>
      </c>
      <c r="B593" s="52" t="s">
        <v>57</v>
      </c>
      <c r="C593" s="52" t="s">
        <v>349</v>
      </c>
      <c r="D593" s="52" t="s">
        <v>350</v>
      </c>
      <c r="E593" s="52" t="s">
        <v>387</v>
      </c>
      <c r="F593" s="52" t="s">
        <v>2428</v>
      </c>
      <c r="G593" s="52" t="s">
        <v>60</v>
      </c>
      <c r="H593" s="54">
        <v>46143</v>
      </c>
      <c r="I593" s="52" t="s">
        <v>2304</v>
      </c>
      <c r="J593" s="52" t="s">
        <v>2328</v>
      </c>
      <c r="K593" s="52" t="s">
        <v>2429</v>
      </c>
      <c r="L593" s="52" t="s">
        <v>2429</v>
      </c>
      <c r="M593" s="52" t="s">
        <v>29</v>
      </c>
      <c r="N593" s="53">
        <v>-40</v>
      </c>
      <c r="O593" s="53">
        <v>-40</v>
      </c>
      <c r="P593" s="52" t="s">
        <v>2430</v>
      </c>
      <c r="Q593" s="52" t="s">
        <v>2431</v>
      </c>
      <c r="R593" s="52" t="s">
        <v>64</v>
      </c>
      <c r="S593" s="52" t="s">
        <v>2328</v>
      </c>
    </row>
    <row r="594" spans="1:19" outlineLevel="2" x14ac:dyDescent="0.45">
      <c r="A594" t="s">
        <v>17</v>
      </c>
      <c r="B594" s="52" t="s">
        <v>57</v>
      </c>
      <c r="C594" s="52" t="s">
        <v>349</v>
      </c>
      <c r="D594" s="52" t="s">
        <v>350</v>
      </c>
      <c r="E594" s="52" t="s">
        <v>387</v>
      </c>
      <c r="F594" s="52" t="s">
        <v>2432</v>
      </c>
      <c r="G594" s="52" t="s">
        <v>60</v>
      </c>
      <c r="H594" s="54">
        <v>46143</v>
      </c>
      <c r="I594" s="52" t="s">
        <v>2304</v>
      </c>
      <c r="J594" s="52" t="s">
        <v>2313</v>
      </c>
      <c r="K594" s="52" t="s">
        <v>2433</v>
      </c>
      <c r="L594" s="52" t="s">
        <v>2433</v>
      </c>
      <c r="M594" s="52" t="s">
        <v>29</v>
      </c>
      <c r="N594" s="53">
        <v>-40</v>
      </c>
      <c r="O594" s="53">
        <v>-40</v>
      </c>
      <c r="P594" s="52" t="s">
        <v>1002</v>
      </c>
      <c r="Q594" s="52" t="s">
        <v>2434</v>
      </c>
      <c r="R594" s="52" t="s">
        <v>64</v>
      </c>
      <c r="S594" s="52" t="s">
        <v>2313</v>
      </c>
    </row>
    <row r="595" spans="1:19" outlineLevel="2" x14ac:dyDescent="0.45">
      <c r="A595" t="s">
        <v>17</v>
      </c>
      <c r="B595" s="52" t="s">
        <v>66</v>
      </c>
      <c r="C595" s="52" t="s">
        <v>349</v>
      </c>
      <c r="D595" s="52" t="s">
        <v>350</v>
      </c>
      <c r="E595" s="52" t="s">
        <v>387</v>
      </c>
      <c r="F595" s="52" t="s">
        <v>2435</v>
      </c>
      <c r="G595" s="52" t="s">
        <v>60</v>
      </c>
      <c r="H595" s="54">
        <v>46143</v>
      </c>
      <c r="I595" s="52" t="s">
        <v>2304</v>
      </c>
      <c r="J595" s="52" t="s">
        <v>2333</v>
      </c>
      <c r="K595" s="52" t="s">
        <v>2436</v>
      </c>
      <c r="L595" s="52" t="s">
        <v>2436</v>
      </c>
      <c r="M595" s="52" t="s">
        <v>67</v>
      </c>
      <c r="N595" s="53">
        <v>-10</v>
      </c>
      <c r="O595" s="53">
        <v>-34.61</v>
      </c>
      <c r="P595" s="52" t="s">
        <v>2437</v>
      </c>
      <c r="Q595" s="52" t="s">
        <v>2438</v>
      </c>
      <c r="R595" s="52" t="s">
        <v>64</v>
      </c>
      <c r="S595" s="52" t="s">
        <v>2333</v>
      </c>
    </row>
    <row r="596" spans="1:19" outlineLevel="2" x14ac:dyDescent="0.45">
      <c r="A596" t="s">
        <v>17</v>
      </c>
      <c r="B596" s="52" t="s">
        <v>66</v>
      </c>
      <c r="C596" s="52" t="s">
        <v>349</v>
      </c>
      <c r="D596" s="52" t="s">
        <v>350</v>
      </c>
      <c r="E596" s="52" t="s">
        <v>387</v>
      </c>
      <c r="F596" s="52" t="s">
        <v>2439</v>
      </c>
      <c r="G596" s="52" t="s">
        <v>60</v>
      </c>
      <c r="H596" s="54">
        <v>46143</v>
      </c>
      <c r="I596" s="52" t="s">
        <v>2304</v>
      </c>
      <c r="J596" s="52" t="s">
        <v>2328</v>
      </c>
      <c r="K596" s="52" t="s">
        <v>2440</v>
      </c>
      <c r="L596" s="52" t="s">
        <v>2440</v>
      </c>
      <c r="M596" s="52" t="s">
        <v>67</v>
      </c>
      <c r="N596" s="53">
        <v>-1.3</v>
      </c>
      <c r="O596" s="53">
        <v>-4.4400000000000004</v>
      </c>
      <c r="P596" s="52" t="s">
        <v>2441</v>
      </c>
      <c r="Q596" s="52" t="s">
        <v>2442</v>
      </c>
      <c r="R596" s="52" t="s">
        <v>64</v>
      </c>
      <c r="S596" s="52" t="s">
        <v>2328</v>
      </c>
    </row>
    <row r="597" spans="1:19" outlineLevel="2" x14ac:dyDescent="0.45">
      <c r="A597" t="s">
        <v>17</v>
      </c>
      <c r="B597" s="52" t="s">
        <v>66</v>
      </c>
      <c r="C597" s="52" t="s">
        <v>349</v>
      </c>
      <c r="D597" s="52" t="s">
        <v>350</v>
      </c>
      <c r="E597" s="52" t="s">
        <v>387</v>
      </c>
      <c r="F597" s="52" t="s">
        <v>2443</v>
      </c>
      <c r="G597" s="52" t="s">
        <v>60</v>
      </c>
      <c r="H597" s="54">
        <v>46143</v>
      </c>
      <c r="I597" s="52" t="s">
        <v>2304</v>
      </c>
      <c r="J597" s="52" t="s">
        <v>2328</v>
      </c>
      <c r="K597" s="52" t="s">
        <v>2440</v>
      </c>
      <c r="L597" s="52" t="s">
        <v>2440</v>
      </c>
      <c r="M597" s="52" t="s">
        <v>67</v>
      </c>
      <c r="N597" s="53">
        <v>-14</v>
      </c>
      <c r="O597" s="53">
        <v>-47.82</v>
      </c>
      <c r="P597" s="52" t="s">
        <v>2441</v>
      </c>
      <c r="Q597" s="52" t="s">
        <v>2442</v>
      </c>
      <c r="R597" s="52" t="s">
        <v>64</v>
      </c>
      <c r="S597" s="52" t="s">
        <v>2328</v>
      </c>
    </row>
    <row r="598" spans="1:19" outlineLevel="2" x14ac:dyDescent="0.45">
      <c r="A598" t="s">
        <v>17</v>
      </c>
      <c r="B598" s="52" t="s">
        <v>57</v>
      </c>
      <c r="C598" s="52" t="s">
        <v>349</v>
      </c>
      <c r="D598" s="52" t="s">
        <v>350</v>
      </c>
      <c r="E598" s="52" t="s">
        <v>387</v>
      </c>
      <c r="F598" s="52" t="s">
        <v>2444</v>
      </c>
      <c r="G598" s="52" t="s">
        <v>60</v>
      </c>
      <c r="H598" s="54">
        <v>46143</v>
      </c>
      <c r="I598" s="52" t="s">
        <v>2304</v>
      </c>
      <c r="J598" s="52" t="s">
        <v>2445</v>
      </c>
      <c r="K598" s="52" t="s">
        <v>2446</v>
      </c>
      <c r="L598" s="52" t="s">
        <v>2446</v>
      </c>
      <c r="M598" s="52" t="s">
        <v>29</v>
      </c>
      <c r="N598" s="53">
        <v>-8.6</v>
      </c>
      <c r="O598" s="53">
        <v>-8.6</v>
      </c>
      <c r="P598" s="52" t="s">
        <v>2447</v>
      </c>
      <c r="Q598" s="52" t="s">
        <v>2448</v>
      </c>
      <c r="R598" s="52" t="s">
        <v>64</v>
      </c>
      <c r="S598" s="52" t="s">
        <v>2445</v>
      </c>
    </row>
    <row r="599" spans="1:19" outlineLevel="2" x14ac:dyDescent="0.45">
      <c r="A599" t="s">
        <v>17</v>
      </c>
      <c r="B599" s="52" t="s">
        <v>57</v>
      </c>
      <c r="C599" s="52" t="s">
        <v>349</v>
      </c>
      <c r="D599" s="52" t="s">
        <v>350</v>
      </c>
      <c r="E599" s="52" t="s">
        <v>387</v>
      </c>
      <c r="F599" s="52" t="s">
        <v>2449</v>
      </c>
      <c r="G599" s="52" t="s">
        <v>60</v>
      </c>
      <c r="H599" s="54">
        <v>46143</v>
      </c>
      <c r="I599" s="52" t="s">
        <v>2304</v>
      </c>
      <c r="J599" s="52" t="s">
        <v>2333</v>
      </c>
      <c r="K599" s="52" t="s">
        <v>2450</v>
      </c>
      <c r="L599" s="52" t="s">
        <v>2450</v>
      </c>
      <c r="M599" s="52" t="s">
        <v>29</v>
      </c>
      <c r="N599" s="53">
        <v>-4.3</v>
      </c>
      <c r="O599" s="53">
        <v>-4.3</v>
      </c>
      <c r="P599" s="52" t="s">
        <v>2451</v>
      </c>
      <c r="Q599" s="52" t="s">
        <v>2452</v>
      </c>
      <c r="R599" s="52" t="s">
        <v>64</v>
      </c>
      <c r="S599" s="52" t="s">
        <v>2333</v>
      </c>
    </row>
    <row r="600" spans="1:19" outlineLevel="2" x14ac:dyDescent="0.45">
      <c r="A600" t="s">
        <v>17</v>
      </c>
      <c r="B600" s="52" t="s">
        <v>57</v>
      </c>
      <c r="C600" s="52" t="s">
        <v>349</v>
      </c>
      <c r="D600" s="52" t="s">
        <v>350</v>
      </c>
      <c r="E600" s="52" t="s">
        <v>387</v>
      </c>
      <c r="F600" s="52" t="s">
        <v>2453</v>
      </c>
      <c r="G600" s="52" t="s">
        <v>60</v>
      </c>
      <c r="H600" s="54">
        <v>46143</v>
      </c>
      <c r="I600" s="52" t="s">
        <v>2304</v>
      </c>
      <c r="J600" s="52" t="s">
        <v>2316</v>
      </c>
      <c r="K600" s="52" t="s">
        <v>2454</v>
      </c>
      <c r="L600" s="52" t="s">
        <v>2454</v>
      </c>
      <c r="M600" s="52" t="s">
        <v>29</v>
      </c>
      <c r="N600" s="53">
        <v>-4.3</v>
      </c>
      <c r="O600" s="53">
        <v>-4.3</v>
      </c>
      <c r="P600" s="52" t="s">
        <v>2455</v>
      </c>
      <c r="Q600" s="52" t="s">
        <v>2456</v>
      </c>
      <c r="R600" s="52" t="s">
        <v>64</v>
      </c>
      <c r="S600" s="52" t="s">
        <v>2316</v>
      </c>
    </row>
    <row r="601" spans="1:19" outlineLevel="2" x14ac:dyDescent="0.45">
      <c r="A601" t="s">
        <v>17</v>
      </c>
      <c r="B601" s="52" t="s">
        <v>57</v>
      </c>
      <c r="C601" s="52" t="s">
        <v>349</v>
      </c>
      <c r="D601" s="52" t="s">
        <v>350</v>
      </c>
      <c r="E601" s="52" t="s">
        <v>387</v>
      </c>
      <c r="F601" s="52" t="s">
        <v>2453</v>
      </c>
      <c r="G601" s="52" t="s">
        <v>60</v>
      </c>
      <c r="H601" s="54">
        <v>46143</v>
      </c>
      <c r="I601" s="52" t="s">
        <v>2304</v>
      </c>
      <c r="J601" s="52" t="s">
        <v>2316</v>
      </c>
      <c r="K601" s="52" t="s">
        <v>2454</v>
      </c>
      <c r="L601" s="52" t="s">
        <v>2454</v>
      </c>
      <c r="M601" s="52" t="s">
        <v>29</v>
      </c>
      <c r="N601" s="53">
        <v>-4.3</v>
      </c>
      <c r="O601" s="53">
        <v>-4.3</v>
      </c>
      <c r="P601" s="52" t="s">
        <v>2455</v>
      </c>
      <c r="Q601" s="52" t="s">
        <v>2456</v>
      </c>
      <c r="R601" s="52" t="s">
        <v>64</v>
      </c>
      <c r="S601" s="52" t="s">
        <v>2316</v>
      </c>
    </row>
    <row r="602" spans="1:19" outlineLevel="2" x14ac:dyDescent="0.45">
      <c r="A602" t="s">
        <v>17</v>
      </c>
      <c r="B602" s="52" t="s">
        <v>57</v>
      </c>
      <c r="C602" s="52" t="s">
        <v>349</v>
      </c>
      <c r="D602" s="52" t="s">
        <v>350</v>
      </c>
      <c r="E602" s="52" t="s">
        <v>387</v>
      </c>
      <c r="F602" s="52" t="s">
        <v>2453</v>
      </c>
      <c r="G602" s="52" t="s">
        <v>60</v>
      </c>
      <c r="H602" s="54">
        <v>46143</v>
      </c>
      <c r="I602" s="52" t="s">
        <v>2304</v>
      </c>
      <c r="J602" s="52" t="s">
        <v>2316</v>
      </c>
      <c r="K602" s="52" t="s">
        <v>2454</v>
      </c>
      <c r="L602" s="52" t="s">
        <v>2454</v>
      </c>
      <c r="M602" s="52" t="s">
        <v>29</v>
      </c>
      <c r="N602" s="53">
        <v>-4.3</v>
      </c>
      <c r="O602" s="53">
        <v>-4.3</v>
      </c>
      <c r="P602" s="52" t="s">
        <v>2455</v>
      </c>
      <c r="Q602" s="52" t="s">
        <v>2456</v>
      </c>
      <c r="R602" s="52" t="s">
        <v>64</v>
      </c>
      <c r="S602" s="52" t="s">
        <v>2316</v>
      </c>
    </row>
    <row r="603" spans="1:19" outlineLevel="2" x14ac:dyDescent="0.45">
      <c r="A603" t="s">
        <v>17</v>
      </c>
      <c r="B603" s="52" t="s">
        <v>66</v>
      </c>
      <c r="C603" s="52" t="s">
        <v>349</v>
      </c>
      <c r="D603" s="52" t="s">
        <v>350</v>
      </c>
      <c r="E603" s="52" t="s">
        <v>387</v>
      </c>
      <c r="F603" s="52" t="s">
        <v>2264</v>
      </c>
      <c r="G603" s="52" t="s">
        <v>60</v>
      </c>
      <c r="H603" s="54">
        <v>46143</v>
      </c>
      <c r="I603" s="52" t="s">
        <v>2304</v>
      </c>
      <c r="J603" s="52" t="s">
        <v>2325</v>
      </c>
      <c r="K603" s="52" t="s">
        <v>2457</v>
      </c>
      <c r="L603" s="52" t="s">
        <v>2457</v>
      </c>
      <c r="M603" s="52" t="s">
        <v>67</v>
      </c>
      <c r="N603" s="53">
        <v>-3.06</v>
      </c>
      <c r="O603" s="53">
        <v>-10.7</v>
      </c>
      <c r="P603" s="52" t="s">
        <v>2458</v>
      </c>
      <c r="Q603" s="52" t="s">
        <v>2459</v>
      </c>
      <c r="R603" s="52" t="s">
        <v>64</v>
      </c>
      <c r="S603" s="52" t="s">
        <v>2325</v>
      </c>
    </row>
    <row r="604" spans="1:19" outlineLevel="2" x14ac:dyDescent="0.45">
      <c r="A604" t="s">
        <v>17</v>
      </c>
      <c r="B604" s="52" t="s">
        <v>57</v>
      </c>
      <c r="C604" s="52" t="s">
        <v>349</v>
      </c>
      <c r="D604" s="52" t="s">
        <v>350</v>
      </c>
      <c r="E604" s="52" t="s">
        <v>387</v>
      </c>
      <c r="F604" s="52" t="s">
        <v>2460</v>
      </c>
      <c r="G604" s="52" t="s">
        <v>60</v>
      </c>
      <c r="H604" s="54">
        <v>46143</v>
      </c>
      <c r="I604" s="52" t="s">
        <v>2304</v>
      </c>
      <c r="J604" s="52" t="s">
        <v>2321</v>
      </c>
      <c r="K604" s="52" t="s">
        <v>2461</v>
      </c>
      <c r="L604" s="52" t="s">
        <v>2461</v>
      </c>
      <c r="M604" s="52" t="s">
        <v>29</v>
      </c>
      <c r="N604" s="53">
        <v>-4.3</v>
      </c>
      <c r="O604" s="53">
        <v>-4.3</v>
      </c>
      <c r="P604" s="52" t="s">
        <v>2462</v>
      </c>
      <c r="Q604" s="52" t="s">
        <v>2463</v>
      </c>
      <c r="R604" s="52" t="s">
        <v>64</v>
      </c>
      <c r="S604" s="52" t="s">
        <v>2321</v>
      </c>
    </row>
    <row r="605" spans="1:19" outlineLevel="2" x14ac:dyDescent="0.45">
      <c r="A605" t="s">
        <v>17</v>
      </c>
      <c r="B605" s="52" t="s">
        <v>57</v>
      </c>
      <c r="C605" s="52" t="s">
        <v>349</v>
      </c>
      <c r="D605" s="52" t="s">
        <v>350</v>
      </c>
      <c r="E605" s="52" t="s">
        <v>387</v>
      </c>
      <c r="F605" s="52" t="s">
        <v>2464</v>
      </c>
      <c r="G605" s="52" t="s">
        <v>60</v>
      </c>
      <c r="H605" s="54">
        <v>46143</v>
      </c>
      <c r="I605" s="52" t="s">
        <v>2304</v>
      </c>
      <c r="J605" s="52" t="s">
        <v>2325</v>
      </c>
      <c r="K605" s="52" t="s">
        <v>2465</v>
      </c>
      <c r="L605" s="52" t="s">
        <v>2465</v>
      </c>
      <c r="M605" s="52" t="s">
        <v>29</v>
      </c>
      <c r="N605" s="53">
        <v>-4.3</v>
      </c>
      <c r="O605" s="53">
        <v>-4.3</v>
      </c>
      <c r="P605" s="52" t="s">
        <v>2466</v>
      </c>
      <c r="Q605" s="52" t="s">
        <v>2459</v>
      </c>
      <c r="R605" s="52" t="s">
        <v>64</v>
      </c>
      <c r="S605" s="52" t="s">
        <v>2325</v>
      </c>
    </row>
    <row r="606" spans="1:19" outlineLevel="2" x14ac:dyDescent="0.45">
      <c r="A606" t="s">
        <v>17</v>
      </c>
      <c r="B606" s="52" t="s">
        <v>66</v>
      </c>
      <c r="C606" s="52" t="s">
        <v>349</v>
      </c>
      <c r="D606" s="52" t="s">
        <v>350</v>
      </c>
      <c r="E606" s="52" t="s">
        <v>387</v>
      </c>
      <c r="F606" s="52" t="s">
        <v>2467</v>
      </c>
      <c r="G606" s="52" t="s">
        <v>60</v>
      </c>
      <c r="H606" s="54">
        <v>46143</v>
      </c>
      <c r="I606" s="52" t="s">
        <v>2304</v>
      </c>
      <c r="J606" s="52" t="s">
        <v>2308</v>
      </c>
      <c r="K606" s="52" t="s">
        <v>2468</v>
      </c>
      <c r="L606" s="52" t="s">
        <v>2468</v>
      </c>
      <c r="M606" s="52" t="s">
        <v>67</v>
      </c>
      <c r="N606" s="53">
        <v>-1.53</v>
      </c>
      <c r="O606" s="53">
        <v>-5.26</v>
      </c>
      <c r="P606" s="52" t="s">
        <v>2469</v>
      </c>
      <c r="Q606" s="52" t="s">
        <v>2470</v>
      </c>
      <c r="R606" s="52" t="s">
        <v>64</v>
      </c>
      <c r="S606" s="52" t="s">
        <v>2308</v>
      </c>
    </row>
    <row r="607" spans="1:19" outlineLevel="2" x14ac:dyDescent="0.45">
      <c r="A607" t="s">
        <v>17</v>
      </c>
      <c r="B607" s="52" t="s">
        <v>66</v>
      </c>
      <c r="C607" s="52" t="s">
        <v>349</v>
      </c>
      <c r="D607" s="52" t="s">
        <v>350</v>
      </c>
      <c r="E607" s="52" t="s">
        <v>387</v>
      </c>
      <c r="F607" s="52" t="s">
        <v>2221</v>
      </c>
      <c r="G607" s="52" t="s">
        <v>60</v>
      </c>
      <c r="H607" s="54">
        <v>46143</v>
      </c>
      <c r="I607" s="52" t="s">
        <v>2304</v>
      </c>
      <c r="J607" s="52" t="s">
        <v>2471</v>
      </c>
      <c r="K607" s="52" t="s">
        <v>2472</v>
      </c>
      <c r="L607" s="52" t="s">
        <v>2472</v>
      </c>
      <c r="M607" s="52" t="s">
        <v>67</v>
      </c>
      <c r="N607" s="53">
        <v>-7.65</v>
      </c>
      <c r="O607" s="53">
        <v>-26.31</v>
      </c>
      <c r="P607" s="52" t="s">
        <v>2473</v>
      </c>
      <c r="Q607" s="52" t="s">
        <v>2474</v>
      </c>
      <c r="R607" s="52" t="s">
        <v>64</v>
      </c>
      <c r="S607" s="52" t="s">
        <v>2471</v>
      </c>
    </row>
    <row r="608" spans="1:19" outlineLevel="2" x14ac:dyDescent="0.45">
      <c r="A608" t="s">
        <v>17</v>
      </c>
      <c r="B608" s="52" t="s">
        <v>57</v>
      </c>
      <c r="C608" s="52" t="s">
        <v>349</v>
      </c>
      <c r="D608" s="52" t="s">
        <v>350</v>
      </c>
      <c r="E608" s="52" t="s">
        <v>387</v>
      </c>
      <c r="F608" s="52" t="s">
        <v>2475</v>
      </c>
      <c r="G608" s="52" t="s">
        <v>60</v>
      </c>
      <c r="H608" s="54">
        <v>46143</v>
      </c>
      <c r="I608" s="52" t="s">
        <v>2304</v>
      </c>
      <c r="J608" s="52" t="s">
        <v>2343</v>
      </c>
      <c r="K608" s="52" t="s">
        <v>2476</v>
      </c>
      <c r="L608" s="52" t="s">
        <v>2476</v>
      </c>
      <c r="M608" s="52" t="s">
        <v>29</v>
      </c>
      <c r="N608" s="53">
        <v>-4.3</v>
      </c>
      <c r="O608" s="53">
        <v>-4.3</v>
      </c>
      <c r="P608" s="52" t="s">
        <v>2477</v>
      </c>
      <c r="Q608" s="52" t="s">
        <v>2478</v>
      </c>
      <c r="R608" s="52" t="s">
        <v>64</v>
      </c>
      <c r="S608" s="52" t="s">
        <v>2343</v>
      </c>
    </row>
    <row r="609" spans="1:19" outlineLevel="2" x14ac:dyDescent="0.45">
      <c r="A609" t="s">
        <v>17</v>
      </c>
      <c r="B609" s="52" t="s">
        <v>57</v>
      </c>
      <c r="C609" s="52" t="s">
        <v>349</v>
      </c>
      <c r="D609" s="52" t="s">
        <v>350</v>
      </c>
      <c r="E609" s="52" t="s">
        <v>387</v>
      </c>
      <c r="F609" s="52" t="s">
        <v>2475</v>
      </c>
      <c r="G609" s="52" t="s">
        <v>60</v>
      </c>
      <c r="H609" s="54">
        <v>46143</v>
      </c>
      <c r="I609" s="52" t="s">
        <v>2304</v>
      </c>
      <c r="J609" s="52" t="s">
        <v>2343</v>
      </c>
      <c r="K609" s="52" t="s">
        <v>2476</v>
      </c>
      <c r="L609" s="52" t="s">
        <v>2476</v>
      </c>
      <c r="M609" s="52" t="s">
        <v>29</v>
      </c>
      <c r="N609" s="53">
        <v>-4.3</v>
      </c>
      <c r="O609" s="53">
        <v>-4.3</v>
      </c>
      <c r="P609" s="52" t="s">
        <v>2477</v>
      </c>
      <c r="Q609" s="52" t="s">
        <v>2478</v>
      </c>
      <c r="R609" s="52" t="s">
        <v>64</v>
      </c>
      <c r="S609" s="52" t="s">
        <v>2343</v>
      </c>
    </row>
    <row r="610" spans="1:19" outlineLevel="2" x14ac:dyDescent="0.45">
      <c r="A610" t="s">
        <v>17</v>
      </c>
      <c r="B610" s="52" t="s">
        <v>57</v>
      </c>
      <c r="C610" s="52" t="s">
        <v>349</v>
      </c>
      <c r="D610" s="52" t="s">
        <v>350</v>
      </c>
      <c r="E610" s="52" t="s">
        <v>387</v>
      </c>
      <c r="F610" s="52" t="s">
        <v>2475</v>
      </c>
      <c r="G610" s="52" t="s">
        <v>60</v>
      </c>
      <c r="H610" s="54">
        <v>46143</v>
      </c>
      <c r="I610" s="52" t="s">
        <v>2304</v>
      </c>
      <c r="J610" s="52" t="s">
        <v>2343</v>
      </c>
      <c r="K610" s="52" t="s">
        <v>2476</v>
      </c>
      <c r="L610" s="52" t="s">
        <v>2476</v>
      </c>
      <c r="M610" s="52" t="s">
        <v>29</v>
      </c>
      <c r="N610" s="53">
        <v>-4.3</v>
      </c>
      <c r="O610" s="53">
        <v>-4.3</v>
      </c>
      <c r="P610" s="52" t="s">
        <v>2477</v>
      </c>
      <c r="Q610" s="52" t="s">
        <v>2478</v>
      </c>
      <c r="R610" s="52" t="s">
        <v>64</v>
      </c>
      <c r="S610" s="52" t="s">
        <v>2343</v>
      </c>
    </row>
    <row r="611" spans="1:19" outlineLevel="2" x14ac:dyDescent="0.45">
      <c r="A611" t="s">
        <v>17</v>
      </c>
      <c r="B611" s="52" t="s">
        <v>57</v>
      </c>
      <c r="C611" s="52" t="s">
        <v>349</v>
      </c>
      <c r="D611" s="52" t="s">
        <v>350</v>
      </c>
      <c r="E611" s="52" t="s">
        <v>387</v>
      </c>
      <c r="F611" s="52" t="s">
        <v>2475</v>
      </c>
      <c r="G611" s="52" t="s">
        <v>60</v>
      </c>
      <c r="H611" s="54">
        <v>46143</v>
      </c>
      <c r="I611" s="52" t="s">
        <v>2304</v>
      </c>
      <c r="J611" s="52" t="s">
        <v>2343</v>
      </c>
      <c r="K611" s="52" t="s">
        <v>2476</v>
      </c>
      <c r="L611" s="52" t="s">
        <v>2476</v>
      </c>
      <c r="M611" s="52" t="s">
        <v>29</v>
      </c>
      <c r="N611" s="53">
        <v>-4.3</v>
      </c>
      <c r="O611" s="53">
        <v>-4.3</v>
      </c>
      <c r="P611" s="52" t="s">
        <v>2477</v>
      </c>
      <c r="Q611" s="52" t="s">
        <v>2478</v>
      </c>
      <c r="R611" s="52" t="s">
        <v>64</v>
      </c>
      <c r="S611" s="52" t="s">
        <v>2343</v>
      </c>
    </row>
    <row r="612" spans="1:19" outlineLevel="2" x14ac:dyDescent="0.45">
      <c r="A612" t="s">
        <v>17</v>
      </c>
      <c r="B612" s="52" t="s">
        <v>57</v>
      </c>
      <c r="C612" s="52" t="s">
        <v>349</v>
      </c>
      <c r="D612" s="52" t="s">
        <v>350</v>
      </c>
      <c r="E612" s="52" t="s">
        <v>387</v>
      </c>
      <c r="F612" s="52" t="s">
        <v>2475</v>
      </c>
      <c r="G612" s="52" t="s">
        <v>60</v>
      </c>
      <c r="H612" s="54">
        <v>46143</v>
      </c>
      <c r="I612" s="52" t="s">
        <v>2304</v>
      </c>
      <c r="J612" s="52" t="s">
        <v>2343</v>
      </c>
      <c r="K612" s="52" t="s">
        <v>2476</v>
      </c>
      <c r="L612" s="52" t="s">
        <v>2476</v>
      </c>
      <c r="M612" s="52" t="s">
        <v>29</v>
      </c>
      <c r="N612" s="53">
        <v>-4.3</v>
      </c>
      <c r="O612" s="53">
        <v>-4.3</v>
      </c>
      <c r="P612" s="52" t="s">
        <v>2477</v>
      </c>
      <c r="Q612" s="52" t="s">
        <v>2478</v>
      </c>
      <c r="R612" s="52" t="s">
        <v>64</v>
      </c>
      <c r="S612" s="52" t="s">
        <v>2343</v>
      </c>
    </row>
    <row r="613" spans="1:19" outlineLevel="2" x14ac:dyDescent="0.45">
      <c r="A613" t="s">
        <v>17</v>
      </c>
      <c r="B613" s="52" t="s">
        <v>57</v>
      </c>
      <c r="C613" s="52" t="s">
        <v>349</v>
      </c>
      <c r="D613" s="52" t="s">
        <v>350</v>
      </c>
      <c r="E613" s="52" t="s">
        <v>387</v>
      </c>
      <c r="F613" s="52" t="s">
        <v>2475</v>
      </c>
      <c r="G613" s="52" t="s">
        <v>60</v>
      </c>
      <c r="H613" s="54">
        <v>46143</v>
      </c>
      <c r="I613" s="52" t="s">
        <v>2304</v>
      </c>
      <c r="J613" s="52" t="s">
        <v>2343</v>
      </c>
      <c r="K613" s="52" t="s">
        <v>2476</v>
      </c>
      <c r="L613" s="52" t="s">
        <v>2476</v>
      </c>
      <c r="M613" s="52" t="s">
        <v>29</v>
      </c>
      <c r="N613" s="53">
        <v>-4.3</v>
      </c>
      <c r="O613" s="53">
        <v>-4.3</v>
      </c>
      <c r="P613" s="52" t="s">
        <v>2477</v>
      </c>
      <c r="Q613" s="52" t="s">
        <v>2478</v>
      </c>
      <c r="R613" s="52" t="s">
        <v>64</v>
      </c>
      <c r="S613" s="52" t="s">
        <v>2343</v>
      </c>
    </row>
    <row r="614" spans="1:19" outlineLevel="2" x14ac:dyDescent="0.45">
      <c r="A614" t="s">
        <v>17</v>
      </c>
      <c r="B614" s="52" t="s">
        <v>57</v>
      </c>
      <c r="C614" s="52" t="s">
        <v>349</v>
      </c>
      <c r="D614" s="52" t="s">
        <v>350</v>
      </c>
      <c r="E614" s="52" t="s">
        <v>387</v>
      </c>
      <c r="F614" s="52" t="s">
        <v>2475</v>
      </c>
      <c r="G614" s="52" t="s">
        <v>60</v>
      </c>
      <c r="H614" s="54">
        <v>46143</v>
      </c>
      <c r="I614" s="52" t="s">
        <v>2304</v>
      </c>
      <c r="J614" s="52" t="s">
        <v>2343</v>
      </c>
      <c r="K614" s="52" t="s">
        <v>2476</v>
      </c>
      <c r="L614" s="52" t="s">
        <v>2476</v>
      </c>
      <c r="M614" s="52" t="s">
        <v>29</v>
      </c>
      <c r="N614" s="53">
        <v>-24</v>
      </c>
      <c r="O614" s="53">
        <v>-24</v>
      </c>
      <c r="P614" s="52" t="s">
        <v>2477</v>
      </c>
      <c r="Q614" s="52" t="s">
        <v>2478</v>
      </c>
      <c r="R614" s="52" t="s">
        <v>64</v>
      </c>
      <c r="S614" s="52" t="s">
        <v>2343</v>
      </c>
    </row>
    <row r="615" spans="1:19" outlineLevel="2" x14ac:dyDescent="0.45">
      <c r="A615" t="s">
        <v>17</v>
      </c>
      <c r="B615" s="52" t="s">
        <v>57</v>
      </c>
      <c r="C615" s="52" t="s">
        <v>349</v>
      </c>
      <c r="D615" s="52" t="s">
        <v>350</v>
      </c>
      <c r="E615" s="52" t="s">
        <v>387</v>
      </c>
      <c r="F615" s="52" t="s">
        <v>2475</v>
      </c>
      <c r="G615" s="52" t="s">
        <v>60</v>
      </c>
      <c r="H615" s="54">
        <v>46143</v>
      </c>
      <c r="I615" s="52" t="s">
        <v>2304</v>
      </c>
      <c r="J615" s="52" t="s">
        <v>2343</v>
      </c>
      <c r="K615" s="52" t="s">
        <v>2476</v>
      </c>
      <c r="L615" s="52" t="s">
        <v>2476</v>
      </c>
      <c r="M615" s="52" t="s">
        <v>29</v>
      </c>
      <c r="N615" s="53">
        <v>-30</v>
      </c>
      <c r="O615" s="53">
        <v>-30</v>
      </c>
      <c r="P615" s="52" t="s">
        <v>2477</v>
      </c>
      <c r="Q615" s="52" t="s">
        <v>2478</v>
      </c>
      <c r="R615" s="52" t="s">
        <v>64</v>
      </c>
      <c r="S615" s="52" t="s">
        <v>2343</v>
      </c>
    </row>
    <row r="616" spans="1:19" outlineLevel="2" x14ac:dyDescent="0.45">
      <c r="A616" t="s">
        <v>17</v>
      </c>
      <c r="B616" s="52" t="s">
        <v>57</v>
      </c>
      <c r="C616" s="52" t="s">
        <v>349</v>
      </c>
      <c r="D616" s="52" t="s">
        <v>350</v>
      </c>
      <c r="E616" s="52" t="s">
        <v>387</v>
      </c>
      <c r="F616" s="52" t="s">
        <v>2475</v>
      </c>
      <c r="G616" s="52" t="s">
        <v>60</v>
      </c>
      <c r="H616" s="54">
        <v>46143</v>
      </c>
      <c r="I616" s="52" t="s">
        <v>2304</v>
      </c>
      <c r="J616" s="52" t="s">
        <v>2343</v>
      </c>
      <c r="K616" s="52" t="s">
        <v>2476</v>
      </c>
      <c r="L616" s="52" t="s">
        <v>2476</v>
      </c>
      <c r="M616" s="52" t="s">
        <v>29</v>
      </c>
      <c r="N616" s="53">
        <v>-30</v>
      </c>
      <c r="O616" s="53">
        <v>-30</v>
      </c>
      <c r="P616" s="52" t="s">
        <v>2477</v>
      </c>
      <c r="Q616" s="52" t="s">
        <v>2478</v>
      </c>
      <c r="R616" s="52" t="s">
        <v>64</v>
      </c>
      <c r="S616" s="52" t="s">
        <v>2343</v>
      </c>
    </row>
    <row r="617" spans="1:19" outlineLevel="2" x14ac:dyDescent="0.45">
      <c r="A617" t="s">
        <v>17</v>
      </c>
      <c r="B617" s="52" t="s">
        <v>66</v>
      </c>
      <c r="C617" s="52" t="s">
        <v>349</v>
      </c>
      <c r="D617" s="52" t="s">
        <v>350</v>
      </c>
      <c r="E617" s="52" t="s">
        <v>387</v>
      </c>
      <c r="F617" s="52" t="s">
        <v>2479</v>
      </c>
      <c r="G617" s="52" t="s">
        <v>60</v>
      </c>
      <c r="H617" s="54">
        <v>46143</v>
      </c>
      <c r="I617" s="52" t="s">
        <v>2304</v>
      </c>
      <c r="J617" s="52" t="s">
        <v>2343</v>
      </c>
      <c r="K617" s="52" t="s">
        <v>2480</v>
      </c>
      <c r="L617" s="52" t="s">
        <v>2480</v>
      </c>
      <c r="M617" s="52" t="s">
        <v>67</v>
      </c>
      <c r="N617" s="53">
        <v>-1.53</v>
      </c>
      <c r="O617" s="53">
        <v>-5.23</v>
      </c>
      <c r="P617" s="52" t="s">
        <v>2481</v>
      </c>
      <c r="Q617" s="52" t="s">
        <v>2478</v>
      </c>
      <c r="R617" s="52" t="s">
        <v>64</v>
      </c>
      <c r="S617" s="52" t="s">
        <v>2343</v>
      </c>
    </row>
    <row r="618" spans="1:19" outlineLevel="2" x14ac:dyDescent="0.45">
      <c r="A618" t="s">
        <v>17</v>
      </c>
      <c r="B618" s="52" t="s">
        <v>57</v>
      </c>
      <c r="C618" s="52" t="s">
        <v>349</v>
      </c>
      <c r="D618" s="52" t="s">
        <v>350</v>
      </c>
      <c r="E618" s="52" t="s">
        <v>387</v>
      </c>
      <c r="F618" s="52" t="s">
        <v>2482</v>
      </c>
      <c r="G618" s="52" t="s">
        <v>60</v>
      </c>
      <c r="H618" s="54">
        <v>46143</v>
      </c>
      <c r="I618" s="52" t="s">
        <v>2304</v>
      </c>
      <c r="J618" s="52" t="s">
        <v>2483</v>
      </c>
      <c r="K618" s="52" t="s">
        <v>2484</v>
      </c>
      <c r="L618" s="52" t="s">
        <v>2484</v>
      </c>
      <c r="M618" s="52" t="s">
        <v>29</v>
      </c>
      <c r="N618" s="53">
        <v>-4.3</v>
      </c>
      <c r="O618" s="53">
        <v>-4.3</v>
      </c>
      <c r="P618" s="52" t="s">
        <v>2485</v>
      </c>
      <c r="Q618" s="52" t="s">
        <v>2486</v>
      </c>
      <c r="R618" s="52" t="s">
        <v>64</v>
      </c>
      <c r="S618" s="52" t="s">
        <v>2483</v>
      </c>
    </row>
    <row r="619" spans="1:19" outlineLevel="2" x14ac:dyDescent="0.45">
      <c r="A619" t="s">
        <v>17</v>
      </c>
      <c r="B619" s="52" t="s">
        <v>57</v>
      </c>
      <c r="C619" s="52" t="s">
        <v>349</v>
      </c>
      <c r="D619" s="52" t="s">
        <v>350</v>
      </c>
      <c r="E619" s="52" t="s">
        <v>387</v>
      </c>
      <c r="F619" s="52" t="s">
        <v>2487</v>
      </c>
      <c r="G619" s="52" t="s">
        <v>60</v>
      </c>
      <c r="H619" s="54">
        <v>46143</v>
      </c>
      <c r="I619" s="52" t="s">
        <v>2304</v>
      </c>
      <c r="J619" s="52" t="s">
        <v>2488</v>
      </c>
      <c r="K619" s="52" t="s">
        <v>2489</v>
      </c>
      <c r="L619" s="52" t="s">
        <v>2489</v>
      </c>
      <c r="M619" s="52" t="s">
        <v>29</v>
      </c>
      <c r="N619" s="53">
        <v>-4.3</v>
      </c>
      <c r="O619" s="53">
        <v>-4.3</v>
      </c>
      <c r="P619" s="52" t="s">
        <v>2490</v>
      </c>
      <c r="Q619" s="52" t="s">
        <v>2491</v>
      </c>
      <c r="R619" s="52" t="s">
        <v>64</v>
      </c>
      <c r="S619" s="52" t="s">
        <v>2488</v>
      </c>
    </row>
    <row r="620" spans="1:19" outlineLevel="2" x14ac:dyDescent="0.45">
      <c r="A620" t="s">
        <v>17</v>
      </c>
      <c r="B620" s="52" t="s">
        <v>57</v>
      </c>
      <c r="C620" s="52" t="s">
        <v>349</v>
      </c>
      <c r="D620" s="52" t="s">
        <v>350</v>
      </c>
      <c r="E620" s="52" t="s">
        <v>387</v>
      </c>
      <c r="F620" s="52" t="s">
        <v>2492</v>
      </c>
      <c r="G620" s="52" t="s">
        <v>60</v>
      </c>
      <c r="H620" s="54">
        <v>46143</v>
      </c>
      <c r="I620" s="52" t="s">
        <v>2304</v>
      </c>
      <c r="J620" s="52" t="s">
        <v>2328</v>
      </c>
      <c r="K620" s="52" t="s">
        <v>2493</v>
      </c>
      <c r="L620" s="52" t="s">
        <v>2493</v>
      </c>
      <c r="M620" s="52" t="s">
        <v>29</v>
      </c>
      <c r="N620" s="53">
        <v>-1</v>
      </c>
      <c r="O620" s="53">
        <v>-1</v>
      </c>
      <c r="P620" s="52" t="s">
        <v>2494</v>
      </c>
      <c r="Q620" s="52" t="s">
        <v>2495</v>
      </c>
      <c r="R620" s="52" t="s">
        <v>64</v>
      </c>
      <c r="S620" s="52" t="s">
        <v>2328</v>
      </c>
    </row>
    <row r="621" spans="1:19" outlineLevel="2" x14ac:dyDescent="0.45">
      <c r="A621" t="s">
        <v>17</v>
      </c>
      <c r="B621" s="52" t="s">
        <v>57</v>
      </c>
      <c r="C621" s="52" t="s">
        <v>349</v>
      </c>
      <c r="D621" s="52" t="s">
        <v>350</v>
      </c>
      <c r="E621" s="52" t="s">
        <v>387</v>
      </c>
      <c r="F621" s="52" t="s">
        <v>2492</v>
      </c>
      <c r="G621" s="52" t="s">
        <v>60</v>
      </c>
      <c r="H621" s="54">
        <v>46143</v>
      </c>
      <c r="I621" s="52" t="s">
        <v>2304</v>
      </c>
      <c r="J621" s="52" t="s">
        <v>2328</v>
      </c>
      <c r="K621" s="52" t="s">
        <v>2493</v>
      </c>
      <c r="L621" s="52" t="s">
        <v>2493</v>
      </c>
      <c r="M621" s="52" t="s">
        <v>29</v>
      </c>
      <c r="N621" s="53">
        <v>-1</v>
      </c>
      <c r="O621" s="53">
        <v>-1</v>
      </c>
      <c r="P621" s="52" t="s">
        <v>2494</v>
      </c>
      <c r="Q621" s="52" t="s">
        <v>2495</v>
      </c>
      <c r="R621" s="52" t="s">
        <v>64</v>
      </c>
      <c r="S621" s="52" t="s">
        <v>2328</v>
      </c>
    </row>
    <row r="622" spans="1:19" outlineLevel="2" x14ac:dyDescent="0.45">
      <c r="A622" t="s">
        <v>17</v>
      </c>
      <c r="B622" s="52" t="s">
        <v>57</v>
      </c>
      <c r="C622" s="52" t="s">
        <v>349</v>
      </c>
      <c r="D622" s="52" t="s">
        <v>350</v>
      </c>
      <c r="E622" s="52" t="s">
        <v>387</v>
      </c>
      <c r="F622" s="52" t="s">
        <v>2492</v>
      </c>
      <c r="G622" s="52" t="s">
        <v>60</v>
      </c>
      <c r="H622" s="54">
        <v>46143</v>
      </c>
      <c r="I622" s="52" t="s">
        <v>2304</v>
      </c>
      <c r="J622" s="52" t="s">
        <v>2328</v>
      </c>
      <c r="K622" s="52" t="s">
        <v>2493</v>
      </c>
      <c r="L622" s="52" t="s">
        <v>2493</v>
      </c>
      <c r="M622" s="52" t="s">
        <v>29</v>
      </c>
      <c r="N622" s="53">
        <v>-9</v>
      </c>
      <c r="O622" s="53">
        <v>-9</v>
      </c>
      <c r="P622" s="52" t="s">
        <v>2494</v>
      </c>
      <c r="Q622" s="52" t="s">
        <v>2495</v>
      </c>
      <c r="R622" s="52" t="s">
        <v>64</v>
      </c>
      <c r="S622" s="52" t="s">
        <v>2328</v>
      </c>
    </row>
    <row r="623" spans="1:19" outlineLevel="2" x14ac:dyDescent="0.45">
      <c r="A623" t="s">
        <v>17</v>
      </c>
      <c r="B623" s="52" t="s">
        <v>57</v>
      </c>
      <c r="C623" s="52" t="s">
        <v>349</v>
      </c>
      <c r="D623" s="52" t="s">
        <v>350</v>
      </c>
      <c r="E623" s="52" t="s">
        <v>387</v>
      </c>
      <c r="F623" s="52" t="s">
        <v>2496</v>
      </c>
      <c r="G623" s="52" t="s">
        <v>60</v>
      </c>
      <c r="H623" s="54">
        <v>46143</v>
      </c>
      <c r="I623" s="52" t="s">
        <v>2304</v>
      </c>
      <c r="J623" s="52" t="s">
        <v>2416</v>
      </c>
      <c r="K623" s="52" t="s">
        <v>2497</v>
      </c>
      <c r="L623" s="52" t="s">
        <v>2497</v>
      </c>
      <c r="M623" s="52" t="s">
        <v>29</v>
      </c>
      <c r="N623" s="53">
        <v>-28.9</v>
      </c>
      <c r="O623" s="53">
        <v>-28.9</v>
      </c>
      <c r="P623" s="52" t="s">
        <v>2498</v>
      </c>
      <c r="Q623" s="52" t="s">
        <v>2499</v>
      </c>
      <c r="R623" s="52" t="s">
        <v>64</v>
      </c>
      <c r="S623" s="52" t="s">
        <v>2416</v>
      </c>
    </row>
    <row r="624" spans="1:19" outlineLevel="2" x14ac:dyDescent="0.45">
      <c r="A624" t="s">
        <v>17</v>
      </c>
      <c r="B624" s="52" t="s">
        <v>57</v>
      </c>
      <c r="C624" s="52" t="s">
        <v>349</v>
      </c>
      <c r="D624" s="52" t="s">
        <v>350</v>
      </c>
      <c r="E624" s="52" t="s">
        <v>387</v>
      </c>
      <c r="F624" s="52" t="s">
        <v>2201</v>
      </c>
      <c r="G624" s="52" t="s">
        <v>60</v>
      </c>
      <c r="H624" s="54">
        <v>46143</v>
      </c>
      <c r="I624" s="52" t="s">
        <v>2304</v>
      </c>
      <c r="J624" s="52" t="s">
        <v>2333</v>
      </c>
      <c r="K624" s="52" t="s">
        <v>2500</v>
      </c>
      <c r="L624" s="52" t="s">
        <v>2500</v>
      </c>
      <c r="M624" s="52" t="s">
        <v>29</v>
      </c>
      <c r="N624" s="53">
        <v>-31.5</v>
      </c>
      <c r="O624" s="53">
        <v>-31.5</v>
      </c>
      <c r="P624" s="52" t="s">
        <v>2501</v>
      </c>
      <c r="Q624" s="52" t="s">
        <v>2502</v>
      </c>
      <c r="R624" s="52" t="s">
        <v>64</v>
      </c>
      <c r="S624" s="52" t="s">
        <v>2333</v>
      </c>
    </row>
    <row r="625" spans="1:19" outlineLevel="2" x14ac:dyDescent="0.45">
      <c r="A625" t="s">
        <v>17</v>
      </c>
      <c r="B625" s="52" t="s">
        <v>66</v>
      </c>
      <c r="C625" s="52" t="s">
        <v>349</v>
      </c>
      <c r="D625" s="52" t="s">
        <v>350</v>
      </c>
      <c r="E625" s="52" t="s">
        <v>387</v>
      </c>
      <c r="F625" s="52" t="s">
        <v>2503</v>
      </c>
      <c r="G625" s="52" t="s">
        <v>60</v>
      </c>
      <c r="H625" s="54">
        <v>46143</v>
      </c>
      <c r="I625" s="52" t="s">
        <v>2304</v>
      </c>
      <c r="J625" s="52" t="s">
        <v>2328</v>
      </c>
      <c r="K625" s="52" t="s">
        <v>2504</v>
      </c>
      <c r="L625" s="52" t="s">
        <v>2504</v>
      </c>
      <c r="M625" s="52" t="s">
        <v>67</v>
      </c>
      <c r="N625" s="53">
        <v>-2.75</v>
      </c>
      <c r="O625" s="53">
        <v>-9.39</v>
      </c>
      <c r="P625" s="52" t="s">
        <v>2505</v>
      </c>
      <c r="Q625" s="52" t="s">
        <v>2442</v>
      </c>
      <c r="R625" s="52" t="s">
        <v>64</v>
      </c>
      <c r="S625" s="52" t="s">
        <v>2328</v>
      </c>
    </row>
    <row r="626" spans="1:19" outlineLevel="2" x14ac:dyDescent="0.45">
      <c r="A626" t="s">
        <v>17</v>
      </c>
      <c r="B626" s="52" t="s">
        <v>57</v>
      </c>
      <c r="C626" s="52" t="s">
        <v>2506</v>
      </c>
      <c r="D626" s="52" t="s">
        <v>2507</v>
      </c>
      <c r="E626" s="52" t="s">
        <v>387</v>
      </c>
      <c r="F626" s="52" t="s">
        <v>2508</v>
      </c>
      <c r="G626" s="52" t="s">
        <v>60</v>
      </c>
      <c r="H626" s="54">
        <v>46143</v>
      </c>
      <c r="I626" s="52" t="s">
        <v>2304</v>
      </c>
      <c r="J626" s="52" t="s">
        <v>2333</v>
      </c>
      <c r="K626" s="52" t="s">
        <v>2509</v>
      </c>
      <c r="L626" s="52" t="s">
        <v>2509</v>
      </c>
      <c r="M626" s="52" t="s">
        <v>29</v>
      </c>
      <c r="N626" s="53">
        <v>-76086.960000000006</v>
      </c>
      <c r="O626" s="53">
        <v>-76086.960000000006</v>
      </c>
      <c r="P626" s="52" t="s">
        <v>2510</v>
      </c>
      <c r="Q626" s="52" t="s">
        <v>2511</v>
      </c>
      <c r="R626" s="55" t="s">
        <v>64</v>
      </c>
      <c r="S626" s="52" t="s">
        <v>2333</v>
      </c>
    </row>
    <row r="627" spans="1:19" hidden="1" outlineLevel="2" x14ac:dyDescent="0.45">
      <c r="A627" t="s">
        <v>17</v>
      </c>
      <c r="B627" s="52" t="s">
        <v>66</v>
      </c>
      <c r="C627" s="52" t="s">
        <v>376</v>
      </c>
      <c r="D627" s="52" t="s">
        <v>377</v>
      </c>
      <c r="E627" s="52" t="s">
        <v>387</v>
      </c>
      <c r="F627" s="52" t="s">
        <v>2512</v>
      </c>
      <c r="G627" s="52" t="s">
        <v>60</v>
      </c>
      <c r="H627" s="54">
        <v>46143</v>
      </c>
      <c r="I627" s="52" t="s">
        <v>2304</v>
      </c>
      <c r="J627" s="52" t="s">
        <v>2321</v>
      </c>
      <c r="K627" s="52" t="s">
        <v>2513</v>
      </c>
      <c r="L627" s="52" t="s">
        <v>2513</v>
      </c>
      <c r="M627" s="52" t="s">
        <v>67</v>
      </c>
      <c r="N627" s="53">
        <v>-20000</v>
      </c>
      <c r="O627" s="53">
        <v>-68380</v>
      </c>
      <c r="P627" s="52" t="s">
        <v>2514</v>
      </c>
      <c r="Q627" s="52" t="s">
        <v>2515</v>
      </c>
      <c r="R627" s="55" t="s">
        <v>64</v>
      </c>
      <c r="S627" s="52" t="s">
        <v>2321</v>
      </c>
    </row>
    <row r="628" spans="1:19" outlineLevel="2" x14ac:dyDescent="0.45">
      <c r="A628" t="s">
        <v>17</v>
      </c>
      <c r="B628" s="52" t="s">
        <v>57</v>
      </c>
      <c r="C628" s="52" t="s">
        <v>2516</v>
      </c>
      <c r="D628" s="52" t="s">
        <v>2517</v>
      </c>
      <c r="E628" s="52" t="s">
        <v>387</v>
      </c>
      <c r="F628" s="52" t="s">
        <v>2154</v>
      </c>
      <c r="G628" s="52" t="s">
        <v>60</v>
      </c>
      <c r="H628" s="54">
        <v>46143</v>
      </c>
      <c r="I628" s="52" t="s">
        <v>2304</v>
      </c>
      <c r="J628" s="52" t="s">
        <v>2416</v>
      </c>
      <c r="K628" s="52" t="s">
        <v>2518</v>
      </c>
      <c r="L628" s="52" t="s">
        <v>2518</v>
      </c>
      <c r="M628" s="52" t="s">
        <v>29</v>
      </c>
      <c r="N628" s="53">
        <v>-53363.38</v>
      </c>
      <c r="O628" s="53">
        <v>-53363.38</v>
      </c>
      <c r="P628" s="52" t="s">
        <v>2519</v>
      </c>
      <c r="Q628" s="52" t="s">
        <v>2520</v>
      </c>
      <c r="R628" s="55" t="s">
        <v>64</v>
      </c>
      <c r="S628" s="52" t="s">
        <v>2416</v>
      </c>
    </row>
    <row r="629" spans="1:19" hidden="1" outlineLevel="2" x14ac:dyDescent="0.45">
      <c r="A629" t="s">
        <v>17</v>
      </c>
      <c r="B629" s="52" t="s">
        <v>66</v>
      </c>
      <c r="C629" s="52" t="s">
        <v>376</v>
      </c>
      <c r="D629" s="52" t="s">
        <v>377</v>
      </c>
      <c r="E629" s="52" t="s">
        <v>387</v>
      </c>
      <c r="F629" s="52" t="s">
        <v>2521</v>
      </c>
      <c r="G629" s="52" t="s">
        <v>60</v>
      </c>
      <c r="H629" s="54">
        <v>46143</v>
      </c>
      <c r="I629" s="52" t="s">
        <v>2304</v>
      </c>
      <c r="J629" s="52" t="s">
        <v>2325</v>
      </c>
      <c r="K629" s="52" t="s">
        <v>2522</v>
      </c>
      <c r="L629" s="52" t="s">
        <v>2522</v>
      </c>
      <c r="M629" s="52" t="s">
        <v>67</v>
      </c>
      <c r="N629" s="53">
        <v>-10384</v>
      </c>
      <c r="O629" s="53">
        <v>-36323.230000000003</v>
      </c>
      <c r="P629" s="52" t="s">
        <v>2523</v>
      </c>
      <c r="Q629" s="52" t="s">
        <v>2524</v>
      </c>
      <c r="R629" s="55" t="s">
        <v>64</v>
      </c>
      <c r="S629" s="52" t="s">
        <v>2325</v>
      </c>
    </row>
    <row r="630" spans="1:19" hidden="1" outlineLevel="2" x14ac:dyDescent="0.45">
      <c r="A630" t="s">
        <v>17</v>
      </c>
      <c r="B630" s="52" t="s">
        <v>66</v>
      </c>
      <c r="C630" s="52" t="s">
        <v>376</v>
      </c>
      <c r="D630" s="52" t="s">
        <v>377</v>
      </c>
      <c r="E630" s="52" t="s">
        <v>387</v>
      </c>
      <c r="F630" s="52" t="s">
        <v>2525</v>
      </c>
      <c r="G630" s="52" t="s">
        <v>60</v>
      </c>
      <c r="H630" s="54">
        <v>46143</v>
      </c>
      <c r="I630" s="52" t="s">
        <v>2304</v>
      </c>
      <c r="J630" s="52" t="s">
        <v>2321</v>
      </c>
      <c r="K630" s="52" t="s">
        <v>2513</v>
      </c>
      <c r="L630" s="52" t="s">
        <v>2513</v>
      </c>
      <c r="M630" s="52" t="s">
        <v>67</v>
      </c>
      <c r="N630" s="53">
        <v>-10000</v>
      </c>
      <c r="O630" s="53">
        <v>-34190</v>
      </c>
      <c r="P630" s="52" t="s">
        <v>2514</v>
      </c>
      <c r="Q630" s="52" t="s">
        <v>2526</v>
      </c>
      <c r="R630" s="55" t="s">
        <v>64</v>
      </c>
      <c r="S630" s="52" t="s">
        <v>2321</v>
      </c>
    </row>
    <row r="631" spans="1:19" hidden="1" outlineLevel="2" x14ac:dyDescent="0.45">
      <c r="A631" t="s">
        <v>17</v>
      </c>
      <c r="B631" s="52" t="s">
        <v>66</v>
      </c>
      <c r="C631" s="52" t="s">
        <v>376</v>
      </c>
      <c r="D631" s="52" t="s">
        <v>377</v>
      </c>
      <c r="E631" s="52" t="s">
        <v>387</v>
      </c>
      <c r="F631" s="52" t="s">
        <v>2527</v>
      </c>
      <c r="G631" s="52" t="s">
        <v>60</v>
      </c>
      <c r="H631" s="54">
        <v>46143</v>
      </c>
      <c r="I631" s="52" t="s">
        <v>2304</v>
      </c>
      <c r="J631" s="52" t="s">
        <v>2325</v>
      </c>
      <c r="K631" s="52" t="s">
        <v>2528</v>
      </c>
      <c r="L631" s="52" t="s">
        <v>2528</v>
      </c>
      <c r="M631" s="52" t="s">
        <v>67</v>
      </c>
      <c r="N631" s="53">
        <v>-5192</v>
      </c>
      <c r="O631" s="53">
        <v>-18161.62</v>
      </c>
      <c r="P631" s="52" t="s">
        <v>2529</v>
      </c>
      <c r="Q631" s="52" t="s">
        <v>2530</v>
      </c>
      <c r="R631" s="55" t="s">
        <v>64</v>
      </c>
      <c r="S631" s="52" t="s">
        <v>2325</v>
      </c>
    </row>
    <row r="632" spans="1:19" outlineLevel="2" x14ac:dyDescent="0.45">
      <c r="A632" t="s">
        <v>17</v>
      </c>
      <c r="B632" s="52" t="s">
        <v>57</v>
      </c>
      <c r="C632" s="52" t="s">
        <v>656</v>
      </c>
      <c r="D632" s="52" t="s">
        <v>657</v>
      </c>
      <c r="E632" s="52" t="s">
        <v>387</v>
      </c>
      <c r="F632" s="52" t="s">
        <v>2531</v>
      </c>
      <c r="G632" s="52" t="s">
        <v>60</v>
      </c>
      <c r="H632" s="54">
        <v>46143</v>
      </c>
      <c r="I632" s="52" t="s">
        <v>2304</v>
      </c>
      <c r="J632" s="52" t="s">
        <v>2445</v>
      </c>
      <c r="K632" s="52" t="s">
        <v>2532</v>
      </c>
      <c r="L632" s="52" t="s">
        <v>2532</v>
      </c>
      <c r="M632" s="52" t="s">
        <v>29</v>
      </c>
      <c r="N632" s="53">
        <v>-17917.38</v>
      </c>
      <c r="O632" s="53">
        <v>-17917.38</v>
      </c>
      <c r="P632" s="52" t="s">
        <v>2533</v>
      </c>
      <c r="Q632" s="52" t="s">
        <v>2534</v>
      </c>
      <c r="R632" s="55" t="s">
        <v>64</v>
      </c>
      <c r="S632" s="52" t="s">
        <v>2445</v>
      </c>
    </row>
    <row r="633" spans="1:19" outlineLevel="2" x14ac:dyDescent="0.45">
      <c r="A633" t="s">
        <v>17</v>
      </c>
      <c r="B633" s="52" t="s">
        <v>57</v>
      </c>
      <c r="C633" s="52" t="s">
        <v>630</v>
      </c>
      <c r="D633" s="52" t="s">
        <v>631</v>
      </c>
      <c r="E633" s="52" t="s">
        <v>387</v>
      </c>
      <c r="F633" s="52" t="s">
        <v>2535</v>
      </c>
      <c r="G633" s="52" t="s">
        <v>60</v>
      </c>
      <c r="H633" s="54">
        <v>46143</v>
      </c>
      <c r="I633" s="52" t="s">
        <v>2304</v>
      </c>
      <c r="J633" s="52" t="s">
        <v>2328</v>
      </c>
      <c r="K633" s="52" t="s">
        <v>2536</v>
      </c>
      <c r="L633" s="52" t="s">
        <v>2536</v>
      </c>
      <c r="M633" s="52" t="s">
        <v>29</v>
      </c>
      <c r="N633" s="53">
        <v>-16099</v>
      </c>
      <c r="O633" s="53">
        <v>-16099</v>
      </c>
      <c r="P633" s="52" t="s">
        <v>2537</v>
      </c>
      <c r="Q633" s="52" t="s">
        <v>2538</v>
      </c>
      <c r="R633" s="55" t="s">
        <v>64</v>
      </c>
      <c r="S633" s="52" t="s">
        <v>2328</v>
      </c>
    </row>
    <row r="634" spans="1:19" outlineLevel="2" x14ac:dyDescent="0.45">
      <c r="A634" t="s">
        <v>17</v>
      </c>
      <c r="B634" s="52" t="s">
        <v>57</v>
      </c>
      <c r="C634" s="52" t="s">
        <v>630</v>
      </c>
      <c r="D634" s="52" t="s">
        <v>631</v>
      </c>
      <c r="E634" s="52" t="s">
        <v>387</v>
      </c>
      <c r="F634" s="52" t="s">
        <v>2539</v>
      </c>
      <c r="G634" s="52" t="s">
        <v>60</v>
      </c>
      <c r="H634" s="54">
        <v>46143</v>
      </c>
      <c r="I634" s="52" t="s">
        <v>2304</v>
      </c>
      <c r="J634" s="52" t="s">
        <v>2328</v>
      </c>
      <c r="K634" s="52" t="s">
        <v>2536</v>
      </c>
      <c r="L634" s="52" t="s">
        <v>2536</v>
      </c>
      <c r="M634" s="52" t="s">
        <v>29</v>
      </c>
      <c r="N634" s="53">
        <v>-13431</v>
      </c>
      <c r="O634" s="53">
        <v>-13431</v>
      </c>
      <c r="P634" s="52" t="s">
        <v>2537</v>
      </c>
      <c r="Q634" s="52" t="s">
        <v>2538</v>
      </c>
      <c r="R634" s="55" t="s">
        <v>64</v>
      </c>
      <c r="S634" s="52" t="s">
        <v>2328</v>
      </c>
    </row>
    <row r="635" spans="1:19" outlineLevel="2" x14ac:dyDescent="0.45">
      <c r="A635" t="s">
        <v>17</v>
      </c>
      <c r="B635" s="52" t="s">
        <v>57</v>
      </c>
      <c r="C635" s="52" t="s">
        <v>697</v>
      </c>
      <c r="D635" s="52" t="s">
        <v>698</v>
      </c>
      <c r="E635" s="52" t="s">
        <v>387</v>
      </c>
      <c r="F635" s="52" t="s">
        <v>819</v>
      </c>
      <c r="G635" s="52" t="s">
        <v>60</v>
      </c>
      <c r="H635" s="54">
        <v>46143</v>
      </c>
      <c r="I635" s="52" t="s">
        <v>2304</v>
      </c>
      <c r="J635" s="52" t="s">
        <v>2540</v>
      </c>
      <c r="K635" s="52" t="s">
        <v>2541</v>
      </c>
      <c r="L635" s="52" t="s">
        <v>2542</v>
      </c>
      <c r="M635" s="52" t="s">
        <v>29</v>
      </c>
      <c r="N635" s="53">
        <v>-9356.81</v>
      </c>
      <c r="O635" s="53">
        <v>-9356.81</v>
      </c>
      <c r="P635" s="52" t="s">
        <v>702</v>
      </c>
      <c r="Q635" s="52" t="s">
        <v>2543</v>
      </c>
      <c r="R635" s="55" t="s">
        <v>64</v>
      </c>
      <c r="S635" s="52" t="s">
        <v>2540</v>
      </c>
    </row>
    <row r="636" spans="1:19" hidden="1" outlineLevel="2" x14ac:dyDescent="0.45">
      <c r="A636" t="s">
        <v>17</v>
      </c>
      <c r="B636" s="52" t="s">
        <v>57</v>
      </c>
      <c r="C636" s="52" t="s">
        <v>376</v>
      </c>
      <c r="D636" s="52" t="s">
        <v>377</v>
      </c>
      <c r="E636" s="52" t="s">
        <v>387</v>
      </c>
      <c r="F636" s="52" t="s">
        <v>2544</v>
      </c>
      <c r="G636" s="52" t="s">
        <v>60</v>
      </c>
      <c r="H636" s="54">
        <v>46143</v>
      </c>
      <c r="I636" s="52" t="s">
        <v>2304</v>
      </c>
      <c r="J636" s="52" t="s">
        <v>2445</v>
      </c>
      <c r="K636" s="52" t="s">
        <v>2545</v>
      </c>
      <c r="L636" s="52" t="s">
        <v>2545</v>
      </c>
      <c r="M636" s="52" t="s">
        <v>29</v>
      </c>
      <c r="N636" s="53">
        <v>-8983.76</v>
      </c>
      <c r="O636" s="53">
        <v>-8983.76</v>
      </c>
      <c r="P636" s="52" t="s">
        <v>2546</v>
      </c>
      <c r="Q636" s="52" t="s">
        <v>2547</v>
      </c>
      <c r="R636" s="55" t="s">
        <v>64</v>
      </c>
      <c r="S636" s="52" t="s">
        <v>2445</v>
      </c>
    </row>
    <row r="637" spans="1:19" hidden="1" outlineLevel="2" x14ac:dyDescent="0.45">
      <c r="A637" t="s">
        <v>17</v>
      </c>
      <c r="B637" s="52" t="s">
        <v>57</v>
      </c>
      <c r="C637" s="52" t="s">
        <v>2548</v>
      </c>
      <c r="D637" s="52" t="s">
        <v>2549</v>
      </c>
      <c r="E637" s="52" t="s">
        <v>387</v>
      </c>
      <c r="F637" s="52" t="s">
        <v>2550</v>
      </c>
      <c r="G637" s="52" t="s">
        <v>60</v>
      </c>
      <c r="H637" s="54">
        <v>46143</v>
      </c>
      <c r="I637" s="52" t="s">
        <v>2304</v>
      </c>
      <c r="J637" s="52" t="s">
        <v>2321</v>
      </c>
      <c r="K637" s="52" t="s">
        <v>2551</v>
      </c>
      <c r="L637" s="52" t="s">
        <v>2551</v>
      </c>
      <c r="M637" s="52" t="s">
        <v>29</v>
      </c>
      <c r="N637" s="53">
        <v>-8910.98</v>
      </c>
      <c r="O637" s="53">
        <v>-8910.98</v>
      </c>
      <c r="P637" s="52" t="s">
        <v>2552</v>
      </c>
      <c r="Q637" s="52" t="s">
        <v>2553</v>
      </c>
      <c r="R637" s="55" t="s">
        <v>64</v>
      </c>
      <c r="S637" s="52" t="s">
        <v>2321</v>
      </c>
    </row>
    <row r="638" spans="1:19" outlineLevel="2" x14ac:dyDescent="0.45">
      <c r="A638" t="s">
        <v>17</v>
      </c>
      <c r="B638" s="52" t="s">
        <v>57</v>
      </c>
      <c r="C638" s="52" t="s">
        <v>707</v>
      </c>
      <c r="D638" s="52" t="s">
        <v>708</v>
      </c>
      <c r="E638" s="52" t="s">
        <v>387</v>
      </c>
      <c r="F638" s="52" t="s">
        <v>2554</v>
      </c>
      <c r="G638" s="52" t="s">
        <v>60</v>
      </c>
      <c r="H638" s="54">
        <v>46143</v>
      </c>
      <c r="I638" s="52" t="s">
        <v>2304</v>
      </c>
      <c r="J638" s="52" t="s">
        <v>2540</v>
      </c>
      <c r="K638" s="52" t="s">
        <v>2555</v>
      </c>
      <c r="L638" s="52" t="s">
        <v>2556</v>
      </c>
      <c r="M638" s="52" t="s">
        <v>29</v>
      </c>
      <c r="N638" s="53">
        <v>-7669.59</v>
      </c>
      <c r="O638" s="53">
        <v>-7669.59</v>
      </c>
      <c r="P638" s="52" t="s">
        <v>712</v>
      </c>
      <c r="Q638" s="52" t="s">
        <v>2557</v>
      </c>
      <c r="R638" s="55" t="s">
        <v>64</v>
      </c>
      <c r="S638" s="52" t="s">
        <v>2540</v>
      </c>
    </row>
    <row r="639" spans="1:19" hidden="1" outlineLevel="2" x14ac:dyDescent="0.45">
      <c r="A639" t="s">
        <v>17</v>
      </c>
      <c r="B639" s="52" t="s">
        <v>66</v>
      </c>
      <c r="C639" s="52" t="s">
        <v>376</v>
      </c>
      <c r="D639" s="52" t="s">
        <v>377</v>
      </c>
      <c r="E639" s="52" t="s">
        <v>387</v>
      </c>
      <c r="F639" s="52" t="s">
        <v>2558</v>
      </c>
      <c r="G639" s="52" t="s">
        <v>60</v>
      </c>
      <c r="H639" s="54">
        <v>46143</v>
      </c>
      <c r="I639" s="52" t="s">
        <v>2304</v>
      </c>
      <c r="J639" s="52" t="s">
        <v>2321</v>
      </c>
      <c r="K639" s="52" t="s">
        <v>2513</v>
      </c>
      <c r="L639" s="52" t="s">
        <v>2513</v>
      </c>
      <c r="M639" s="52" t="s">
        <v>67</v>
      </c>
      <c r="N639" s="53">
        <v>-2000</v>
      </c>
      <c r="O639" s="53">
        <v>-6838</v>
      </c>
      <c r="P639" s="52" t="s">
        <v>2514</v>
      </c>
      <c r="Q639" s="52" t="s">
        <v>2559</v>
      </c>
      <c r="R639" s="55" t="s">
        <v>64</v>
      </c>
      <c r="S639" s="52" t="s">
        <v>2321</v>
      </c>
    </row>
    <row r="640" spans="1:19" outlineLevel="2" x14ac:dyDescent="0.45">
      <c r="A640" t="s">
        <v>17</v>
      </c>
      <c r="B640" s="52" t="s">
        <v>57</v>
      </c>
      <c r="C640" s="52" t="s">
        <v>2099</v>
      </c>
      <c r="D640" s="52" t="s">
        <v>2100</v>
      </c>
      <c r="E640" s="52" t="s">
        <v>387</v>
      </c>
      <c r="F640" s="52" t="s">
        <v>2560</v>
      </c>
      <c r="G640" s="52" t="s">
        <v>60</v>
      </c>
      <c r="H640" s="54">
        <v>46143</v>
      </c>
      <c r="I640" s="52" t="s">
        <v>2304</v>
      </c>
      <c r="J640" s="52" t="s">
        <v>2561</v>
      </c>
      <c r="K640" s="52" t="s">
        <v>2562</v>
      </c>
      <c r="L640" s="52" t="s">
        <v>2562</v>
      </c>
      <c r="M640" s="52" t="s">
        <v>29</v>
      </c>
      <c r="N640" s="53">
        <v>-5940</v>
      </c>
      <c r="O640" s="53">
        <v>-5940</v>
      </c>
      <c r="P640" s="52" t="s">
        <v>2563</v>
      </c>
      <c r="Q640" s="52" t="s">
        <v>2564</v>
      </c>
      <c r="R640" s="55" t="s">
        <v>64</v>
      </c>
      <c r="S640" s="52" t="s">
        <v>2561</v>
      </c>
    </row>
    <row r="641" spans="1:19" hidden="1" outlineLevel="2" x14ac:dyDescent="0.45">
      <c r="A641" t="s">
        <v>17</v>
      </c>
      <c r="B641" s="52" t="s">
        <v>57</v>
      </c>
      <c r="C641" s="52"/>
      <c r="D641" s="52" t="s">
        <v>338</v>
      </c>
      <c r="E641" s="52" t="s">
        <v>387</v>
      </c>
      <c r="F641" s="52" t="s">
        <v>2565</v>
      </c>
      <c r="G641" s="52" t="s">
        <v>60</v>
      </c>
      <c r="H641" s="54">
        <v>46143</v>
      </c>
      <c r="I641" s="52" t="s">
        <v>2304</v>
      </c>
      <c r="J641" s="52" t="s">
        <v>2343</v>
      </c>
      <c r="K641" s="52"/>
      <c r="L641" s="52"/>
      <c r="M641" s="52" t="s">
        <v>29</v>
      </c>
      <c r="N641" s="53">
        <v>-5741</v>
      </c>
      <c r="O641" s="53">
        <v>-5741</v>
      </c>
      <c r="P641" s="52" t="s">
        <v>2566</v>
      </c>
      <c r="Q641" s="52" t="s">
        <v>2566</v>
      </c>
      <c r="R641" s="55" t="s">
        <v>64</v>
      </c>
      <c r="S641" s="52" t="s">
        <v>2343</v>
      </c>
    </row>
    <row r="642" spans="1:19" hidden="1" outlineLevel="2" x14ac:dyDescent="0.45">
      <c r="A642" t="s">
        <v>17</v>
      </c>
      <c r="B642" s="52" t="s">
        <v>57</v>
      </c>
      <c r="C642" s="52" t="s">
        <v>376</v>
      </c>
      <c r="D642" s="52" t="s">
        <v>377</v>
      </c>
      <c r="E642" s="52" t="s">
        <v>387</v>
      </c>
      <c r="F642" s="52" t="s">
        <v>882</v>
      </c>
      <c r="G642" s="52" t="s">
        <v>60</v>
      </c>
      <c r="H642" s="54">
        <v>46143</v>
      </c>
      <c r="I642" s="52" t="s">
        <v>2304</v>
      </c>
      <c r="J642" s="52" t="s">
        <v>2325</v>
      </c>
      <c r="K642" s="52" t="s">
        <v>2567</v>
      </c>
      <c r="L642" s="52" t="s">
        <v>2567</v>
      </c>
      <c r="M642" s="52" t="s">
        <v>29</v>
      </c>
      <c r="N642" s="53">
        <v>-5399.28</v>
      </c>
      <c r="O642" s="53">
        <v>-5399.28</v>
      </c>
      <c r="P642" s="52" t="s">
        <v>2568</v>
      </c>
      <c r="Q642" s="52" t="s">
        <v>2569</v>
      </c>
      <c r="R642" s="55" t="s">
        <v>64</v>
      </c>
      <c r="S642" s="52" t="s">
        <v>2325</v>
      </c>
    </row>
    <row r="643" spans="1:19" outlineLevel="2" x14ac:dyDescent="0.45">
      <c r="A643" t="s">
        <v>17</v>
      </c>
      <c r="B643" s="52" t="s">
        <v>57</v>
      </c>
      <c r="C643" s="52" t="s">
        <v>2099</v>
      </c>
      <c r="D643" s="52" t="s">
        <v>2100</v>
      </c>
      <c r="E643" s="52" t="s">
        <v>387</v>
      </c>
      <c r="F643" s="52" t="s">
        <v>2570</v>
      </c>
      <c r="G643" s="52" t="s">
        <v>60</v>
      </c>
      <c r="H643" s="54">
        <v>46143</v>
      </c>
      <c r="I643" s="52" t="s">
        <v>2304</v>
      </c>
      <c r="J643" s="52" t="s">
        <v>2561</v>
      </c>
      <c r="K643" s="52" t="s">
        <v>2240</v>
      </c>
      <c r="L643" s="52" t="s">
        <v>2240</v>
      </c>
      <c r="M643" s="52" t="s">
        <v>29</v>
      </c>
      <c r="N643" s="53">
        <v>-5130</v>
      </c>
      <c r="O643" s="53">
        <v>-5130</v>
      </c>
      <c r="P643" s="52" t="s">
        <v>2571</v>
      </c>
      <c r="Q643" s="52" t="s">
        <v>2572</v>
      </c>
      <c r="R643" s="55" t="s">
        <v>64</v>
      </c>
      <c r="S643" s="52" t="s">
        <v>2561</v>
      </c>
    </row>
    <row r="644" spans="1:19" outlineLevel="2" x14ac:dyDescent="0.45">
      <c r="A644" t="s">
        <v>17</v>
      </c>
      <c r="B644" s="52" t="s">
        <v>57</v>
      </c>
      <c r="C644" s="52"/>
      <c r="D644" s="52" t="s">
        <v>982</v>
      </c>
      <c r="E644" s="52" t="s">
        <v>387</v>
      </c>
      <c r="F644" s="52" t="s">
        <v>2573</v>
      </c>
      <c r="G644" s="52" t="s">
        <v>60</v>
      </c>
      <c r="H644" s="54">
        <v>46143</v>
      </c>
      <c r="I644" s="52" t="s">
        <v>2304</v>
      </c>
      <c r="J644" s="52" t="s">
        <v>2445</v>
      </c>
      <c r="K644" s="52" t="s">
        <v>2574</v>
      </c>
      <c r="L644" s="52" t="s">
        <v>2574</v>
      </c>
      <c r="M644" s="52" t="s">
        <v>29</v>
      </c>
      <c r="N644" s="53">
        <v>-5000</v>
      </c>
      <c r="O644" s="53">
        <v>-5000</v>
      </c>
      <c r="P644" s="52" t="s">
        <v>2575</v>
      </c>
      <c r="Q644" s="52" t="s">
        <v>2576</v>
      </c>
      <c r="R644" s="55" t="s">
        <v>64</v>
      </c>
      <c r="S644" s="52" t="s">
        <v>2445</v>
      </c>
    </row>
    <row r="645" spans="1:19" outlineLevel="2" x14ac:dyDescent="0.45">
      <c r="A645" t="s">
        <v>17</v>
      </c>
      <c r="B645" s="52" t="s">
        <v>57</v>
      </c>
      <c r="C645" s="52" t="s">
        <v>734</v>
      </c>
      <c r="D645" s="52" t="s">
        <v>735</v>
      </c>
      <c r="E645" s="52" t="s">
        <v>387</v>
      </c>
      <c r="F645" s="52" t="s">
        <v>821</v>
      </c>
      <c r="G645" s="52" t="s">
        <v>60</v>
      </c>
      <c r="H645" s="54">
        <v>46143</v>
      </c>
      <c r="I645" s="52" t="s">
        <v>2304</v>
      </c>
      <c r="J645" s="52" t="s">
        <v>2540</v>
      </c>
      <c r="K645" s="52" t="s">
        <v>2577</v>
      </c>
      <c r="L645" s="52" t="s">
        <v>2578</v>
      </c>
      <c r="M645" s="52" t="s">
        <v>29</v>
      </c>
      <c r="N645" s="53">
        <v>-4846.84</v>
      </c>
      <c r="O645" s="53">
        <v>-4846.84</v>
      </c>
      <c r="P645" s="52" t="s">
        <v>739</v>
      </c>
      <c r="Q645" s="52" t="s">
        <v>2579</v>
      </c>
      <c r="R645" s="55" t="s">
        <v>64</v>
      </c>
      <c r="S645" s="52" t="s">
        <v>2540</v>
      </c>
    </row>
    <row r="646" spans="1:19" hidden="1" outlineLevel="2" x14ac:dyDescent="0.45">
      <c r="A646" t="s">
        <v>17</v>
      </c>
      <c r="B646" s="52" t="s">
        <v>66</v>
      </c>
      <c r="C646" s="52" t="s">
        <v>376</v>
      </c>
      <c r="D646" s="52" t="s">
        <v>377</v>
      </c>
      <c r="E646" s="52" t="s">
        <v>387</v>
      </c>
      <c r="F646" s="52" t="s">
        <v>2580</v>
      </c>
      <c r="G646" s="52" t="s">
        <v>60</v>
      </c>
      <c r="H646" s="54">
        <v>46143</v>
      </c>
      <c r="I646" s="52" t="s">
        <v>2304</v>
      </c>
      <c r="J646" s="52" t="s">
        <v>2321</v>
      </c>
      <c r="K646" s="52" t="s">
        <v>2513</v>
      </c>
      <c r="L646" s="52" t="s">
        <v>2513</v>
      </c>
      <c r="M646" s="52" t="s">
        <v>67</v>
      </c>
      <c r="N646" s="53">
        <v>-1416</v>
      </c>
      <c r="O646" s="53">
        <v>-4841.3</v>
      </c>
      <c r="P646" s="52" t="s">
        <v>2514</v>
      </c>
      <c r="Q646" s="52" t="s">
        <v>2581</v>
      </c>
      <c r="R646" s="55" t="s">
        <v>64</v>
      </c>
      <c r="S646" s="52" t="s">
        <v>2321</v>
      </c>
    </row>
    <row r="647" spans="1:19" outlineLevel="2" x14ac:dyDescent="0.45">
      <c r="A647" t="s">
        <v>17</v>
      </c>
      <c r="B647" s="52" t="s">
        <v>57</v>
      </c>
      <c r="C647" s="52" t="s">
        <v>774</v>
      </c>
      <c r="D647" s="52" t="s">
        <v>775</v>
      </c>
      <c r="E647" s="52" t="s">
        <v>387</v>
      </c>
      <c r="F647" s="52" t="s">
        <v>2582</v>
      </c>
      <c r="G647" s="52" t="s">
        <v>60</v>
      </c>
      <c r="H647" s="54">
        <v>46143</v>
      </c>
      <c r="I647" s="52" t="s">
        <v>2304</v>
      </c>
      <c r="J647" s="52" t="s">
        <v>2328</v>
      </c>
      <c r="K647" s="52"/>
      <c r="L647" s="52"/>
      <c r="M647" s="52" t="s">
        <v>29</v>
      </c>
      <c r="N647" s="53">
        <v>-4056.2</v>
      </c>
      <c r="O647" s="53">
        <v>-4056.2</v>
      </c>
      <c r="P647" s="52" t="s">
        <v>2583</v>
      </c>
      <c r="Q647" s="52" t="s">
        <v>2583</v>
      </c>
      <c r="R647" s="55" t="s">
        <v>64</v>
      </c>
      <c r="S647" s="52" t="s">
        <v>2328</v>
      </c>
    </row>
    <row r="648" spans="1:19" outlineLevel="2" x14ac:dyDescent="0.45">
      <c r="A648" t="s">
        <v>17</v>
      </c>
      <c r="B648" s="52" t="s">
        <v>57</v>
      </c>
      <c r="C648" s="52" t="s">
        <v>758</v>
      </c>
      <c r="D648" s="52" t="s">
        <v>759</v>
      </c>
      <c r="E648" s="52" t="s">
        <v>387</v>
      </c>
      <c r="F648" s="52" t="s">
        <v>2072</v>
      </c>
      <c r="G648" s="52" t="s">
        <v>60</v>
      </c>
      <c r="H648" s="54">
        <v>46143</v>
      </c>
      <c r="I648" s="52" t="s">
        <v>2304</v>
      </c>
      <c r="J648" s="52" t="s">
        <v>2445</v>
      </c>
      <c r="K648" s="52" t="s">
        <v>2584</v>
      </c>
      <c r="L648" s="52" t="s">
        <v>2584</v>
      </c>
      <c r="M648" s="52" t="s">
        <v>29</v>
      </c>
      <c r="N648" s="53">
        <v>-4031</v>
      </c>
      <c r="O648" s="53">
        <v>-4031</v>
      </c>
      <c r="P648" s="52" t="s">
        <v>2585</v>
      </c>
      <c r="Q648" s="52" t="s">
        <v>2586</v>
      </c>
      <c r="R648" s="55" t="s">
        <v>64</v>
      </c>
      <c r="S648" s="52" t="s">
        <v>2445</v>
      </c>
    </row>
    <row r="649" spans="1:19" outlineLevel="2" x14ac:dyDescent="0.45">
      <c r="A649" t="s">
        <v>17</v>
      </c>
      <c r="B649" s="52" t="s">
        <v>66</v>
      </c>
      <c r="C649" s="52" t="s">
        <v>870</v>
      </c>
      <c r="D649" s="52" t="s">
        <v>871</v>
      </c>
      <c r="E649" s="52" t="s">
        <v>387</v>
      </c>
      <c r="F649" s="52" t="s">
        <v>2587</v>
      </c>
      <c r="G649" s="52" t="s">
        <v>60</v>
      </c>
      <c r="H649" s="54">
        <v>46143</v>
      </c>
      <c r="I649" s="52" t="s">
        <v>2304</v>
      </c>
      <c r="J649" s="52" t="s">
        <v>2445</v>
      </c>
      <c r="K649" s="52"/>
      <c r="L649" s="52"/>
      <c r="M649" s="52" t="s">
        <v>67</v>
      </c>
      <c r="N649" s="53">
        <v>-979.14</v>
      </c>
      <c r="O649" s="53">
        <v>-3368.24</v>
      </c>
      <c r="P649" s="52" t="s">
        <v>2588</v>
      </c>
      <c r="Q649" s="52" t="s">
        <v>2588</v>
      </c>
      <c r="R649" s="55" t="s">
        <v>64</v>
      </c>
      <c r="S649" s="52" t="s">
        <v>2445</v>
      </c>
    </row>
    <row r="650" spans="1:19" outlineLevel="2" x14ac:dyDescent="0.45">
      <c r="A650" t="s">
        <v>17</v>
      </c>
      <c r="B650" s="52" t="s">
        <v>57</v>
      </c>
      <c r="C650" s="52" t="s">
        <v>774</v>
      </c>
      <c r="D650" s="52" t="s">
        <v>775</v>
      </c>
      <c r="E650" s="52" t="s">
        <v>387</v>
      </c>
      <c r="F650" s="52" t="s">
        <v>2589</v>
      </c>
      <c r="G650" s="52" t="s">
        <v>60</v>
      </c>
      <c r="H650" s="54">
        <v>46143</v>
      </c>
      <c r="I650" s="52" t="s">
        <v>2304</v>
      </c>
      <c r="J650" s="52" t="s">
        <v>2416</v>
      </c>
      <c r="K650" s="52" t="s">
        <v>777</v>
      </c>
      <c r="L650" s="52" t="s">
        <v>777</v>
      </c>
      <c r="M650" s="52" t="s">
        <v>29</v>
      </c>
      <c r="N650" s="53">
        <v>-2784.71</v>
      </c>
      <c r="O650" s="53">
        <v>-2784.71</v>
      </c>
      <c r="P650" s="52" t="s">
        <v>778</v>
      </c>
      <c r="Q650" s="52" t="s">
        <v>2590</v>
      </c>
      <c r="R650" s="55" t="s">
        <v>64</v>
      </c>
      <c r="S650" s="52" t="s">
        <v>2416</v>
      </c>
    </row>
    <row r="651" spans="1:19" hidden="1" outlineLevel="2" x14ac:dyDescent="0.45">
      <c r="A651" t="s">
        <v>17</v>
      </c>
      <c r="B651" s="52" t="s">
        <v>66</v>
      </c>
      <c r="C651" s="52" t="s">
        <v>376</v>
      </c>
      <c r="D651" s="52" t="s">
        <v>377</v>
      </c>
      <c r="E651" s="52" t="s">
        <v>387</v>
      </c>
      <c r="F651" s="52" t="s">
        <v>2591</v>
      </c>
      <c r="G651" s="52" t="s">
        <v>60</v>
      </c>
      <c r="H651" s="54">
        <v>46143</v>
      </c>
      <c r="I651" s="52" t="s">
        <v>2304</v>
      </c>
      <c r="J651" s="52" t="s">
        <v>2321</v>
      </c>
      <c r="K651" s="52" t="s">
        <v>2592</v>
      </c>
      <c r="L651" s="52" t="s">
        <v>2592</v>
      </c>
      <c r="M651" s="52" t="s">
        <v>67</v>
      </c>
      <c r="N651" s="53">
        <v>-755.2</v>
      </c>
      <c r="O651" s="53">
        <v>-2582.0300000000002</v>
      </c>
      <c r="P651" s="52" t="s">
        <v>2593</v>
      </c>
      <c r="Q651" s="52" t="s">
        <v>2594</v>
      </c>
      <c r="R651" s="55" t="s">
        <v>64</v>
      </c>
      <c r="S651" s="52" t="s">
        <v>2321</v>
      </c>
    </row>
    <row r="652" spans="1:19" outlineLevel="2" x14ac:dyDescent="0.45">
      <c r="A652" t="s">
        <v>17</v>
      </c>
      <c r="B652" s="52" t="s">
        <v>57</v>
      </c>
      <c r="C652" s="52" t="s">
        <v>870</v>
      </c>
      <c r="D652" s="52" t="s">
        <v>871</v>
      </c>
      <c r="E652" s="52" t="s">
        <v>387</v>
      </c>
      <c r="F652" s="52" t="s">
        <v>2595</v>
      </c>
      <c r="G652" s="52" t="s">
        <v>60</v>
      </c>
      <c r="H652" s="54">
        <v>46143</v>
      </c>
      <c r="I652" s="52" t="s">
        <v>2304</v>
      </c>
      <c r="J652" s="52" t="s">
        <v>2445</v>
      </c>
      <c r="K652" s="52"/>
      <c r="L652" s="52"/>
      <c r="M652" s="52" t="s">
        <v>29</v>
      </c>
      <c r="N652" s="53">
        <v>-2575.6</v>
      </c>
      <c r="O652" s="53">
        <v>-2575.6</v>
      </c>
      <c r="P652" s="52" t="s">
        <v>2596</v>
      </c>
      <c r="Q652" s="52" t="s">
        <v>2596</v>
      </c>
      <c r="R652" s="55" t="s">
        <v>64</v>
      </c>
      <c r="S652" s="52" t="s">
        <v>2445</v>
      </c>
    </row>
    <row r="653" spans="1:19" outlineLevel="2" x14ac:dyDescent="0.45">
      <c r="A653" t="s">
        <v>17</v>
      </c>
      <c r="B653" s="52" t="s">
        <v>57</v>
      </c>
      <c r="C653" s="52" t="s">
        <v>774</v>
      </c>
      <c r="D653" s="52" t="s">
        <v>775</v>
      </c>
      <c r="E653" s="52" t="s">
        <v>387</v>
      </c>
      <c r="F653" s="52" t="s">
        <v>2601</v>
      </c>
      <c r="G653" s="52" t="s">
        <v>60</v>
      </c>
      <c r="H653" s="54">
        <v>46143</v>
      </c>
      <c r="I653" s="52" t="s">
        <v>2304</v>
      </c>
      <c r="J653" s="52" t="s">
        <v>2343</v>
      </c>
      <c r="K653" s="52" t="s">
        <v>777</v>
      </c>
      <c r="L653" s="52" t="s">
        <v>777</v>
      </c>
      <c r="M653" s="52" t="s">
        <v>29</v>
      </c>
      <c r="N653" s="53">
        <v>-2347.92</v>
      </c>
      <c r="O653" s="53">
        <v>-2347.92</v>
      </c>
      <c r="P653" s="52" t="s">
        <v>778</v>
      </c>
      <c r="Q653" s="52" t="s">
        <v>2602</v>
      </c>
      <c r="R653" s="55" t="s">
        <v>64</v>
      </c>
      <c r="S653" s="52" t="s">
        <v>2343</v>
      </c>
    </row>
    <row r="654" spans="1:19" outlineLevel="2" x14ac:dyDescent="0.45">
      <c r="A654" t="s">
        <v>17</v>
      </c>
      <c r="B654" s="52" t="s">
        <v>57</v>
      </c>
      <c r="C654" s="52" t="s">
        <v>758</v>
      </c>
      <c r="D654" s="52" t="s">
        <v>759</v>
      </c>
      <c r="E654" s="52" t="s">
        <v>387</v>
      </c>
      <c r="F654" s="52" t="s">
        <v>2045</v>
      </c>
      <c r="G654" s="52" t="s">
        <v>60</v>
      </c>
      <c r="H654" s="54">
        <v>46143</v>
      </c>
      <c r="I654" s="52" t="s">
        <v>2304</v>
      </c>
      <c r="J654" s="52" t="s">
        <v>2445</v>
      </c>
      <c r="K654" s="52" t="s">
        <v>2603</v>
      </c>
      <c r="L654" s="52" t="s">
        <v>2603</v>
      </c>
      <c r="M654" s="52" t="s">
        <v>29</v>
      </c>
      <c r="N654" s="53">
        <v>-2264.3000000000002</v>
      </c>
      <c r="O654" s="53">
        <v>-2264.3000000000002</v>
      </c>
      <c r="P654" s="52" t="s">
        <v>2604</v>
      </c>
      <c r="Q654" s="52" t="s">
        <v>2605</v>
      </c>
      <c r="R654" s="55" t="s">
        <v>64</v>
      </c>
      <c r="S654" s="52" t="s">
        <v>2445</v>
      </c>
    </row>
    <row r="655" spans="1:19" outlineLevel="2" x14ac:dyDescent="0.45">
      <c r="A655" t="s">
        <v>17</v>
      </c>
      <c r="B655" s="52" t="s">
        <v>57</v>
      </c>
      <c r="C655" s="52" t="s">
        <v>630</v>
      </c>
      <c r="D655" s="52" t="s">
        <v>631</v>
      </c>
      <c r="E655" s="52" t="s">
        <v>387</v>
      </c>
      <c r="F655" s="52" t="s">
        <v>2606</v>
      </c>
      <c r="G655" s="52" t="s">
        <v>60</v>
      </c>
      <c r="H655" s="54">
        <v>46143</v>
      </c>
      <c r="I655" s="52" t="s">
        <v>2304</v>
      </c>
      <c r="J655" s="52" t="s">
        <v>2316</v>
      </c>
      <c r="K655" s="52" t="s">
        <v>2607</v>
      </c>
      <c r="L655" s="52" t="s">
        <v>2607</v>
      </c>
      <c r="M655" s="52" t="s">
        <v>29</v>
      </c>
      <c r="N655" s="53">
        <v>-1920</v>
      </c>
      <c r="O655" s="53">
        <v>-1920</v>
      </c>
      <c r="P655" s="52" t="s">
        <v>2608</v>
      </c>
      <c r="Q655" s="52" t="s">
        <v>2609</v>
      </c>
      <c r="R655" s="55" t="s">
        <v>64</v>
      </c>
      <c r="S655" s="52" t="s">
        <v>2316</v>
      </c>
    </row>
    <row r="656" spans="1:19" outlineLevel="2" x14ac:dyDescent="0.45">
      <c r="A656" t="s">
        <v>17</v>
      </c>
      <c r="B656" s="52" t="s">
        <v>57</v>
      </c>
      <c r="C656" s="52" t="s">
        <v>829</v>
      </c>
      <c r="D656" s="52" t="s">
        <v>830</v>
      </c>
      <c r="E656" s="52" t="s">
        <v>387</v>
      </c>
      <c r="F656" s="52" t="s">
        <v>2610</v>
      </c>
      <c r="G656" s="52" t="s">
        <v>60</v>
      </c>
      <c r="H656" s="54">
        <v>46143</v>
      </c>
      <c r="I656" s="52" t="s">
        <v>2304</v>
      </c>
      <c r="J656" s="52" t="s">
        <v>2540</v>
      </c>
      <c r="K656" s="52" t="s">
        <v>2611</v>
      </c>
      <c r="L656" s="52" t="s">
        <v>2612</v>
      </c>
      <c r="M656" s="52" t="s">
        <v>29</v>
      </c>
      <c r="N656" s="53">
        <v>-1808.4</v>
      </c>
      <c r="O656" s="53">
        <v>-1808.4</v>
      </c>
      <c r="P656" s="52" t="s">
        <v>834</v>
      </c>
      <c r="Q656" s="52" t="s">
        <v>2613</v>
      </c>
      <c r="R656" s="55" t="s">
        <v>64</v>
      </c>
      <c r="S656" s="52" t="s">
        <v>2540</v>
      </c>
    </row>
    <row r="657" spans="1:19" outlineLevel="2" x14ac:dyDescent="0.45">
      <c r="A657" t="s">
        <v>17</v>
      </c>
      <c r="B657" s="52" t="s">
        <v>57</v>
      </c>
      <c r="C657" s="52" t="s">
        <v>656</v>
      </c>
      <c r="D657" s="52" t="s">
        <v>657</v>
      </c>
      <c r="E657" s="52" t="s">
        <v>387</v>
      </c>
      <c r="F657" s="52" t="s">
        <v>1918</v>
      </c>
      <c r="G657" s="52" t="s">
        <v>60</v>
      </c>
      <c r="H657" s="54">
        <v>46143</v>
      </c>
      <c r="I657" s="52" t="s">
        <v>2304</v>
      </c>
      <c r="J657" s="52" t="s">
        <v>2445</v>
      </c>
      <c r="K657" s="52" t="s">
        <v>2614</v>
      </c>
      <c r="L657" s="52" t="s">
        <v>2614</v>
      </c>
      <c r="M657" s="52" t="s">
        <v>29</v>
      </c>
      <c r="N657" s="53">
        <v>-1613.16</v>
      </c>
      <c r="O657" s="53">
        <v>-1613.16</v>
      </c>
      <c r="P657" s="52" t="s">
        <v>2615</v>
      </c>
      <c r="Q657" s="52" t="s">
        <v>2616</v>
      </c>
      <c r="R657" s="55" t="s">
        <v>64</v>
      </c>
      <c r="S657" s="52" t="s">
        <v>2445</v>
      </c>
    </row>
    <row r="658" spans="1:19" outlineLevel="2" x14ac:dyDescent="0.45">
      <c r="A658" t="s">
        <v>17</v>
      </c>
      <c r="B658" s="52" t="s">
        <v>57</v>
      </c>
      <c r="C658" s="52" t="s">
        <v>656</v>
      </c>
      <c r="D658" s="52" t="s">
        <v>657</v>
      </c>
      <c r="E658" s="52" t="s">
        <v>387</v>
      </c>
      <c r="F658" s="52" t="s">
        <v>2617</v>
      </c>
      <c r="G658" s="52" t="s">
        <v>60</v>
      </c>
      <c r="H658" s="54">
        <v>46143</v>
      </c>
      <c r="I658" s="52" t="s">
        <v>2304</v>
      </c>
      <c r="J658" s="52" t="s">
        <v>2328</v>
      </c>
      <c r="K658" s="52" t="s">
        <v>2618</v>
      </c>
      <c r="L658" s="52" t="s">
        <v>2618</v>
      </c>
      <c r="M658" s="52" t="s">
        <v>29</v>
      </c>
      <c r="N658" s="53">
        <v>-1613.16</v>
      </c>
      <c r="O658" s="53">
        <v>-1613.16</v>
      </c>
      <c r="P658" s="52" t="s">
        <v>2619</v>
      </c>
      <c r="Q658" s="52" t="s">
        <v>2620</v>
      </c>
      <c r="R658" s="55" t="s">
        <v>64</v>
      </c>
      <c r="S658" s="52" t="s">
        <v>2328</v>
      </c>
    </row>
    <row r="659" spans="1:19" outlineLevel="2" x14ac:dyDescent="0.45">
      <c r="A659" t="s">
        <v>17</v>
      </c>
      <c r="B659" s="52" t="s">
        <v>57</v>
      </c>
      <c r="C659" s="52" t="s">
        <v>682</v>
      </c>
      <c r="D659" s="52" t="s">
        <v>683</v>
      </c>
      <c r="E659" s="52" t="s">
        <v>387</v>
      </c>
      <c r="F659" s="52" t="s">
        <v>936</v>
      </c>
      <c r="G659" s="52" t="s">
        <v>60</v>
      </c>
      <c r="H659" s="54">
        <v>46143</v>
      </c>
      <c r="I659" s="52" t="s">
        <v>2304</v>
      </c>
      <c r="J659" s="52" t="s">
        <v>2333</v>
      </c>
      <c r="K659" s="52" t="s">
        <v>2621</v>
      </c>
      <c r="L659" s="52" t="s">
        <v>2621</v>
      </c>
      <c r="M659" s="52" t="s">
        <v>29</v>
      </c>
      <c r="N659" s="53">
        <v>-1473</v>
      </c>
      <c r="O659" s="53">
        <v>-1473</v>
      </c>
      <c r="P659" s="52" t="s">
        <v>2622</v>
      </c>
      <c r="Q659" s="52" t="s">
        <v>2623</v>
      </c>
      <c r="R659" s="55" t="s">
        <v>64</v>
      </c>
      <c r="S659" s="52" t="s">
        <v>2333</v>
      </c>
    </row>
    <row r="660" spans="1:19" outlineLevel="2" x14ac:dyDescent="0.45">
      <c r="A660" t="s">
        <v>17</v>
      </c>
      <c r="B660" s="52" t="s">
        <v>57</v>
      </c>
      <c r="C660" s="52" t="s">
        <v>838</v>
      </c>
      <c r="D660" s="52" t="s">
        <v>839</v>
      </c>
      <c r="E660" s="52" t="s">
        <v>387</v>
      </c>
      <c r="F660" s="52" t="s">
        <v>1926</v>
      </c>
      <c r="G660" s="52" t="s">
        <v>60</v>
      </c>
      <c r="H660" s="54">
        <v>46143</v>
      </c>
      <c r="I660" s="52" t="s">
        <v>2304</v>
      </c>
      <c r="J660" s="52" t="s">
        <v>2308</v>
      </c>
      <c r="K660" s="52" t="s">
        <v>2624</v>
      </c>
      <c r="L660" s="52" t="s">
        <v>2624</v>
      </c>
      <c r="M660" s="52" t="s">
        <v>29</v>
      </c>
      <c r="N660" s="53">
        <v>-1204.52</v>
      </c>
      <c r="O660" s="53">
        <v>-1204.52</v>
      </c>
      <c r="P660" s="52" t="s">
        <v>2625</v>
      </c>
      <c r="Q660" s="52" t="s">
        <v>2626</v>
      </c>
      <c r="R660" s="55" t="s">
        <v>64</v>
      </c>
      <c r="S660" s="52" t="s">
        <v>2308</v>
      </c>
    </row>
    <row r="661" spans="1:19" outlineLevel="2" x14ac:dyDescent="0.45">
      <c r="A661" t="s">
        <v>17</v>
      </c>
      <c r="B661" s="52" t="s">
        <v>57</v>
      </c>
      <c r="C661" s="52"/>
      <c r="D661" s="52" t="s">
        <v>1575</v>
      </c>
      <c r="E661" s="52" t="s">
        <v>387</v>
      </c>
      <c r="F661" s="52" t="s">
        <v>2627</v>
      </c>
      <c r="G661" s="52" t="s">
        <v>60</v>
      </c>
      <c r="H661" s="54">
        <v>46143</v>
      </c>
      <c r="I661" s="52" t="s">
        <v>2304</v>
      </c>
      <c r="J661" s="52" t="s">
        <v>2445</v>
      </c>
      <c r="K661" s="52"/>
      <c r="L661" s="52"/>
      <c r="M661" s="52" t="s">
        <v>29</v>
      </c>
      <c r="N661" s="53">
        <v>-1203.7</v>
      </c>
      <c r="O661" s="53">
        <v>-1203.7</v>
      </c>
      <c r="P661" s="52" t="s">
        <v>2628</v>
      </c>
      <c r="Q661" s="52" t="s">
        <v>2628</v>
      </c>
      <c r="R661" s="55" t="s">
        <v>64</v>
      </c>
      <c r="S661" s="52" t="s">
        <v>2445</v>
      </c>
    </row>
    <row r="662" spans="1:19" outlineLevel="2" x14ac:dyDescent="0.45">
      <c r="A662" t="s">
        <v>17</v>
      </c>
      <c r="B662" s="52" t="s">
        <v>57</v>
      </c>
      <c r="C662" s="52" t="s">
        <v>2629</v>
      </c>
      <c r="D662" s="52" t="s">
        <v>2630</v>
      </c>
      <c r="E662" s="52" t="s">
        <v>387</v>
      </c>
      <c r="F662" s="52" t="s">
        <v>2631</v>
      </c>
      <c r="G662" s="52" t="s">
        <v>60</v>
      </c>
      <c r="H662" s="54">
        <v>46143</v>
      </c>
      <c r="I662" s="52" t="s">
        <v>2304</v>
      </c>
      <c r="J662" s="52" t="s">
        <v>2343</v>
      </c>
      <c r="K662" s="52" t="s">
        <v>2632</v>
      </c>
      <c r="L662" s="52" t="s">
        <v>2632</v>
      </c>
      <c r="M662" s="52" t="s">
        <v>29</v>
      </c>
      <c r="N662" s="53">
        <v>-1103.3</v>
      </c>
      <c r="O662" s="53">
        <v>-1103.3</v>
      </c>
      <c r="P662" s="52" t="s">
        <v>2633</v>
      </c>
      <c r="Q662" s="52" t="s">
        <v>2634</v>
      </c>
      <c r="R662" s="55" t="s">
        <v>64</v>
      </c>
      <c r="S662" s="52" t="s">
        <v>2343</v>
      </c>
    </row>
    <row r="663" spans="1:19" outlineLevel="2" x14ac:dyDescent="0.45">
      <c r="A663" t="s">
        <v>17</v>
      </c>
      <c r="B663" s="52" t="s">
        <v>66</v>
      </c>
      <c r="C663" s="52"/>
      <c r="D663" s="52" t="s">
        <v>1276</v>
      </c>
      <c r="E663" s="52" t="s">
        <v>387</v>
      </c>
      <c r="F663" s="52" t="s">
        <v>2635</v>
      </c>
      <c r="G663" s="52" t="s">
        <v>60</v>
      </c>
      <c r="H663" s="54">
        <v>46143</v>
      </c>
      <c r="I663" s="52" t="s">
        <v>2304</v>
      </c>
      <c r="J663" s="52" t="s">
        <v>2445</v>
      </c>
      <c r="K663" s="52"/>
      <c r="L663" s="52"/>
      <c r="M663" s="52" t="s">
        <v>67</v>
      </c>
      <c r="N663" s="53">
        <v>-292.57</v>
      </c>
      <c r="O663" s="53">
        <v>-1006.44</v>
      </c>
      <c r="P663" s="52" t="s">
        <v>2636</v>
      </c>
      <c r="Q663" s="52" t="s">
        <v>2636</v>
      </c>
      <c r="R663" s="55" t="s">
        <v>64</v>
      </c>
      <c r="S663" s="52" t="s">
        <v>2445</v>
      </c>
    </row>
    <row r="664" spans="1:19" outlineLevel="2" x14ac:dyDescent="0.45">
      <c r="A664" t="s">
        <v>17</v>
      </c>
      <c r="B664" s="52" t="s">
        <v>57</v>
      </c>
      <c r="C664" s="52" t="s">
        <v>780</v>
      </c>
      <c r="D664" s="52" t="s">
        <v>781</v>
      </c>
      <c r="E664" s="52" t="s">
        <v>387</v>
      </c>
      <c r="F664" s="52" t="s">
        <v>2637</v>
      </c>
      <c r="G664" s="52" t="s">
        <v>60</v>
      </c>
      <c r="H664" s="54">
        <v>46143</v>
      </c>
      <c r="I664" s="52" t="s">
        <v>2304</v>
      </c>
      <c r="J664" s="52" t="s">
        <v>2416</v>
      </c>
      <c r="K664" s="52" t="s">
        <v>2638</v>
      </c>
      <c r="L664" s="52" t="s">
        <v>2638</v>
      </c>
      <c r="M664" s="52" t="s">
        <v>29</v>
      </c>
      <c r="N664" s="53">
        <v>-932.05</v>
      </c>
      <c r="O664" s="53">
        <v>-932.05</v>
      </c>
      <c r="P664" s="52" t="s">
        <v>2639</v>
      </c>
      <c r="Q664" s="52" t="s">
        <v>2640</v>
      </c>
      <c r="R664" s="55" t="s">
        <v>64</v>
      </c>
      <c r="S664" s="52" t="s">
        <v>2416</v>
      </c>
    </row>
    <row r="665" spans="1:19" outlineLevel="2" x14ac:dyDescent="0.45">
      <c r="A665" t="s">
        <v>17</v>
      </c>
      <c r="B665" s="52" t="s">
        <v>57</v>
      </c>
      <c r="C665" s="52" t="s">
        <v>870</v>
      </c>
      <c r="D665" s="52" t="s">
        <v>871</v>
      </c>
      <c r="E665" s="52" t="s">
        <v>387</v>
      </c>
      <c r="F665" s="52" t="s">
        <v>2641</v>
      </c>
      <c r="G665" s="52" t="s">
        <v>60</v>
      </c>
      <c r="H665" s="54">
        <v>46143</v>
      </c>
      <c r="I665" s="52" t="s">
        <v>2304</v>
      </c>
      <c r="J665" s="52" t="s">
        <v>2488</v>
      </c>
      <c r="K665" s="52"/>
      <c r="L665" s="52"/>
      <c r="M665" s="52" t="s">
        <v>29</v>
      </c>
      <c r="N665" s="53">
        <v>-928</v>
      </c>
      <c r="O665" s="53">
        <v>-928</v>
      </c>
      <c r="P665" s="52" t="s">
        <v>2642</v>
      </c>
      <c r="Q665" s="52" t="s">
        <v>2642</v>
      </c>
      <c r="R665" s="55" t="s">
        <v>64</v>
      </c>
      <c r="S665" s="52" t="s">
        <v>2488</v>
      </c>
    </row>
    <row r="666" spans="1:19" outlineLevel="2" x14ac:dyDescent="0.45">
      <c r="A666" t="s">
        <v>17</v>
      </c>
      <c r="B666" s="52" t="s">
        <v>57</v>
      </c>
      <c r="C666" s="52" t="s">
        <v>2099</v>
      </c>
      <c r="D666" s="52" t="s">
        <v>2100</v>
      </c>
      <c r="E666" s="52" t="s">
        <v>387</v>
      </c>
      <c r="F666" s="52" t="s">
        <v>2643</v>
      </c>
      <c r="G666" s="52" t="s">
        <v>60</v>
      </c>
      <c r="H666" s="54">
        <v>46143</v>
      </c>
      <c r="I666" s="52" t="s">
        <v>2304</v>
      </c>
      <c r="J666" s="52" t="s">
        <v>2333</v>
      </c>
      <c r="K666" s="52" t="s">
        <v>2644</v>
      </c>
      <c r="L666" s="52" t="s">
        <v>2644</v>
      </c>
      <c r="M666" s="52" t="s">
        <v>29</v>
      </c>
      <c r="N666" s="53">
        <v>-810</v>
      </c>
      <c r="O666" s="53">
        <v>-810</v>
      </c>
      <c r="P666" s="52" t="s">
        <v>2645</v>
      </c>
      <c r="Q666" s="52" t="s">
        <v>2623</v>
      </c>
      <c r="R666" s="55" t="s">
        <v>64</v>
      </c>
      <c r="S666" s="52" t="s">
        <v>2333</v>
      </c>
    </row>
    <row r="667" spans="1:19" outlineLevel="2" x14ac:dyDescent="0.45">
      <c r="A667" t="s">
        <v>17</v>
      </c>
      <c r="B667" s="52" t="s">
        <v>57</v>
      </c>
      <c r="C667" s="52" t="s">
        <v>2099</v>
      </c>
      <c r="D667" s="52" t="s">
        <v>2100</v>
      </c>
      <c r="E667" s="52" t="s">
        <v>387</v>
      </c>
      <c r="F667" s="52" t="s">
        <v>765</v>
      </c>
      <c r="G667" s="52" t="s">
        <v>60</v>
      </c>
      <c r="H667" s="54">
        <v>46143</v>
      </c>
      <c r="I667" s="52" t="s">
        <v>2304</v>
      </c>
      <c r="J667" s="52" t="s">
        <v>2333</v>
      </c>
      <c r="K667" s="52" t="s">
        <v>2646</v>
      </c>
      <c r="L667" s="52" t="s">
        <v>2646</v>
      </c>
      <c r="M667" s="52" t="s">
        <v>29</v>
      </c>
      <c r="N667" s="53">
        <v>-810</v>
      </c>
      <c r="O667" s="53">
        <v>-810</v>
      </c>
      <c r="P667" s="52" t="s">
        <v>2647</v>
      </c>
      <c r="Q667" s="52" t="s">
        <v>2623</v>
      </c>
      <c r="R667" s="55" t="s">
        <v>64</v>
      </c>
      <c r="S667" s="52" t="s">
        <v>2333</v>
      </c>
    </row>
    <row r="668" spans="1:19" outlineLevel="2" x14ac:dyDescent="0.45">
      <c r="A668" t="s">
        <v>17</v>
      </c>
      <c r="B668" s="52" t="s">
        <v>57</v>
      </c>
      <c r="C668" s="52" t="s">
        <v>780</v>
      </c>
      <c r="D668" s="52" t="s">
        <v>781</v>
      </c>
      <c r="E668" s="52" t="s">
        <v>387</v>
      </c>
      <c r="F668" s="52" t="s">
        <v>2648</v>
      </c>
      <c r="G668" s="52" t="s">
        <v>60</v>
      </c>
      <c r="H668" s="54">
        <v>46143</v>
      </c>
      <c r="I668" s="52" t="s">
        <v>2304</v>
      </c>
      <c r="J668" s="52" t="s">
        <v>2343</v>
      </c>
      <c r="K668" s="52" t="s">
        <v>2649</v>
      </c>
      <c r="L668" s="52" t="s">
        <v>2649</v>
      </c>
      <c r="M668" s="52" t="s">
        <v>29</v>
      </c>
      <c r="N668" s="53">
        <v>-805</v>
      </c>
      <c r="O668" s="53">
        <v>-805</v>
      </c>
      <c r="P668" s="52" t="s">
        <v>2650</v>
      </c>
      <c r="Q668" s="52" t="s">
        <v>2651</v>
      </c>
      <c r="R668" s="55" t="s">
        <v>64</v>
      </c>
      <c r="S668" s="52" t="s">
        <v>2343</v>
      </c>
    </row>
    <row r="669" spans="1:19" outlineLevel="2" x14ac:dyDescent="0.45">
      <c r="A669" t="s">
        <v>17</v>
      </c>
      <c r="B669" s="52" t="s">
        <v>57</v>
      </c>
      <c r="C669" s="52" t="s">
        <v>630</v>
      </c>
      <c r="D669" s="52" t="s">
        <v>631</v>
      </c>
      <c r="E669" s="52" t="s">
        <v>387</v>
      </c>
      <c r="F669" s="52" t="s">
        <v>2652</v>
      </c>
      <c r="G669" s="52" t="s">
        <v>60</v>
      </c>
      <c r="H669" s="54">
        <v>46143</v>
      </c>
      <c r="I669" s="52" t="s">
        <v>2304</v>
      </c>
      <c r="J669" s="52" t="s">
        <v>2316</v>
      </c>
      <c r="K669" s="52" t="s">
        <v>2653</v>
      </c>
      <c r="L669" s="52" t="s">
        <v>2653</v>
      </c>
      <c r="M669" s="52" t="s">
        <v>29</v>
      </c>
      <c r="N669" s="53">
        <v>-800</v>
      </c>
      <c r="O669" s="53">
        <v>-800</v>
      </c>
      <c r="P669" s="52" t="s">
        <v>2654</v>
      </c>
      <c r="Q669" s="52" t="s">
        <v>2655</v>
      </c>
      <c r="R669" s="55" t="s">
        <v>64</v>
      </c>
      <c r="S669" s="52" t="s">
        <v>2316</v>
      </c>
    </row>
    <row r="670" spans="1:19" outlineLevel="2" x14ac:dyDescent="0.45">
      <c r="A670" t="s">
        <v>17</v>
      </c>
      <c r="B670" s="52" t="s">
        <v>57</v>
      </c>
      <c r="C670" s="52" t="s">
        <v>656</v>
      </c>
      <c r="D670" s="52" t="s">
        <v>657</v>
      </c>
      <c r="E670" s="52" t="s">
        <v>387</v>
      </c>
      <c r="F670" s="52" t="s">
        <v>2531</v>
      </c>
      <c r="G670" s="52" t="s">
        <v>60</v>
      </c>
      <c r="H670" s="54">
        <v>46143</v>
      </c>
      <c r="I670" s="52" t="s">
        <v>2304</v>
      </c>
      <c r="J670" s="52" t="s">
        <v>2445</v>
      </c>
      <c r="K670" s="52" t="s">
        <v>2532</v>
      </c>
      <c r="L670" s="52" t="s">
        <v>2532</v>
      </c>
      <c r="M670" s="52" t="s">
        <v>29</v>
      </c>
      <c r="N670" s="53">
        <v>-746.56</v>
      </c>
      <c r="O670" s="53">
        <v>-746.56</v>
      </c>
      <c r="P670" s="52" t="s">
        <v>2533</v>
      </c>
      <c r="Q670" s="52" t="s">
        <v>2534</v>
      </c>
      <c r="R670" s="55" t="s">
        <v>64</v>
      </c>
      <c r="S670" s="52" t="s">
        <v>2445</v>
      </c>
    </row>
    <row r="671" spans="1:19" outlineLevel="2" x14ac:dyDescent="0.45">
      <c r="A671" t="s">
        <v>17</v>
      </c>
      <c r="B671" s="52" t="s">
        <v>66</v>
      </c>
      <c r="C671" s="52" t="s">
        <v>856</v>
      </c>
      <c r="D671" s="52" t="s">
        <v>857</v>
      </c>
      <c r="E671" s="52" t="s">
        <v>387</v>
      </c>
      <c r="F671" s="52" t="s">
        <v>2656</v>
      </c>
      <c r="G671" s="52" t="s">
        <v>60</v>
      </c>
      <c r="H671" s="54">
        <v>46143</v>
      </c>
      <c r="I671" s="52" t="s">
        <v>2304</v>
      </c>
      <c r="J671" s="52" t="s">
        <v>2445</v>
      </c>
      <c r="K671" s="52" t="s">
        <v>2657</v>
      </c>
      <c r="L671" s="52" t="s">
        <v>2657</v>
      </c>
      <c r="M671" s="52" t="s">
        <v>67</v>
      </c>
      <c r="N671" s="53">
        <v>-212.4</v>
      </c>
      <c r="O671" s="53">
        <v>-730.66</v>
      </c>
      <c r="P671" s="52" t="s">
        <v>2658</v>
      </c>
      <c r="Q671" s="52" t="s">
        <v>2659</v>
      </c>
      <c r="R671" s="55" t="s">
        <v>64</v>
      </c>
      <c r="S671" s="52" t="s">
        <v>2445</v>
      </c>
    </row>
    <row r="672" spans="1:19" outlineLevel="2" x14ac:dyDescent="0.45">
      <c r="A672" t="s">
        <v>17</v>
      </c>
      <c r="B672" s="52" t="s">
        <v>66</v>
      </c>
      <c r="C672" s="52" t="s">
        <v>856</v>
      </c>
      <c r="D672" s="52" t="s">
        <v>857</v>
      </c>
      <c r="E672" s="52" t="s">
        <v>387</v>
      </c>
      <c r="F672" s="52" t="s">
        <v>2656</v>
      </c>
      <c r="G672" s="52" t="s">
        <v>60</v>
      </c>
      <c r="H672" s="54">
        <v>46143</v>
      </c>
      <c r="I672" s="52" t="s">
        <v>2304</v>
      </c>
      <c r="J672" s="52" t="s">
        <v>2445</v>
      </c>
      <c r="K672" s="52" t="s">
        <v>2660</v>
      </c>
      <c r="L672" s="52" t="s">
        <v>2660</v>
      </c>
      <c r="M672" s="52" t="s">
        <v>67</v>
      </c>
      <c r="N672" s="53">
        <v>-212.4</v>
      </c>
      <c r="O672" s="53">
        <v>-730.66</v>
      </c>
      <c r="P672" s="52" t="s">
        <v>2661</v>
      </c>
      <c r="Q672" s="52" t="s">
        <v>2659</v>
      </c>
      <c r="R672" s="55" t="s">
        <v>64</v>
      </c>
      <c r="S672" s="52" t="s">
        <v>2445</v>
      </c>
    </row>
    <row r="673" spans="1:19" outlineLevel="2" x14ac:dyDescent="0.45">
      <c r="A673" t="s">
        <v>17</v>
      </c>
      <c r="B673" s="52" t="s">
        <v>57</v>
      </c>
      <c r="C673" s="52" t="s">
        <v>780</v>
      </c>
      <c r="D673" s="52" t="s">
        <v>781</v>
      </c>
      <c r="E673" s="52" t="s">
        <v>387</v>
      </c>
      <c r="F673" s="52" t="s">
        <v>2637</v>
      </c>
      <c r="G673" s="52" t="s">
        <v>60</v>
      </c>
      <c r="H673" s="54">
        <v>46143</v>
      </c>
      <c r="I673" s="52" t="s">
        <v>2304</v>
      </c>
      <c r="J673" s="52" t="s">
        <v>2416</v>
      </c>
      <c r="K673" s="52" t="s">
        <v>2662</v>
      </c>
      <c r="L673" s="52" t="s">
        <v>2662</v>
      </c>
      <c r="M673" s="52" t="s">
        <v>29</v>
      </c>
      <c r="N673" s="53">
        <v>-685.8</v>
      </c>
      <c r="O673" s="53">
        <v>-685.8</v>
      </c>
      <c r="P673" s="52" t="s">
        <v>2663</v>
      </c>
      <c r="Q673" s="52" t="s">
        <v>2640</v>
      </c>
      <c r="R673" s="55" t="s">
        <v>64</v>
      </c>
      <c r="S673" s="52" t="s">
        <v>2416</v>
      </c>
    </row>
    <row r="674" spans="1:19" outlineLevel="2" x14ac:dyDescent="0.45">
      <c r="A674" t="s">
        <v>17</v>
      </c>
      <c r="B674" s="52" t="s">
        <v>57</v>
      </c>
      <c r="C674" s="52" t="s">
        <v>774</v>
      </c>
      <c r="D674" s="52" t="s">
        <v>775</v>
      </c>
      <c r="E674" s="52" t="s">
        <v>387</v>
      </c>
      <c r="F674" s="52" t="s">
        <v>2601</v>
      </c>
      <c r="G674" s="52" t="s">
        <v>60</v>
      </c>
      <c r="H674" s="54">
        <v>46143</v>
      </c>
      <c r="I674" s="52" t="s">
        <v>2304</v>
      </c>
      <c r="J674" s="52" t="s">
        <v>2343</v>
      </c>
      <c r="K674" s="52" t="s">
        <v>777</v>
      </c>
      <c r="L674" s="52" t="s">
        <v>777</v>
      </c>
      <c r="M674" s="52" t="s">
        <v>29</v>
      </c>
      <c r="N674" s="53">
        <v>-652.08000000000004</v>
      </c>
      <c r="O674" s="53">
        <v>-652.08000000000004</v>
      </c>
      <c r="P674" s="52" t="s">
        <v>778</v>
      </c>
      <c r="Q674" s="52" t="s">
        <v>2602</v>
      </c>
      <c r="R674" s="55" t="s">
        <v>64</v>
      </c>
      <c r="S674" s="52" t="s">
        <v>2343</v>
      </c>
    </row>
    <row r="675" spans="1:19" outlineLevel="2" x14ac:dyDescent="0.45">
      <c r="A675" t="s">
        <v>17</v>
      </c>
      <c r="B675" s="52" t="s">
        <v>57</v>
      </c>
      <c r="C675" s="52" t="s">
        <v>1547</v>
      </c>
      <c r="D675" s="52" t="s">
        <v>1548</v>
      </c>
      <c r="E675" s="52" t="s">
        <v>387</v>
      </c>
      <c r="F675" s="52" t="s">
        <v>2664</v>
      </c>
      <c r="G675" s="52" t="s">
        <v>60</v>
      </c>
      <c r="H675" s="54">
        <v>46143</v>
      </c>
      <c r="I675" s="52" t="s">
        <v>2304</v>
      </c>
      <c r="J675" s="52" t="s">
        <v>2321</v>
      </c>
      <c r="K675" s="52" t="s">
        <v>2665</v>
      </c>
      <c r="L675" s="52" t="s">
        <v>2665</v>
      </c>
      <c r="M675" s="52" t="s">
        <v>29</v>
      </c>
      <c r="N675" s="53">
        <v>-619.51</v>
      </c>
      <c r="O675" s="53">
        <v>-619.51</v>
      </c>
      <c r="P675" s="52" t="s">
        <v>2666</v>
      </c>
      <c r="Q675" s="52" t="s">
        <v>2667</v>
      </c>
      <c r="R675" s="55" t="s">
        <v>64</v>
      </c>
      <c r="S675" s="52" t="s">
        <v>2321</v>
      </c>
    </row>
    <row r="676" spans="1:19" outlineLevel="2" x14ac:dyDescent="0.45">
      <c r="A676" t="s">
        <v>17</v>
      </c>
      <c r="B676" s="52" t="s">
        <v>57</v>
      </c>
      <c r="C676" s="52" t="s">
        <v>780</v>
      </c>
      <c r="D676" s="52" t="s">
        <v>781</v>
      </c>
      <c r="E676" s="52" t="s">
        <v>387</v>
      </c>
      <c r="F676" s="52" t="s">
        <v>2648</v>
      </c>
      <c r="G676" s="52" t="s">
        <v>60</v>
      </c>
      <c r="H676" s="54">
        <v>46143</v>
      </c>
      <c r="I676" s="52" t="s">
        <v>2304</v>
      </c>
      <c r="J676" s="52" t="s">
        <v>2343</v>
      </c>
      <c r="K676" s="52" t="s">
        <v>2668</v>
      </c>
      <c r="L676" s="52" t="s">
        <v>2668</v>
      </c>
      <c r="M676" s="52" t="s">
        <v>29</v>
      </c>
      <c r="N676" s="53">
        <v>-592.79999999999995</v>
      </c>
      <c r="O676" s="53">
        <v>-592.79999999999995</v>
      </c>
      <c r="P676" s="52" t="s">
        <v>2669</v>
      </c>
      <c r="Q676" s="52" t="s">
        <v>2651</v>
      </c>
      <c r="R676" s="55" t="s">
        <v>64</v>
      </c>
      <c r="S676" s="52" t="s">
        <v>2343</v>
      </c>
    </row>
    <row r="677" spans="1:19" outlineLevel="2" x14ac:dyDescent="0.45">
      <c r="A677" t="s">
        <v>17</v>
      </c>
      <c r="B677" s="52" t="s">
        <v>57</v>
      </c>
      <c r="C677" s="52" t="s">
        <v>630</v>
      </c>
      <c r="D677" s="52" t="s">
        <v>631</v>
      </c>
      <c r="E677" s="52" t="s">
        <v>387</v>
      </c>
      <c r="F677" s="52" t="s">
        <v>2670</v>
      </c>
      <c r="G677" s="52" t="s">
        <v>60</v>
      </c>
      <c r="H677" s="54">
        <v>46143</v>
      </c>
      <c r="I677" s="52" t="s">
        <v>2304</v>
      </c>
      <c r="J677" s="52" t="s">
        <v>2316</v>
      </c>
      <c r="K677" s="52" t="s">
        <v>2671</v>
      </c>
      <c r="L677" s="52" t="s">
        <v>2671</v>
      </c>
      <c r="M677" s="52" t="s">
        <v>29</v>
      </c>
      <c r="N677" s="53">
        <v>-550</v>
      </c>
      <c r="O677" s="53">
        <v>-550</v>
      </c>
      <c r="P677" s="52" t="s">
        <v>2672</v>
      </c>
      <c r="Q677" s="52" t="s">
        <v>2673</v>
      </c>
      <c r="R677" s="55" t="s">
        <v>64</v>
      </c>
      <c r="S677" s="52" t="s">
        <v>2316</v>
      </c>
    </row>
    <row r="678" spans="1:19" outlineLevel="2" x14ac:dyDescent="0.45">
      <c r="A678" t="s">
        <v>17</v>
      </c>
      <c r="B678" s="52" t="s">
        <v>57</v>
      </c>
      <c r="C678" s="52" t="s">
        <v>1304</v>
      </c>
      <c r="D678" s="52" t="s">
        <v>1305</v>
      </c>
      <c r="E678" s="52" t="s">
        <v>387</v>
      </c>
      <c r="F678" s="52" t="s">
        <v>2674</v>
      </c>
      <c r="G678" s="52" t="s">
        <v>60</v>
      </c>
      <c r="H678" s="54">
        <v>46143</v>
      </c>
      <c r="I678" s="52" t="s">
        <v>2304</v>
      </c>
      <c r="J678" s="52" t="s">
        <v>2488</v>
      </c>
      <c r="K678" s="52" t="s">
        <v>2675</v>
      </c>
      <c r="L678" s="52" t="s">
        <v>2675</v>
      </c>
      <c r="M678" s="52" t="s">
        <v>29</v>
      </c>
      <c r="N678" s="53">
        <v>-499</v>
      </c>
      <c r="O678" s="53">
        <v>-499</v>
      </c>
      <c r="P678" s="52" t="s">
        <v>2676</v>
      </c>
      <c r="Q678" s="52" t="s">
        <v>2677</v>
      </c>
      <c r="R678" s="55" t="s">
        <v>64</v>
      </c>
      <c r="S678" s="52" t="s">
        <v>2488</v>
      </c>
    </row>
    <row r="679" spans="1:19" outlineLevel="2" x14ac:dyDescent="0.45">
      <c r="A679" t="s">
        <v>17</v>
      </c>
      <c r="B679" s="52" t="s">
        <v>57</v>
      </c>
      <c r="C679" s="52" t="s">
        <v>630</v>
      </c>
      <c r="D679" s="52" t="s">
        <v>631</v>
      </c>
      <c r="E679" s="52" t="s">
        <v>387</v>
      </c>
      <c r="F679" s="52" t="s">
        <v>2678</v>
      </c>
      <c r="G679" s="52" t="s">
        <v>60</v>
      </c>
      <c r="H679" s="54">
        <v>46143</v>
      </c>
      <c r="I679" s="52" t="s">
        <v>2304</v>
      </c>
      <c r="J679" s="52" t="s">
        <v>2316</v>
      </c>
      <c r="K679" s="52" t="s">
        <v>2679</v>
      </c>
      <c r="L679" s="52" t="s">
        <v>2679</v>
      </c>
      <c r="M679" s="52" t="s">
        <v>29</v>
      </c>
      <c r="N679" s="53">
        <v>-490</v>
      </c>
      <c r="O679" s="53">
        <v>-490</v>
      </c>
      <c r="P679" s="52" t="s">
        <v>2680</v>
      </c>
      <c r="Q679" s="52" t="s">
        <v>2681</v>
      </c>
      <c r="R679" s="55" t="s">
        <v>64</v>
      </c>
      <c r="S679" s="52" t="s">
        <v>2316</v>
      </c>
    </row>
    <row r="680" spans="1:19" outlineLevel="2" x14ac:dyDescent="0.45">
      <c r="A680" t="s">
        <v>17</v>
      </c>
      <c r="B680" s="52" t="s">
        <v>57</v>
      </c>
      <c r="C680" s="52" t="s">
        <v>774</v>
      </c>
      <c r="D680" s="52" t="s">
        <v>775</v>
      </c>
      <c r="E680" s="52" t="s">
        <v>387</v>
      </c>
      <c r="F680" s="52" t="s">
        <v>2682</v>
      </c>
      <c r="G680" s="52" t="s">
        <v>60</v>
      </c>
      <c r="H680" s="54">
        <v>46143</v>
      </c>
      <c r="I680" s="52" t="s">
        <v>2304</v>
      </c>
      <c r="J680" s="52" t="s">
        <v>2343</v>
      </c>
      <c r="K680" s="52"/>
      <c r="L680" s="52"/>
      <c r="M680" s="52" t="s">
        <v>29</v>
      </c>
      <c r="N680" s="53">
        <v>-377.02</v>
      </c>
      <c r="O680" s="53">
        <v>-377.02</v>
      </c>
      <c r="P680" s="52" t="s">
        <v>2683</v>
      </c>
      <c r="Q680" s="52" t="s">
        <v>2683</v>
      </c>
      <c r="R680" s="55" t="s">
        <v>64</v>
      </c>
      <c r="S680" s="52" t="s">
        <v>2343</v>
      </c>
    </row>
    <row r="681" spans="1:19" outlineLevel="2" x14ac:dyDescent="0.45">
      <c r="A681" t="s">
        <v>17</v>
      </c>
      <c r="B681" s="52" t="s">
        <v>57</v>
      </c>
      <c r="C681" s="52" t="s">
        <v>2351</v>
      </c>
      <c r="D681" s="52" t="s">
        <v>2352</v>
      </c>
      <c r="E681" s="52" t="s">
        <v>387</v>
      </c>
      <c r="F681" s="52" t="s">
        <v>2684</v>
      </c>
      <c r="G681" s="52" t="s">
        <v>60</v>
      </c>
      <c r="H681" s="54">
        <v>46143</v>
      </c>
      <c r="I681" s="52" t="s">
        <v>2304</v>
      </c>
      <c r="J681" s="52" t="s">
        <v>2325</v>
      </c>
      <c r="K681" s="52" t="s">
        <v>2685</v>
      </c>
      <c r="L681" s="52" t="s">
        <v>2685</v>
      </c>
      <c r="M681" s="52" t="s">
        <v>29</v>
      </c>
      <c r="N681" s="53">
        <v>-326</v>
      </c>
      <c r="O681" s="53">
        <v>-326</v>
      </c>
      <c r="P681" s="52" t="s">
        <v>2686</v>
      </c>
      <c r="Q681" s="52" t="s">
        <v>2687</v>
      </c>
      <c r="R681" s="55" t="s">
        <v>64</v>
      </c>
      <c r="S681" s="52" t="s">
        <v>2325</v>
      </c>
    </row>
    <row r="682" spans="1:19" outlineLevel="2" x14ac:dyDescent="0.45">
      <c r="A682" t="s">
        <v>17</v>
      </c>
      <c r="B682" s="52" t="s">
        <v>57</v>
      </c>
      <c r="C682" s="52" t="s">
        <v>785</v>
      </c>
      <c r="D682" s="52" t="s">
        <v>786</v>
      </c>
      <c r="E682" s="52" t="s">
        <v>387</v>
      </c>
      <c r="F682" s="52" t="s">
        <v>2688</v>
      </c>
      <c r="G682" s="52" t="s">
        <v>60</v>
      </c>
      <c r="H682" s="54">
        <v>46143</v>
      </c>
      <c r="I682" s="52" t="s">
        <v>2304</v>
      </c>
      <c r="J682" s="52" t="s">
        <v>2333</v>
      </c>
      <c r="K682" s="52" t="s">
        <v>2562</v>
      </c>
      <c r="L682" s="52" t="s">
        <v>2562</v>
      </c>
      <c r="M682" s="52" t="s">
        <v>29</v>
      </c>
      <c r="N682" s="53">
        <v>-305</v>
      </c>
      <c r="O682" s="53">
        <v>-305</v>
      </c>
      <c r="P682" s="52" t="s">
        <v>2689</v>
      </c>
      <c r="Q682" s="52" t="s">
        <v>2623</v>
      </c>
      <c r="R682" s="55" t="s">
        <v>64</v>
      </c>
      <c r="S682" s="52" t="s">
        <v>2333</v>
      </c>
    </row>
    <row r="683" spans="1:19" outlineLevel="2" x14ac:dyDescent="0.45">
      <c r="A683" t="s">
        <v>17</v>
      </c>
      <c r="B683" s="52" t="s">
        <v>57</v>
      </c>
      <c r="C683" s="52" t="s">
        <v>870</v>
      </c>
      <c r="D683" s="52" t="s">
        <v>871</v>
      </c>
      <c r="E683" s="52" t="s">
        <v>387</v>
      </c>
      <c r="F683" s="52" t="s">
        <v>2595</v>
      </c>
      <c r="G683" s="52" t="s">
        <v>60</v>
      </c>
      <c r="H683" s="54">
        <v>46143</v>
      </c>
      <c r="I683" s="52" t="s">
        <v>2304</v>
      </c>
      <c r="J683" s="52" t="s">
        <v>2445</v>
      </c>
      <c r="K683" s="52"/>
      <c r="L683" s="52"/>
      <c r="M683" s="52" t="s">
        <v>29</v>
      </c>
      <c r="N683" s="53">
        <v>-266.10000000000002</v>
      </c>
      <c r="O683" s="53">
        <v>-266.10000000000002</v>
      </c>
      <c r="P683" s="52" t="s">
        <v>2596</v>
      </c>
      <c r="Q683" s="52" t="s">
        <v>2596</v>
      </c>
      <c r="R683" s="55" t="s">
        <v>64</v>
      </c>
      <c r="S683" s="52" t="s">
        <v>2445</v>
      </c>
    </row>
    <row r="684" spans="1:19" outlineLevel="2" x14ac:dyDescent="0.45">
      <c r="A684" t="s">
        <v>17</v>
      </c>
      <c r="B684" s="52" t="s">
        <v>57</v>
      </c>
      <c r="C684" s="52" t="s">
        <v>1645</v>
      </c>
      <c r="D684" s="52" t="s">
        <v>1646</v>
      </c>
      <c r="E684" s="52" t="s">
        <v>387</v>
      </c>
      <c r="F684" s="52" t="s">
        <v>2690</v>
      </c>
      <c r="G684" s="52" t="s">
        <v>60</v>
      </c>
      <c r="H684" s="54">
        <v>46143</v>
      </c>
      <c r="I684" s="52" t="s">
        <v>2304</v>
      </c>
      <c r="J684" s="52" t="s">
        <v>2343</v>
      </c>
      <c r="K684" s="52"/>
      <c r="L684" s="52"/>
      <c r="M684" s="52" t="s">
        <v>29</v>
      </c>
      <c r="N684" s="53">
        <v>-247.85</v>
      </c>
      <c r="O684" s="53">
        <v>-247.85</v>
      </c>
      <c r="P684" s="52" t="s">
        <v>2691</v>
      </c>
      <c r="Q684" s="52" t="s">
        <v>2691</v>
      </c>
      <c r="R684" s="55" t="s">
        <v>64</v>
      </c>
      <c r="S684" s="52" t="s">
        <v>2343</v>
      </c>
    </row>
    <row r="685" spans="1:19" outlineLevel="2" x14ac:dyDescent="0.45">
      <c r="A685" t="s">
        <v>17</v>
      </c>
      <c r="B685" s="52" t="s">
        <v>57</v>
      </c>
      <c r="C685" s="52" t="s">
        <v>774</v>
      </c>
      <c r="D685" s="52" t="s">
        <v>775</v>
      </c>
      <c r="E685" s="52" t="s">
        <v>387</v>
      </c>
      <c r="F685" s="52" t="s">
        <v>2589</v>
      </c>
      <c r="G685" s="52" t="s">
        <v>60</v>
      </c>
      <c r="H685" s="54">
        <v>46143</v>
      </c>
      <c r="I685" s="52" t="s">
        <v>2304</v>
      </c>
      <c r="J685" s="52" t="s">
        <v>2416</v>
      </c>
      <c r="K685" s="52" t="s">
        <v>777</v>
      </c>
      <c r="L685" s="52" t="s">
        <v>777</v>
      </c>
      <c r="M685" s="52" t="s">
        <v>29</v>
      </c>
      <c r="N685" s="53">
        <v>-215.29</v>
      </c>
      <c r="O685" s="53">
        <v>-215.29</v>
      </c>
      <c r="P685" s="52" t="s">
        <v>778</v>
      </c>
      <c r="Q685" s="52" t="s">
        <v>2590</v>
      </c>
      <c r="R685" s="55" t="s">
        <v>64</v>
      </c>
      <c r="S685" s="52" t="s">
        <v>2416</v>
      </c>
    </row>
    <row r="686" spans="1:19" outlineLevel="2" x14ac:dyDescent="0.45">
      <c r="A686" t="s">
        <v>17</v>
      </c>
      <c r="B686" s="52" t="s">
        <v>57</v>
      </c>
      <c r="C686" s="52" t="s">
        <v>870</v>
      </c>
      <c r="D686" s="52" t="s">
        <v>871</v>
      </c>
      <c r="E686" s="52" t="s">
        <v>387</v>
      </c>
      <c r="F686" s="52" t="s">
        <v>2595</v>
      </c>
      <c r="G686" s="52" t="s">
        <v>60</v>
      </c>
      <c r="H686" s="54">
        <v>46143</v>
      </c>
      <c r="I686" s="52" t="s">
        <v>2304</v>
      </c>
      <c r="J686" s="52" t="s">
        <v>2445</v>
      </c>
      <c r="K686" s="52"/>
      <c r="L686" s="52"/>
      <c r="M686" s="52" t="s">
        <v>29</v>
      </c>
      <c r="N686" s="53">
        <v>-201.3</v>
      </c>
      <c r="O686" s="53">
        <v>-201.3</v>
      </c>
      <c r="P686" s="52" t="s">
        <v>2596</v>
      </c>
      <c r="Q686" s="52" t="s">
        <v>2596</v>
      </c>
      <c r="R686" s="55" t="s">
        <v>64</v>
      </c>
      <c r="S686" s="52" t="s">
        <v>2445</v>
      </c>
    </row>
    <row r="687" spans="1:19" outlineLevel="2" x14ac:dyDescent="0.45">
      <c r="A687" t="s">
        <v>17</v>
      </c>
      <c r="B687" s="52" t="s">
        <v>57</v>
      </c>
      <c r="C687" s="52" t="s">
        <v>870</v>
      </c>
      <c r="D687" s="52" t="s">
        <v>871</v>
      </c>
      <c r="E687" s="52" t="s">
        <v>387</v>
      </c>
      <c r="F687" s="52" t="s">
        <v>2641</v>
      </c>
      <c r="G687" s="52" t="s">
        <v>60</v>
      </c>
      <c r="H687" s="54">
        <v>46143</v>
      </c>
      <c r="I687" s="52" t="s">
        <v>2304</v>
      </c>
      <c r="J687" s="52" t="s">
        <v>2488</v>
      </c>
      <c r="K687" s="52"/>
      <c r="L687" s="52"/>
      <c r="M687" s="52" t="s">
        <v>29</v>
      </c>
      <c r="N687" s="53">
        <v>-162.9</v>
      </c>
      <c r="O687" s="53">
        <v>-162.9</v>
      </c>
      <c r="P687" s="52" t="s">
        <v>2642</v>
      </c>
      <c r="Q687" s="52" t="s">
        <v>2642</v>
      </c>
      <c r="R687" s="55" t="s">
        <v>64</v>
      </c>
      <c r="S687" s="52" t="s">
        <v>2488</v>
      </c>
    </row>
    <row r="688" spans="1:19" outlineLevel="2" x14ac:dyDescent="0.45">
      <c r="A688" t="s">
        <v>17</v>
      </c>
      <c r="B688" s="52" t="s">
        <v>57</v>
      </c>
      <c r="C688" s="52" t="s">
        <v>780</v>
      </c>
      <c r="D688" s="52" t="s">
        <v>781</v>
      </c>
      <c r="E688" s="52" t="s">
        <v>387</v>
      </c>
      <c r="F688" s="52" t="s">
        <v>2637</v>
      </c>
      <c r="G688" s="52" t="s">
        <v>60</v>
      </c>
      <c r="H688" s="54">
        <v>46143</v>
      </c>
      <c r="I688" s="52" t="s">
        <v>2304</v>
      </c>
      <c r="J688" s="52" t="s">
        <v>2416</v>
      </c>
      <c r="K688" s="52" t="s">
        <v>2649</v>
      </c>
      <c r="L688" s="52" t="s">
        <v>2649</v>
      </c>
      <c r="M688" s="52" t="s">
        <v>29</v>
      </c>
      <c r="N688" s="53">
        <v>-127</v>
      </c>
      <c r="O688" s="53">
        <v>-127</v>
      </c>
      <c r="P688" s="52" t="s">
        <v>2650</v>
      </c>
      <c r="Q688" s="52" t="s">
        <v>2640</v>
      </c>
      <c r="R688" s="55" t="s">
        <v>64</v>
      </c>
      <c r="S688" s="52" t="s">
        <v>2416</v>
      </c>
    </row>
    <row r="689" spans="1:19" outlineLevel="2" x14ac:dyDescent="0.45">
      <c r="A689" t="s">
        <v>17</v>
      </c>
      <c r="B689" s="52" t="s">
        <v>57</v>
      </c>
      <c r="C689" s="52" t="s">
        <v>838</v>
      </c>
      <c r="D689" s="52" t="s">
        <v>839</v>
      </c>
      <c r="E689" s="52" t="s">
        <v>387</v>
      </c>
      <c r="F689" s="52" t="s">
        <v>2692</v>
      </c>
      <c r="G689" s="52" t="s">
        <v>60</v>
      </c>
      <c r="H689" s="54">
        <v>46143</v>
      </c>
      <c r="I689" s="52" t="s">
        <v>2304</v>
      </c>
      <c r="J689" s="52" t="s">
        <v>2328</v>
      </c>
      <c r="K689" s="52" t="s">
        <v>2693</v>
      </c>
      <c r="L689" s="52" t="s">
        <v>2693</v>
      </c>
      <c r="M689" s="52" t="s">
        <v>29</v>
      </c>
      <c r="N689" s="53">
        <v>-119.98</v>
      </c>
      <c r="O689" s="53">
        <v>-119.98</v>
      </c>
      <c r="P689" s="52" t="s">
        <v>2694</v>
      </c>
      <c r="Q689" s="52" t="s">
        <v>2695</v>
      </c>
      <c r="R689" s="55" t="s">
        <v>64</v>
      </c>
      <c r="S689" s="52" t="s">
        <v>2328</v>
      </c>
    </row>
    <row r="690" spans="1:19" outlineLevel="2" x14ac:dyDescent="0.45">
      <c r="A690" t="s">
        <v>17</v>
      </c>
      <c r="B690" s="52" t="s">
        <v>57</v>
      </c>
      <c r="C690" s="52" t="s">
        <v>349</v>
      </c>
      <c r="D690" s="52" t="s">
        <v>350</v>
      </c>
      <c r="E690" s="52" t="s">
        <v>387</v>
      </c>
      <c r="F690" s="52" t="s">
        <v>2696</v>
      </c>
      <c r="G690" s="52" t="s">
        <v>60</v>
      </c>
      <c r="H690" s="54">
        <v>46143</v>
      </c>
      <c r="I690" s="52" t="s">
        <v>2304</v>
      </c>
      <c r="J690" s="52" t="s">
        <v>2328</v>
      </c>
      <c r="K690" s="52" t="s">
        <v>2697</v>
      </c>
      <c r="L690" s="52" t="s">
        <v>2697</v>
      </c>
      <c r="M690" s="52" t="s">
        <v>29</v>
      </c>
      <c r="N690" s="53">
        <v>-113.75</v>
      </c>
      <c r="O690" s="53">
        <v>-113.75</v>
      </c>
      <c r="P690" s="52" t="s">
        <v>2698</v>
      </c>
      <c r="Q690" s="52" t="s">
        <v>2699</v>
      </c>
      <c r="R690" s="55" t="s">
        <v>64</v>
      </c>
      <c r="S690" s="52" t="s">
        <v>2328</v>
      </c>
    </row>
    <row r="691" spans="1:19" outlineLevel="2" x14ac:dyDescent="0.45">
      <c r="A691" t="s">
        <v>17</v>
      </c>
      <c r="B691" s="52" t="s">
        <v>57</v>
      </c>
      <c r="C691" s="52" t="s">
        <v>870</v>
      </c>
      <c r="D691" s="52" t="s">
        <v>871</v>
      </c>
      <c r="E691" s="52" t="s">
        <v>387</v>
      </c>
      <c r="F691" s="52" t="s">
        <v>2595</v>
      </c>
      <c r="G691" s="52" t="s">
        <v>60</v>
      </c>
      <c r="H691" s="54">
        <v>46143</v>
      </c>
      <c r="I691" s="52" t="s">
        <v>2304</v>
      </c>
      <c r="J691" s="52" t="s">
        <v>2445</v>
      </c>
      <c r="K691" s="52"/>
      <c r="L691" s="52"/>
      <c r="M691" s="52" t="s">
        <v>29</v>
      </c>
      <c r="N691" s="53">
        <v>-111</v>
      </c>
      <c r="O691" s="53">
        <v>-111</v>
      </c>
      <c r="P691" s="52" t="s">
        <v>2596</v>
      </c>
      <c r="Q691" s="52" t="s">
        <v>2596</v>
      </c>
      <c r="R691" s="55" t="s">
        <v>64</v>
      </c>
      <c r="S691" s="52" t="s">
        <v>2445</v>
      </c>
    </row>
    <row r="692" spans="1:19" outlineLevel="2" x14ac:dyDescent="0.45">
      <c r="A692" t="s">
        <v>17</v>
      </c>
      <c r="B692" s="52" t="s">
        <v>57</v>
      </c>
      <c r="C692" s="52" t="s">
        <v>780</v>
      </c>
      <c r="D692" s="52" t="s">
        <v>781</v>
      </c>
      <c r="E692" s="52" t="s">
        <v>387</v>
      </c>
      <c r="F692" s="52" t="s">
        <v>2637</v>
      </c>
      <c r="G692" s="52" t="s">
        <v>60</v>
      </c>
      <c r="H692" s="54">
        <v>46143</v>
      </c>
      <c r="I692" s="52" t="s">
        <v>2304</v>
      </c>
      <c r="J692" s="52" t="s">
        <v>2416</v>
      </c>
      <c r="K692" s="52" t="s">
        <v>2668</v>
      </c>
      <c r="L692" s="52" t="s">
        <v>2668</v>
      </c>
      <c r="M692" s="52" t="s">
        <v>29</v>
      </c>
      <c r="N692" s="53">
        <v>-93</v>
      </c>
      <c r="O692" s="53">
        <v>-93</v>
      </c>
      <c r="P692" s="52" t="s">
        <v>2669</v>
      </c>
      <c r="Q692" s="52" t="s">
        <v>2640</v>
      </c>
      <c r="R692" s="55" t="s">
        <v>64</v>
      </c>
      <c r="S692" s="52" t="s">
        <v>2416</v>
      </c>
    </row>
    <row r="693" spans="1:19" outlineLevel="2" x14ac:dyDescent="0.45">
      <c r="A693" t="s">
        <v>17</v>
      </c>
      <c r="B693" s="52" t="s">
        <v>57</v>
      </c>
      <c r="C693" s="52" t="s">
        <v>856</v>
      </c>
      <c r="D693" s="52" t="s">
        <v>857</v>
      </c>
      <c r="E693" s="52" t="s">
        <v>387</v>
      </c>
      <c r="F693" s="52" t="s">
        <v>2700</v>
      </c>
      <c r="G693" s="52" t="s">
        <v>60</v>
      </c>
      <c r="H693" s="54">
        <v>46143</v>
      </c>
      <c r="I693" s="52" t="s">
        <v>2304</v>
      </c>
      <c r="J693" s="52" t="s">
        <v>2333</v>
      </c>
      <c r="K693" s="52" t="s">
        <v>2657</v>
      </c>
      <c r="L693" s="52" t="s">
        <v>2657</v>
      </c>
      <c r="M693" s="52" t="s">
        <v>29</v>
      </c>
      <c r="N693" s="53">
        <v>-81</v>
      </c>
      <c r="O693" s="53">
        <v>-81</v>
      </c>
      <c r="P693" s="52" t="s">
        <v>2658</v>
      </c>
      <c r="Q693" s="52" t="s">
        <v>2623</v>
      </c>
      <c r="R693" s="55" t="s">
        <v>64</v>
      </c>
      <c r="S693" s="52" t="s">
        <v>2333</v>
      </c>
    </row>
    <row r="694" spans="1:19" outlineLevel="2" x14ac:dyDescent="0.45">
      <c r="A694" t="s">
        <v>17</v>
      </c>
      <c r="B694" s="52" t="s">
        <v>57</v>
      </c>
      <c r="C694" s="52" t="s">
        <v>856</v>
      </c>
      <c r="D694" s="52" t="s">
        <v>857</v>
      </c>
      <c r="E694" s="52" t="s">
        <v>387</v>
      </c>
      <c r="F694" s="52" t="s">
        <v>2701</v>
      </c>
      <c r="G694" s="52" t="s">
        <v>60</v>
      </c>
      <c r="H694" s="54">
        <v>46143</v>
      </c>
      <c r="I694" s="52" t="s">
        <v>2304</v>
      </c>
      <c r="J694" s="52" t="s">
        <v>2333</v>
      </c>
      <c r="K694" s="52" t="s">
        <v>2660</v>
      </c>
      <c r="L694" s="52" t="s">
        <v>2660</v>
      </c>
      <c r="M694" s="52" t="s">
        <v>29</v>
      </c>
      <c r="N694" s="53">
        <v>-80</v>
      </c>
      <c r="O694" s="53">
        <v>-80</v>
      </c>
      <c r="P694" s="52" t="s">
        <v>2661</v>
      </c>
      <c r="Q694" s="52" t="s">
        <v>2623</v>
      </c>
      <c r="R694" s="55" t="s">
        <v>64</v>
      </c>
      <c r="S694" s="52" t="s">
        <v>2333</v>
      </c>
    </row>
    <row r="695" spans="1:19" outlineLevel="2" x14ac:dyDescent="0.45">
      <c r="A695" t="s">
        <v>17</v>
      </c>
      <c r="B695" s="52" t="s">
        <v>57</v>
      </c>
      <c r="C695" s="52" t="s">
        <v>856</v>
      </c>
      <c r="D695" s="52" t="s">
        <v>857</v>
      </c>
      <c r="E695" s="52" t="s">
        <v>387</v>
      </c>
      <c r="F695" s="52" t="s">
        <v>2702</v>
      </c>
      <c r="G695" s="52" t="s">
        <v>60</v>
      </c>
      <c r="H695" s="54">
        <v>46143</v>
      </c>
      <c r="I695" s="52" t="s">
        <v>2304</v>
      </c>
      <c r="J695" s="52" t="s">
        <v>2333</v>
      </c>
      <c r="K695" s="52" t="s">
        <v>2703</v>
      </c>
      <c r="L695" s="52" t="s">
        <v>2703</v>
      </c>
      <c r="M695" s="52" t="s">
        <v>29</v>
      </c>
      <c r="N695" s="53">
        <v>-79</v>
      </c>
      <c r="O695" s="53">
        <v>-79</v>
      </c>
      <c r="P695" s="52" t="s">
        <v>2704</v>
      </c>
      <c r="Q695" s="52" t="s">
        <v>2623</v>
      </c>
      <c r="R695" s="55" t="s">
        <v>64</v>
      </c>
      <c r="S695" s="52" t="s">
        <v>2333</v>
      </c>
    </row>
    <row r="696" spans="1:19" outlineLevel="2" x14ac:dyDescent="0.45">
      <c r="A696" t="s">
        <v>17</v>
      </c>
      <c r="B696" s="52" t="s">
        <v>57</v>
      </c>
      <c r="C696" s="52" t="s">
        <v>856</v>
      </c>
      <c r="D696" s="52" t="s">
        <v>857</v>
      </c>
      <c r="E696" s="52" t="s">
        <v>387</v>
      </c>
      <c r="F696" s="52" t="s">
        <v>2705</v>
      </c>
      <c r="G696" s="52" t="s">
        <v>60</v>
      </c>
      <c r="H696" s="54">
        <v>46143</v>
      </c>
      <c r="I696" s="52" t="s">
        <v>2304</v>
      </c>
      <c r="J696" s="52" t="s">
        <v>2333</v>
      </c>
      <c r="K696" s="52" t="s">
        <v>2706</v>
      </c>
      <c r="L696" s="52" t="s">
        <v>2706</v>
      </c>
      <c r="M696" s="52" t="s">
        <v>29</v>
      </c>
      <c r="N696" s="53">
        <v>-79</v>
      </c>
      <c r="O696" s="53">
        <v>-79</v>
      </c>
      <c r="P696" s="52" t="s">
        <v>2707</v>
      </c>
      <c r="Q696" s="52" t="s">
        <v>2623</v>
      </c>
      <c r="R696" s="55" t="s">
        <v>64</v>
      </c>
      <c r="S696" s="52" t="s">
        <v>2333</v>
      </c>
    </row>
    <row r="697" spans="1:19" outlineLevel="2" x14ac:dyDescent="0.45">
      <c r="A697" t="s">
        <v>17</v>
      </c>
      <c r="B697" s="52" t="s">
        <v>57</v>
      </c>
      <c r="C697" s="52" t="s">
        <v>656</v>
      </c>
      <c r="D697" s="52" t="s">
        <v>657</v>
      </c>
      <c r="E697" s="52" t="s">
        <v>387</v>
      </c>
      <c r="F697" s="52" t="s">
        <v>1918</v>
      </c>
      <c r="G697" s="52" t="s">
        <v>60</v>
      </c>
      <c r="H697" s="54">
        <v>46143</v>
      </c>
      <c r="I697" s="52" t="s">
        <v>2304</v>
      </c>
      <c r="J697" s="52" t="s">
        <v>2445</v>
      </c>
      <c r="K697" s="52" t="s">
        <v>2614</v>
      </c>
      <c r="L697" s="52" t="s">
        <v>2614</v>
      </c>
      <c r="M697" s="52" t="s">
        <v>29</v>
      </c>
      <c r="N697" s="53">
        <v>-67.209999999999994</v>
      </c>
      <c r="O697" s="53">
        <v>-67.209999999999994</v>
      </c>
      <c r="P697" s="52" t="s">
        <v>2615</v>
      </c>
      <c r="Q697" s="52" t="s">
        <v>2616</v>
      </c>
      <c r="R697" s="55" t="s">
        <v>64</v>
      </c>
      <c r="S697" s="52" t="s">
        <v>2445</v>
      </c>
    </row>
    <row r="698" spans="1:19" outlineLevel="2" x14ac:dyDescent="0.45">
      <c r="A698" t="s">
        <v>17</v>
      </c>
      <c r="B698" s="52" t="s">
        <v>57</v>
      </c>
      <c r="C698" s="52" t="s">
        <v>656</v>
      </c>
      <c r="D698" s="52" t="s">
        <v>657</v>
      </c>
      <c r="E698" s="52" t="s">
        <v>387</v>
      </c>
      <c r="F698" s="52" t="s">
        <v>2617</v>
      </c>
      <c r="G698" s="52" t="s">
        <v>60</v>
      </c>
      <c r="H698" s="54">
        <v>46143</v>
      </c>
      <c r="I698" s="52" t="s">
        <v>2304</v>
      </c>
      <c r="J698" s="52" t="s">
        <v>2328</v>
      </c>
      <c r="K698" s="52" t="s">
        <v>2618</v>
      </c>
      <c r="L698" s="52" t="s">
        <v>2618</v>
      </c>
      <c r="M698" s="52" t="s">
        <v>29</v>
      </c>
      <c r="N698" s="53">
        <v>-67.209999999999994</v>
      </c>
      <c r="O698" s="53">
        <v>-67.209999999999994</v>
      </c>
      <c r="P698" s="52" t="s">
        <v>2619</v>
      </c>
      <c r="Q698" s="52" t="s">
        <v>2620</v>
      </c>
      <c r="R698" s="55" t="s">
        <v>64</v>
      </c>
      <c r="S698" s="52" t="s">
        <v>2328</v>
      </c>
    </row>
    <row r="699" spans="1:19" outlineLevel="2" x14ac:dyDescent="0.45">
      <c r="A699" t="s">
        <v>17</v>
      </c>
      <c r="B699" s="52" t="s">
        <v>57</v>
      </c>
      <c r="C699" s="52" t="s">
        <v>620</v>
      </c>
      <c r="D699" s="52" t="s">
        <v>621</v>
      </c>
      <c r="E699" s="52" t="s">
        <v>387</v>
      </c>
      <c r="F699" s="52" t="s">
        <v>2708</v>
      </c>
      <c r="G699" s="52" t="s">
        <v>60</v>
      </c>
      <c r="H699" s="54">
        <v>46143</v>
      </c>
      <c r="I699" s="52" t="s">
        <v>2304</v>
      </c>
      <c r="J699" s="52" t="s">
        <v>2333</v>
      </c>
      <c r="K699" s="52" t="s">
        <v>1301</v>
      </c>
      <c r="L699" s="52" t="s">
        <v>1301</v>
      </c>
      <c r="M699" s="52" t="s">
        <v>29</v>
      </c>
      <c r="N699" s="53">
        <v>-64</v>
      </c>
      <c r="O699" s="53">
        <v>-64</v>
      </c>
      <c r="P699" s="52" t="s">
        <v>2709</v>
      </c>
      <c r="Q699" s="52" t="s">
        <v>2623</v>
      </c>
      <c r="R699" s="55" t="s">
        <v>64</v>
      </c>
      <c r="S699" s="52" t="s">
        <v>2333</v>
      </c>
    </row>
    <row r="700" spans="1:19" outlineLevel="2" x14ac:dyDescent="0.45">
      <c r="A700" t="s">
        <v>17</v>
      </c>
      <c r="B700" s="52" t="s">
        <v>66</v>
      </c>
      <c r="C700" s="52" t="s">
        <v>349</v>
      </c>
      <c r="D700" s="52" t="s">
        <v>350</v>
      </c>
      <c r="E700" s="52" t="s">
        <v>387</v>
      </c>
      <c r="F700" s="52" t="s">
        <v>2710</v>
      </c>
      <c r="G700" s="52" t="s">
        <v>60</v>
      </c>
      <c r="H700" s="54">
        <v>46143</v>
      </c>
      <c r="I700" s="52" t="s">
        <v>2304</v>
      </c>
      <c r="J700" s="52" t="s">
        <v>2445</v>
      </c>
      <c r="K700" s="52" t="s">
        <v>2711</v>
      </c>
      <c r="L700" s="52" t="s">
        <v>2711</v>
      </c>
      <c r="M700" s="52" t="s">
        <v>67</v>
      </c>
      <c r="N700" s="53">
        <v>-4.59</v>
      </c>
      <c r="O700" s="53">
        <v>-15.79</v>
      </c>
      <c r="P700" s="52" t="s">
        <v>2712</v>
      </c>
      <c r="Q700" s="52" t="s">
        <v>2713</v>
      </c>
      <c r="R700" s="55" t="s">
        <v>64</v>
      </c>
      <c r="S700" s="52" t="s">
        <v>2445</v>
      </c>
    </row>
    <row r="701" spans="1:19" outlineLevel="2" x14ac:dyDescent="0.45">
      <c r="A701" t="s">
        <v>17</v>
      </c>
      <c r="B701" s="52" t="s">
        <v>57</v>
      </c>
      <c r="C701" s="52" t="s">
        <v>349</v>
      </c>
      <c r="D701" s="52" t="s">
        <v>350</v>
      </c>
      <c r="E701" s="52" t="s">
        <v>387</v>
      </c>
      <c r="F701" s="52" t="s">
        <v>2394</v>
      </c>
      <c r="G701" s="52" t="s">
        <v>60</v>
      </c>
      <c r="H701" s="54">
        <v>46143</v>
      </c>
      <c r="I701" s="52" t="s">
        <v>2304</v>
      </c>
      <c r="J701" s="52" t="s">
        <v>2328</v>
      </c>
      <c r="K701" s="52" t="s">
        <v>2714</v>
      </c>
      <c r="L701" s="52" t="s">
        <v>2714</v>
      </c>
      <c r="M701" s="52" t="s">
        <v>29</v>
      </c>
      <c r="N701" s="53">
        <v>-0.05</v>
      </c>
      <c r="O701" s="53">
        <v>-0.05</v>
      </c>
      <c r="P701" s="52" t="s">
        <v>2715</v>
      </c>
      <c r="Q701" s="52" t="s">
        <v>2395</v>
      </c>
      <c r="R701" s="55" t="s">
        <v>64</v>
      </c>
      <c r="S701" s="52" t="s">
        <v>2328</v>
      </c>
    </row>
    <row r="702" spans="1:19" outlineLevel="2" x14ac:dyDescent="0.45">
      <c r="A702" s="63" t="s">
        <v>17</v>
      </c>
      <c r="B702" s="64" t="s">
        <v>57</v>
      </c>
      <c r="C702" s="64" t="s">
        <v>349</v>
      </c>
      <c r="D702" s="64" t="s">
        <v>350</v>
      </c>
      <c r="E702" s="64" t="s">
        <v>387</v>
      </c>
      <c r="F702" s="64" t="s">
        <v>2716</v>
      </c>
      <c r="G702" s="64" t="s">
        <v>60</v>
      </c>
      <c r="H702" s="54">
        <v>46143</v>
      </c>
      <c r="I702" s="64" t="s">
        <v>2304</v>
      </c>
      <c r="J702" s="64" t="s">
        <v>2338</v>
      </c>
      <c r="K702" s="64" t="s">
        <v>2717</v>
      </c>
      <c r="L702" s="64" t="s">
        <v>2717</v>
      </c>
      <c r="M702" s="64" t="s">
        <v>29</v>
      </c>
      <c r="N702" s="65">
        <v>-227462.26</v>
      </c>
      <c r="O702" s="65">
        <v>-227462.26</v>
      </c>
      <c r="P702" s="64" t="s">
        <v>2718</v>
      </c>
      <c r="Q702" s="64" t="s">
        <v>2718</v>
      </c>
      <c r="R702" s="64" t="s">
        <v>64</v>
      </c>
      <c r="S702" s="64" t="s">
        <v>2338</v>
      </c>
    </row>
    <row r="703" spans="1:19" s="70" customFormat="1" outlineLevel="2" x14ac:dyDescent="0.45">
      <c r="A703" s="70" t="s">
        <v>17</v>
      </c>
      <c r="B703" s="71" t="s">
        <v>57</v>
      </c>
      <c r="C703" s="71" t="s">
        <v>442</v>
      </c>
      <c r="D703" s="71" t="s">
        <v>443</v>
      </c>
      <c r="E703" s="71" t="s">
        <v>387</v>
      </c>
      <c r="F703" s="71" t="s">
        <v>2597</v>
      </c>
      <c r="G703" s="71" t="s">
        <v>60</v>
      </c>
      <c r="H703" s="72">
        <v>46143</v>
      </c>
      <c r="I703" s="71" t="s">
        <v>2304</v>
      </c>
      <c r="J703" s="71" t="s">
        <v>2321</v>
      </c>
      <c r="K703" s="71" t="s">
        <v>2598</v>
      </c>
      <c r="L703" s="71" t="s">
        <v>2598</v>
      </c>
      <c r="M703" s="71" t="s">
        <v>29</v>
      </c>
      <c r="N703" s="73">
        <v>-2394.33</v>
      </c>
      <c r="O703" s="73">
        <v>-2394.33</v>
      </c>
      <c r="P703" s="71" t="s">
        <v>2599</v>
      </c>
      <c r="Q703" s="71" t="s">
        <v>2600</v>
      </c>
      <c r="R703" s="75" t="s">
        <v>64</v>
      </c>
      <c r="S703" s="71" t="s">
        <v>2321</v>
      </c>
    </row>
    <row r="704" spans="1:19" s="70" customFormat="1" outlineLevel="2" x14ac:dyDescent="0.45">
      <c r="A704" s="70" t="s">
        <v>17</v>
      </c>
      <c r="B704" s="71" t="s">
        <v>57</v>
      </c>
      <c r="C704" s="71" t="s">
        <v>442</v>
      </c>
      <c r="D704" s="71" t="s">
        <v>443</v>
      </c>
      <c r="E704" s="71" t="s">
        <v>71</v>
      </c>
      <c r="F704" s="71" t="s">
        <v>2719</v>
      </c>
      <c r="G704" s="71" t="s">
        <v>73</v>
      </c>
      <c r="H704" s="72">
        <v>46143</v>
      </c>
      <c r="I704" s="71" t="s">
        <v>2304</v>
      </c>
      <c r="J704" s="71" t="s">
        <v>2321</v>
      </c>
      <c r="K704" s="71" t="s">
        <v>2720</v>
      </c>
      <c r="L704" s="71" t="s">
        <v>2720</v>
      </c>
      <c r="M704" s="71" t="s">
        <v>29</v>
      </c>
      <c r="N704" s="73">
        <v>2394.33</v>
      </c>
      <c r="O704" s="73">
        <v>2394.33</v>
      </c>
      <c r="P704" s="71" t="s">
        <v>2599</v>
      </c>
      <c r="Q704" s="71" t="s">
        <v>2721</v>
      </c>
      <c r="R704" s="75" t="s">
        <v>64</v>
      </c>
      <c r="S704" s="71" t="s">
        <v>2321</v>
      </c>
    </row>
    <row r="705" spans="1:19" outlineLevel="2" x14ac:dyDescent="0.45">
      <c r="A705" t="s">
        <v>17</v>
      </c>
      <c r="B705" s="52" t="s">
        <v>66</v>
      </c>
      <c r="C705" s="52"/>
      <c r="D705" s="52"/>
      <c r="E705" s="52" t="s">
        <v>367</v>
      </c>
      <c r="F705" s="52" t="s">
        <v>2722</v>
      </c>
      <c r="G705" s="52" t="s">
        <v>369</v>
      </c>
      <c r="H705" s="54">
        <v>46143</v>
      </c>
      <c r="I705" s="52" t="s">
        <v>2304</v>
      </c>
      <c r="J705" s="52" t="s">
        <v>2723</v>
      </c>
      <c r="K705" s="52"/>
      <c r="L705" s="52"/>
      <c r="M705" s="52" t="s">
        <v>67</v>
      </c>
      <c r="N705" s="53">
        <v>0</v>
      </c>
      <c r="O705" s="53">
        <v>-1109.95</v>
      </c>
      <c r="P705" s="52" t="s">
        <v>370</v>
      </c>
      <c r="Q705" s="52" t="s">
        <v>370</v>
      </c>
      <c r="R705" s="55" t="s">
        <v>64</v>
      </c>
      <c r="S705" s="52" t="s">
        <v>2723</v>
      </c>
    </row>
    <row r="706" spans="1:19" hidden="1" outlineLevel="2" x14ac:dyDescent="0.45">
      <c r="A706" s="52" t="s">
        <v>17</v>
      </c>
      <c r="B706" s="52" t="s">
        <v>57</v>
      </c>
      <c r="C706" s="52" t="s">
        <v>376</v>
      </c>
      <c r="D706" s="52" t="s">
        <v>377</v>
      </c>
      <c r="E706" s="52" t="s">
        <v>387</v>
      </c>
      <c r="F706" s="52" t="s">
        <v>3081</v>
      </c>
      <c r="G706" s="52" t="s">
        <v>60</v>
      </c>
      <c r="H706" s="52" t="s">
        <v>3082</v>
      </c>
      <c r="I706" s="52" t="s">
        <v>2833</v>
      </c>
      <c r="J706" s="52" t="s">
        <v>2918</v>
      </c>
      <c r="K706" s="52" t="s">
        <v>3083</v>
      </c>
      <c r="L706" s="52" t="s">
        <v>3083</v>
      </c>
      <c r="M706" s="52" t="s">
        <v>29</v>
      </c>
      <c r="N706" s="84">
        <v>-1700</v>
      </c>
      <c r="O706" s="84">
        <v>-1700</v>
      </c>
      <c r="P706" s="52" t="s">
        <v>3084</v>
      </c>
      <c r="Q706" s="52" t="s">
        <v>3085</v>
      </c>
      <c r="R706" s="52" t="s">
        <v>64</v>
      </c>
      <c r="S706" s="52" t="s">
        <v>2918</v>
      </c>
    </row>
    <row r="707" spans="1:19" hidden="1" outlineLevel="2" x14ac:dyDescent="0.45">
      <c r="A707" s="52" t="s">
        <v>17</v>
      </c>
      <c r="B707" s="52" t="s">
        <v>57</v>
      </c>
      <c r="C707" s="52" t="s">
        <v>376</v>
      </c>
      <c r="D707" s="52" t="s">
        <v>377</v>
      </c>
      <c r="E707" s="52" t="s">
        <v>387</v>
      </c>
      <c r="F707" s="52" t="s">
        <v>3081</v>
      </c>
      <c r="G707" s="52" t="s">
        <v>60</v>
      </c>
      <c r="H707" s="52" t="s">
        <v>3082</v>
      </c>
      <c r="I707" s="52" t="s">
        <v>2833</v>
      </c>
      <c r="J707" s="52" t="s">
        <v>2918</v>
      </c>
      <c r="K707" s="52" t="s">
        <v>3083</v>
      </c>
      <c r="L707" s="52" t="s">
        <v>3083</v>
      </c>
      <c r="M707" s="52" t="s">
        <v>29</v>
      </c>
      <c r="N707" s="84">
        <v>-2000</v>
      </c>
      <c r="O707" s="84">
        <v>-2000</v>
      </c>
      <c r="P707" s="52" t="s">
        <v>3084</v>
      </c>
      <c r="Q707" s="52" t="s">
        <v>3085</v>
      </c>
      <c r="R707" s="52" t="s">
        <v>64</v>
      </c>
      <c r="S707" s="52" t="s">
        <v>2918</v>
      </c>
    </row>
    <row r="708" spans="1:19" hidden="1" outlineLevel="2" x14ac:dyDescent="0.45">
      <c r="A708" s="52" t="s">
        <v>17</v>
      </c>
      <c r="B708" s="52" t="s">
        <v>57</v>
      </c>
      <c r="C708" s="52" t="s">
        <v>376</v>
      </c>
      <c r="D708" s="52" t="s">
        <v>377</v>
      </c>
      <c r="E708" s="52" t="s">
        <v>387</v>
      </c>
      <c r="F708" s="52" t="s">
        <v>3081</v>
      </c>
      <c r="G708" s="52" t="s">
        <v>60</v>
      </c>
      <c r="H708" s="52" t="s">
        <v>3082</v>
      </c>
      <c r="I708" s="52" t="s">
        <v>2833</v>
      </c>
      <c r="J708" s="52" t="s">
        <v>2918</v>
      </c>
      <c r="K708" s="52" t="s">
        <v>3083</v>
      </c>
      <c r="L708" s="52" t="s">
        <v>3083</v>
      </c>
      <c r="M708" s="52" t="s">
        <v>29</v>
      </c>
      <c r="N708" s="84">
        <v>-2288</v>
      </c>
      <c r="O708" s="84">
        <v>-2288</v>
      </c>
      <c r="P708" s="52" t="s">
        <v>3084</v>
      </c>
      <c r="Q708" s="52" t="s">
        <v>3085</v>
      </c>
      <c r="R708" s="52" t="s">
        <v>64</v>
      </c>
      <c r="S708" s="52" t="s">
        <v>2918</v>
      </c>
    </row>
    <row r="709" spans="1:19" hidden="1" outlineLevel="2" x14ac:dyDescent="0.45">
      <c r="A709" s="52" t="s">
        <v>17</v>
      </c>
      <c r="B709" s="52" t="s">
        <v>57</v>
      </c>
      <c r="C709" s="52" t="s">
        <v>376</v>
      </c>
      <c r="D709" s="52" t="s">
        <v>377</v>
      </c>
      <c r="E709" s="52" t="s">
        <v>387</v>
      </c>
      <c r="F709" s="52" t="s">
        <v>3081</v>
      </c>
      <c r="G709" s="52" t="s">
        <v>60</v>
      </c>
      <c r="H709" s="52" t="s">
        <v>3082</v>
      </c>
      <c r="I709" s="52" t="s">
        <v>2833</v>
      </c>
      <c r="J709" s="52" t="s">
        <v>2918</v>
      </c>
      <c r="K709" s="52" t="s">
        <v>3083</v>
      </c>
      <c r="L709" s="52" t="s">
        <v>3083</v>
      </c>
      <c r="M709" s="52" t="s">
        <v>29</v>
      </c>
      <c r="N709" s="84">
        <v>-48612.23</v>
      </c>
      <c r="O709" s="84">
        <v>-48612.23</v>
      </c>
      <c r="P709" s="52" t="s">
        <v>3084</v>
      </c>
      <c r="Q709" s="52" t="s">
        <v>3085</v>
      </c>
      <c r="R709" s="52" t="s">
        <v>64</v>
      </c>
      <c r="S709" s="52" t="s">
        <v>2918</v>
      </c>
    </row>
    <row r="710" spans="1:19" outlineLevel="2" x14ac:dyDescent="0.45">
      <c r="A710" s="52" t="s">
        <v>17</v>
      </c>
      <c r="B710" s="52" t="s">
        <v>57</v>
      </c>
      <c r="C710" s="52" t="s">
        <v>349</v>
      </c>
      <c r="D710" s="52" t="s">
        <v>350</v>
      </c>
      <c r="E710" s="52" t="s">
        <v>387</v>
      </c>
      <c r="F710" s="52" t="s">
        <v>3086</v>
      </c>
      <c r="G710" s="52" t="s">
        <v>60</v>
      </c>
      <c r="H710" s="52" t="s">
        <v>3087</v>
      </c>
      <c r="I710" s="52" t="s">
        <v>2833</v>
      </c>
      <c r="J710" s="52" t="s">
        <v>2918</v>
      </c>
      <c r="K710" s="52" t="s">
        <v>3088</v>
      </c>
      <c r="L710" s="52" t="s">
        <v>3088</v>
      </c>
      <c r="M710" s="52" t="s">
        <v>29</v>
      </c>
      <c r="N710" s="84">
        <v>-4.3</v>
      </c>
      <c r="O710" s="84">
        <v>-4.3</v>
      </c>
      <c r="P710" s="52" t="s">
        <v>3089</v>
      </c>
      <c r="Q710" s="52" t="s">
        <v>3090</v>
      </c>
      <c r="R710" s="52" t="s">
        <v>64</v>
      </c>
      <c r="S710" s="52" t="s">
        <v>2918</v>
      </c>
    </row>
    <row r="711" spans="1:19" outlineLevel="2" x14ac:dyDescent="0.45">
      <c r="A711" s="52" t="s">
        <v>17</v>
      </c>
      <c r="B711" s="52" t="s">
        <v>57</v>
      </c>
      <c r="C711" s="52" t="s">
        <v>349</v>
      </c>
      <c r="D711" s="52" t="s">
        <v>350</v>
      </c>
      <c r="E711" s="52" t="s">
        <v>387</v>
      </c>
      <c r="F711" s="52" t="s">
        <v>3091</v>
      </c>
      <c r="G711" s="52" t="s">
        <v>60</v>
      </c>
      <c r="H711" s="52" t="s">
        <v>2904</v>
      </c>
      <c r="I711" s="52" t="s">
        <v>2833</v>
      </c>
      <c r="J711" s="52" t="s">
        <v>2918</v>
      </c>
      <c r="K711" s="52" t="s">
        <v>3092</v>
      </c>
      <c r="L711" s="52" t="s">
        <v>3092</v>
      </c>
      <c r="M711" s="52" t="s">
        <v>29</v>
      </c>
      <c r="N711" s="84">
        <v>-40</v>
      </c>
      <c r="O711" s="84">
        <v>-40</v>
      </c>
      <c r="P711" s="52" t="s">
        <v>3093</v>
      </c>
      <c r="Q711" s="52" t="s">
        <v>3094</v>
      </c>
      <c r="R711" s="52" t="s">
        <v>64</v>
      </c>
      <c r="S711" s="52" t="s">
        <v>2918</v>
      </c>
    </row>
    <row r="712" spans="1:19" outlineLevel="2" x14ac:dyDescent="0.45">
      <c r="A712" s="52" t="s">
        <v>17</v>
      </c>
      <c r="B712" s="52" t="s">
        <v>57</v>
      </c>
      <c r="C712" s="52" t="s">
        <v>349</v>
      </c>
      <c r="D712" s="52" t="s">
        <v>350</v>
      </c>
      <c r="E712" s="52" t="s">
        <v>387</v>
      </c>
      <c r="F712" s="52" t="s">
        <v>3095</v>
      </c>
      <c r="G712" s="52" t="s">
        <v>60</v>
      </c>
      <c r="H712" s="52" t="s">
        <v>3096</v>
      </c>
      <c r="I712" s="52" t="s">
        <v>2833</v>
      </c>
      <c r="J712" s="52" t="s">
        <v>2902</v>
      </c>
      <c r="K712" s="52" t="s">
        <v>3097</v>
      </c>
      <c r="L712" s="52" t="s">
        <v>3097</v>
      </c>
      <c r="M712" s="52" t="s">
        <v>29</v>
      </c>
      <c r="N712" s="84">
        <v>-7</v>
      </c>
      <c r="O712" s="84">
        <v>-7</v>
      </c>
      <c r="P712" s="52" t="s">
        <v>3098</v>
      </c>
      <c r="Q712" s="52" t="s">
        <v>3099</v>
      </c>
      <c r="R712" s="52" t="s">
        <v>64</v>
      </c>
      <c r="S712" s="52" t="s">
        <v>2918</v>
      </c>
    </row>
    <row r="713" spans="1:19" outlineLevel="2" x14ac:dyDescent="0.45">
      <c r="A713" s="52" t="s">
        <v>17</v>
      </c>
      <c r="B713" s="52" t="s">
        <v>57</v>
      </c>
      <c r="C713" s="52" t="s">
        <v>2099</v>
      </c>
      <c r="D713" s="52" t="s">
        <v>2100</v>
      </c>
      <c r="E713" s="52" t="s">
        <v>387</v>
      </c>
      <c r="F713" s="52" t="s">
        <v>3100</v>
      </c>
      <c r="G713" s="52" t="s">
        <v>60</v>
      </c>
      <c r="H713" s="52" t="s">
        <v>2554</v>
      </c>
      <c r="I713" s="52" t="s">
        <v>2833</v>
      </c>
      <c r="J713" s="52" t="s">
        <v>2918</v>
      </c>
      <c r="K713" s="52" t="s">
        <v>2562</v>
      </c>
      <c r="L713" s="52" t="s">
        <v>2562</v>
      </c>
      <c r="M713" s="52" t="s">
        <v>29</v>
      </c>
      <c r="N713" s="84">
        <v>-810</v>
      </c>
      <c r="O713" s="84">
        <v>-810</v>
      </c>
      <c r="P713" s="52" t="s">
        <v>2563</v>
      </c>
      <c r="Q713" s="52" t="s">
        <v>3101</v>
      </c>
      <c r="R713" s="52" t="s">
        <v>64</v>
      </c>
      <c r="S713" s="52" t="s">
        <v>2561</v>
      </c>
    </row>
    <row r="714" spans="1:19" outlineLevel="2" x14ac:dyDescent="0.45">
      <c r="A714" s="52" t="s">
        <v>17</v>
      </c>
      <c r="B714" s="52" t="s">
        <v>57</v>
      </c>
      <c r="C714" s="52" t="s">
        <v>2099</v>
      </c>
      <c r="D714" s="52" t="s">
        <v>2100</v>
      </c>
      <c r="E714" s="52" t="s">
        <v>387</v>
      </c>
      <c r="F714" s="52" t="s">
        <v>3102</v>
      </c>
      <c r="G714" s="52" t="s">
        <v>60</v>
      </c>
      <c r="H714" s="52" t="s">
        <v>819</v>
      </c>
      <c r="I714" s="52" t="s">
        <v>2833</v>
      </c>
      <c r="J714" s="52" t="s">
        <v>2918</v>
      </c>
      <c r="K714" s="52" t="s">
        <v>2240</v>
      </c>
      <c r="L714" s="52" t="s">
        <v>2240</v>
      </c>
      <c r="M714" s="52" t="s">
        <v>29</v>
      </c>
      <c r="N714" s="84">
        <v>-810</v>
      </c>
      <c r="O714" s="84">
        <v>-810</v>
      </c>
      <c r="P714" s="52" t="s">
        <v>2571</v>
      </c>
      <c r="Q714" s="52" t="s">
        <v>3101</v>
      </c>
      <c r="R714" s="52" t="s">
        <v>64</v>
      </c>
      <c r="S714" s="52" t="s">
        <v>2561</v>
      </c>
    </row>
    <row r="715" spans="1:19" outlineLevel="2" x14ac:dyDescent="0.45">
      <c r="A715" s="52" t="s">
        <v>17</v>
      </c>
      <c r="B715" s="52" t="s">
        <v>57</v>
      </c>
      <c r="C715" s="52" t="s">
        <v>630</v>
      </c>
      <c r="D715" s="52" t="s">
        <v>631</v>
      </c>
      <c r="E715" s="52" t="s">
        <v>387</v>
      </c>
      <c r="F715" s="52" t="s">
        <v>3103</v>
      </c>
      <c r="G715" s="52" t="s">
        <v>60</v>
      </c>
      <c r="H715" s="52" t="s">
        <v>3104</v>
      </c>
      <c r="I715" s="52" t="s">
        <v>2833</v>
      </c>
      <c r="J715" s="52" t="s">
        <v>2851</v>
      </c>
      <c r="K715" s="52" t="s">
        <v>3105</v>
      </c>
      <c r="L715" s="52" t="s">
        <v>3105</v>
      </c>
      <c r="M715" s="52" t="s">
        <v>29</v>
      </c>
      <c r="N715" s="84">
        <v>-430</v>
      </c>
      <c r="O715" s="84">
        <v>-430</v>
      </c>
      <c r="P715" s="52" t="s">
        <v>3106</v>
      </c>
      <c r="Q715" s="52" t="s">
        <v>3107</v>
      </c>
      <c r="R715" s="52" t="s">
        <v>64</v>
      </c>
      <c r="S715" s="52" t="s">
        <v>2851</v>
      </c>
    </row>
    <row r="716" spans="1:19" outlineLevel="2" x14ac:dyDescent="0.45">
      <c r="A716" s="52" t="s">
        <v>17</v>
      </c>
      <c r="B716" s="52" t="s">
        <v>57</v>
      </c>
      <c r="C716" s="52" t="s">
        <v>630</v>
      </c>
      <c r="D716" s="52" t="s">
        <v>631</v>
      </c>
      <c r="E716" s="52" t="s">
        <v>387</v>
      </c>
      <c r="F716" s="52" t="s">
        <v>3108</v>
      </c>
      <c r="G716" s="52" t="s">
        <v>60</v>
      </c>
      <c r="H716" s="52" t="s">
        <v>3109</v>
      </c>
      <c r="I716" s="52" t="s">
        <v>2833</v>
      </c>
      <c r="J716" s="52" t="s">
        <v>2843</v>
      </c>
      <c r="K716" s="52" t="s">
        <v>3110</v>
      </c>
      <c r="L716" s="52" t="s">
        <v>3110</v>
      </c>
      <c r="M716" s="52" t="s">
        <v>29</v>
      </c>
      <c r="N716" s="84">
        <v>-2500</v>
      </c>
      <c r="O716" s="84">
        <v>-2500</v>
      </c>
      <c r="P716" s="52" t="s">
        <v>3111</v>
      </c>
      <c r="Q716" s="52" t="s">
        <v>3112</v>
      </c>
      <c r="R716" s="52" t="s">
        <v>64</v>
      </c>
      <c r="S716" s="52" t="s">
        <v>2843</v>
      </c>
    </row>
    <row r="717" spans="1:19" outlineLevel="2" x14ac:dyDescent="0.45">
      <c r="A717" s="52" t="s">
        <v>17</v>
      </c>
      <c r="B717" s="52" t="s">
        <v>57</v>
      </c>
      <c r="C717" s="52" t="s">
        <v>630</v>
      </c>
      <c r="D717" s="52" t="s">
        <v>631</v>
      </c>
      <c r="E717" s="52" t="s">
        <v>387</v>
      </c>
      <c r="F717" s="52" t="s">
        <v>3113</v>
      </c>
      <c r="G717" s="52" t="s">
        <v>60</v>
      </c>
      <c r="H717" s="52" t="s">
        <v>3114</v>
      </c>
      <c r="I717" s="52" t="s">
        <v>2833</v>
      </c>
      <c r="J717" s="52" t="s">
        <v>2918</v>
      </c>
      <c r="K717" s="52" t="s">
        <v>3115</v>
      </c>
      <c r="L717" s="52" t="s">
        <v>3115</v>
      </c>
      <c r="M717" s="52" t="s">
        <v>29</v>
      </c>
      <c r="N717" s="84">
        <v>-2500</v>
      </c>
      <c r="O717" s="84">
        <v>-2500</v>
      </c>
      <c r="P717" s="52" t="s">
        <v>3116</v>
      </c>
      <c r="Q717" s="52" t="s">
        <v>3117</v>
      </c>
      <c r="R717" s="52" t="s">
        <v>64</v>
      </c>
      <c r="S717" s="52" t="s">
        <v>2918</v>
      </c>
    </row>
    <row r="718" spans="1:19" hidden="1" outlineLevel="2" x14ac:dyDescent="0.45">
      <c r="A718" s="52" t="s">
        <v>17</v>
      </c>
      <c r="B718" s="52" t="s">
        <v>57</v>
      </c>
      <c r="C718" s="52" t="s">
        <v>376</v>
      </c>
      <c r="D718" s="52" t="s">
        <v>377</v>
      </c>
      <c r="E718" s="52" t="s">
        <v>387</v>
      </c>
      <c r="F718" s="52" t="s">
        <v>3118</v>
      </c>
      <c r="G718" s="52" t="s">
        <v>60</v>
      </c>
      <c r="H718" s="52" t="s">
        <v>3119</v>
      </c>
      <c r="I718" s="52" t="s">
        <v>2833</v>
      </c>
      <c r="J718" s="52" t="s">
        <v>2918</v>
      </c>
      <c r="K718" s="52" t="s">
        <v>3120</v>
      </c>
      <c r="L718" s="52" t="s">
        <v>3120</v>
      </c>
      <c r="M718" s="52" t="s">
        <v>29</v>
      </c>
      <c r="N718" s="84">
        <v>-885</v>
      </c>
      <c r="O718" s="84">
        <v>-885</v>
      </c>
      <c r="P718" s="52" t="s">
        <v>3121</v>
      </c>
      <c r="Q718" s="52" t="s">
        <v>3122</v>
      </c>
      <c r="R718" s="52" t="s">
        <v>64</v>
      </c>
      <c r="S718" s="52" t="s">
        <v>2918</v>
      </c>
    </row>
    <row r="719" spans="1:19" outlineLevel="2" x14ac:dyDescent="0.45">
      <c r="A719" s="52" t="s">
        <v>17</v>
      </c>
      <c r="B719" s="52" t="s">
        <v>57</v>
      </c>
      <c r="C719" s="52" t="s">
        <v>1245</v>
      </c>
      <c r="D719" s="52" t="s">
        <v>1246</v>
      </c>
      <c r="E719" s="52" t="s">
        <v>387</v>
      </c>
      <c r="F719" s="52" t="s">
        <v>3123</v>
      </c>
      <c r="G719" s="52" t="s">
        <v>60</v>
      </c>
      <c r="H719" s="52" t="s">
        <v>3124</v>
      </c>
      <c r="I719" s="52" t="s">
        <v>2833</v>
      </c>
      <c r="J719" s="52" t="s">
        <v>2841</v>
      </c>
      <c r="K719" s="52" t="s">
        <v>3125</v>
      </c>
      <c r="L719" s="52" t="s">
        <v>3125</v>
      </c>
      <c r="M719" s="52" t="s">
        <v>29</v>
      </c>
      <c r="N719" s="84">
        <v>-800</v>
      </c>
      <c r="O719" s="84">
        <v>-800</v>
      </c>
      <c r="P719" s="52" t="s">
        <v>3126</v>
      </c>
      <c r="Q719" s="52" t="s">
        <v>3127</v>
      </c>
      <c r="R719" s="52" t="s">
        <v>64</v>
      </c>
      <c r="S719" s="52" t="s">
        <v>2858</v>
      </c>
    </row>
    <row r="720" spans="1:19" outlineLevel="2" x14ac:dyDescent="0.45">
      <c r="A720" s="52" t="s">
        <v>17</v>
      </c>
      <c r="B720" s="52" t="s">
        <v>57</v>
      </c>
      <c r="C720" s="52" t="s">
        <v>774</v>
      </c>
      <c r="D720" s="52" t="s">
        <v>775</v>
      </c>
      <c r="E720" s="52" t="s">
        <v>387</v>
      </c>
      <c r="F720" s="52" t="s">
        <v>3128</v>
      </c>
      <c r="G720" s="52" t="s">
        <v>60</v>
      </c>
      <c r="H720" s="52" t="s">
        <v>2832</v>
      </c>
      <c r="I720" s="52" t="s">
        <v>2833</v>
      </c>
      <c r="J720" s="52" t="s">
        <v>2843</v>
      </c>
      <c r="K720" s="52" t="s">
        <v>777</v>
      </c>
      <c r="L720" s="52" t="s">
        <v>777</v>
      </c>
      <c r="M720" s="52" t="s">
        <v>29</v>
      </c>
      <c r="N720" s="84">
        <v>-3000</v>
      </c>
      <c r="O720" s="84">
        <v>-3000</v>
      </c>
      <c r="P720" s="52" t="s">
        <v>778</v>
      </c>
      <c r="Q720" s="52" t="s">
        <v>2844</v>
      </c>
      <c r="R720" s="52" t="s">
        <v>64</v>
      </c>
      <c r="S720" s="52" t="s">
        <v>2839</v>
      </c>
    </row>
    <row r="721" spans="1:19" outlineLevel="2" x14ac:dyDescent="0.45">
      <c r="A721" s="52" t="s">
        <v>17</v>
      </c>
      <c r="B721" s="52" t="s">
        <v>57</v>
      </c>
      <c r="C721" s="52" t="s">
        <v>774</v>
      </c>
      <c r="D721" s="52" t="s">
        <v>775</v>
      </c>
      <c r="E721" s="52" t="s">
        <v>387</v>
      </c>
      <c r="F721" s="52" t="s">
        <v>3129</v>
      </c>
      <c r="G721" s="52" t="s">
        <v>60</v>
      </c>
      <c r="H721" s="52" t="s">
        <v>2832</v>
      </c>
      <c r="I721" s="52" t="s">
        <v>2833</v>
      </c>
      <c r="J721" s="52" t="s">
        <v>2841</v>
      </c>
      <c r="K721" s="52" t="s">
        <v>777</v>
      </c>
      <c r="L721" s="52" t="s">
        <v>777</v>
      </c>
      <c r="M721" s="52" t="s">
        <v>29</v>
      </c>
      <c r="N721" s="84">
        <v>-679.01</v>
      </c>
      <c r="O721" s="84">
        <v>-679.01</v>
      </c>
      <c r="P721" s="52" t="s">
        <v>778</v>
      </c>
      <c r="Q721" s="52" t="s">
        <v>2849</v>
      </c>
      <c r="R721" s="52" t="s">
        <v>64</v>
      </c>
      <c r="S721" s="52" t="s">
        <v>2839</v>
      </c>
    </row>
    <row r="722" spans="1:19" outlineLevel="2" x14ac:dyDescent="0.45">
      <c r="A722" s="52" t="s">
        <v>17</v>
      </c>
      <c r="B722" s="52" t="s">
        <v>57</v>
      </c>
      <c r="C722" s="52" t="s">
        <v>774</v>
      </c>
      <c r="D722" s="52" t="s">
        <v>775</v>
      </c>
      <c r="E722" s="52" t="s">
        <v>387</v>
      </c>
      <c r="F722" s="52" t="s">
        <v>3129</v>
      </c>
      <c r="G722" s="52" t="s">
        <v>60</v>
      </c>
      <c r="H722" s="52" t="s">
        <v>2832</v>
      </c>
      <c r="I722" s="52" t="s">
        <v>2833</v>
      </c>
      <c r="J722" s="52" t="s">
        <v>2841</v>
      </c>
      <c r="K722" s="52" t="s">
        <v>777</v>
      </c>
      <c r="L722" s="52" t="s">
        <v>777</v>
      </c>
      <c r="M722" s="52" t="s">
        <v>29</v>
      </c>
      <c r="N722" s="84">
        <v>-1320.99</v>
      </c>
      <c r="O722" s="84">
        <v>-1320.99</v>
      </c>
      <c r="P722" s="52" t="s">
        <v>778</v>
      </c>
      <c r="Q722" s="52" t="s">
        <v>2849</v>
      </c>
      <c r="R722" s="52" t="s">
        <v>64</v>
      </c>
      <c r="S722" s="52" t="s">
        <v>2839</v>
      </c>
    </row>
    <row r="723" spans="1:19" outlineLevel="2" x14ac:dyDescent="0.45">
      <c r="A723" s="52" t="s">
        <v>17</v>
      </c>
      <c r="B723" s="52" t="s">
        <v>57</v>
      </c>
      <c r="C723" s="52" t="s">
        <v>349</v>
      </c>
      <c r="D723" s="52" t="s">
        <v>350</v>
      </c>
      <c r="E723" s="52" t="s">
        <v>387</v>
      </c>
      <c r="F723" s="52" t="s">
        <v>3130</v>
      </c>
      <c r="G723" s="52" t="s">
        <v>60</v>
      </c>
      <c r="H723" s="52" t="s">
        <v>769</v>
      </c>
      <c r="I723" s="52" t="s">
        <v>2833</v>
      </c>
      <c r="J723" s="52" t="s">
        <v>2851</v>
      </c>
      <c r="K723" s="52" t="s">
        <v>3131</v>
      </c>
      <c r="L723" s="52" t="s">
        <v>3131</v>
      </c>
      <c r="M723" s="52" t="s">
        <v>29</v>
      </c>
      <c r="N723" s="84">
        <v>-10.5</v>
      </c>
      <c r="O723" s="84">
        <v>-10.5</v>
      </c>
      <c r="P723" s="52" t="s">
        <v>3132</v>
      </c>
      <c r="Q723" s="52" t="s">
        <v>3133</v>
      </c>
      <c r="R723" s="52" t="s">
        <v>64</v>
      </c>
      <c r="S723" s="52" t="s">
        <v>2851</v>
      </c>
    </row>
    <row r="724" spans="1:19" outlineLevel="2" x14ac:dyDescent="0.45">
      <c r="A724" s="52" t="s">
        <v>17</v>
      </c>
      <c r="B724" s="52" t="s">
        <v>57</v>
      </c>
      <c r="C724" s="52" t="s">
        <v>349</v>
      </c>
      <c r="D724" s="52" t="s">
        <v>350</v>
      </c>
      <c r="E724" s="52" t="s">
        <v>387</v>
      </c>
      <c r="F724" s="52" t="s">
        <v>3134</v>
      </c>
      <c r="G724" s="52" t="s">
        <v>60</v>
      </c>
      <c r="H724" s="52" t="s">
        <v>862</v>
      </c>
      <c r="I724" s="52" t="s">
        <v>2833</v>
      </c>
      <c r="J724" s="52" t="s">
        <v>2841</v>
      </c>
      <c r="K724" s="52" t="s">
        <v>3135</v>
      </c>
      <c r="L724" s="52" t="s">
        <v>3135</v>
      </c>
      <c r="M724" s="52" t="s">
        <v>29</v>
      </c>
      <c r="N724" s="84">
        <v>-1</v>
      </c>
      <c r="O724" s="84">
        <v>-1</v>
      </c>
      <c r="P724" s="52" t="s">
        <v>3136</v>
      </c>
      <c r="Q724" s="52" t="s">
        <v>3137</v>
      </c>
      <c r="R724" s="52" t="s">
        <v>64</v>
      </c>
      <c r="S724" s="52" t="s">
        <v>2841</v>
      </c>
    </row>
    <row r="725" spans="1:19" outlineLevel="2" x14ac:dyDescent="0.45">
      <c r="A725" s="52" t="s">
        <v>17</v>
      </c>
      <c r="B725" s="52" t="s">
        <v>57</v>
      </c>
      <c r="C725" s="52" t="s">
        <v>349</v>
      </c>
      <c r="D725" s="52" t="s">
        <v>350</v>
      </c>
      <c r="E725" s="52" t="s">
        <v>387</v>
      </c>
      <c r="F725" s="52" t="s">
        <v>3134</v>
      </c>
      <c r="G725" s="52" t="s">
        <v>60</v>
      </c>
      <c r="H725" s="52" t="s">
        <v>862</v>
      </c>
      <c r="I725" s="52" t="s">
        <v>2833</v>
      </c>
      <c r="J725" s="52" t="s">
        <v>2841</v>
      </c>
      <c r="K725" s="52" t="s">
        <v>3135</v>
      </c>
      <c r="L725" s="52" t="s">
        <v>3135</v>
      </c>
      <c r="M725" s="52" t="s">
        <v>29</v>
      </c>
      <c r="N725" s="84">
        <v>-4.3</v>
      </c>
      <c r="O725" s="84">
        <v>-4.3</v>
      </c>
      <c r="P725" s="52" t="s">
        <v>3136</v>
      </c>
      <c r="Q725" s="52" t="s">
        <v>3137</v>
      </c>
      <c r="R725" s="52" t="s">
        <v>64</v>
      </c>
      <c r="S725" s="52" t="s">
        <v>2841</v>
      </c>
    </row>
    <row r="726" spans="1:19" outlineLevel="2" x14ac:dyDescent="0.45">
      <c r="A726" s="52" t="s">
        <v>17</v>
      </c>
      <c r="B726" s="52" t="s">
        <v>57</v>
      </c>
      <c r="C726" s="52" t="s">
        <v>870</v>
      </c>
      <c r="D726" s="52" t="s">
        <v>871</v>
      </c>
      <c r="E726" s="52" t="s">
        <v>387</v>
      </c>
      <c r="F726" s="52" t="s">
        <v>3138</v>
      </c>
      <c r="G726" s="52" t="s">
        <v>60</v>
      </c>
      <c r="H726" s="52"/>
      <c r="I726" s="52" t="s">
        <v>2833</v>
      </c>
      <c r="J726" s="52" t="s">
        <v>2885</v>
      </c>
      <c r="K726" s="52"/>
      <c r="L726" s="52"/>
      <c r="M726" s="52" t="s">
        <v>29</v>
      </c>
      <c r="N726" s="84">
        <v>-10497.7</v>
      </c>
      <c r="O726" s="84">
        <v>-10497.7</v>
      </c>
      <c r="P726" s="52"/>
      <c r="Q726" s="52" t="s">
        <v>3139</v>
      </c>
      <c r="R726" s="52" t="s">
        <v>64</v>
      </c>
      <c r="S726" s="52"/>
    </row>
    <row r="727" spans="1:19" outlineLevel="2" x14ac:dyDescent="0.45">
      <c r="A727" s="52" t="s">
        <v>17</v>
      </c>
      <c r="B727" s="52" t="s">
        <v>57</v>
      </c>
      <c r="C727" s="52" t="s">
        <v>349</v>
      </c>
      <c r="D727" s="52" t="s">
        <v>350</v>
      </c>
      <c r="E727" s="52" t="s">
        <v>387</v>
      </c>
      <c r="F727" s="52" t="s">
        <v>3140</v>
      </c>
      <c r="G727" s="52" t="s">
        <v>60</v>
      </c>
      <c r="H727" s="52" t="s">
        <v>3141</v>
      </c>
      <c r="I727" s="52" t="s">
        <v>2833</v>
      </c>
      <c r="J727" s="52" t="s">
        <v>2885</v>
      </c>
      <c r="K727" s="52" t="s">
        <v>3142</v>
      </c>
      <c r="L727" s="52" t="s">
        <v>3142</v>
      </c>
      <c r="M727" s="52" t="s">
        <v>29</v>
      </c>
      <c r="N727" s="84">
        <v>-4.3</v>
      </c>
      <c r="O727" s="84">
        <v>-4.3</v>
      </c>
      <c r="P727" s="52" t="s">
        <v>3143</v>
      </c>
      <c r="Q727" s="52" t="s">
        <v>3144</v>
      </c>
      <c r="R727" s="52" t="s">
        <v>64</v>
      </c>
      <c r="S727" s="52" t="s">
        <v>2885</v>
      </c>
    </row>
    <row r="728" spans="1:19" outlineLevel="2" x14ac:dyDescent="0.45">
      <c r="A728" s="52" t="s">
        <v>17</v>
      </c>
      <c r="B728" s="52" t="s">
        <v>57</v>
      </c>
      <c r="C728" s="52" t="s">
        <v>349</v>
      </c>
      <c r="D728" s="52" t="s">
        <v>350</v>
      </c>
      <c r="E728" s="52" t="s">
        <v>387</v>
      </c>
      <c r="F728" s="52" t="s">
        <v>3140</v>
      </c>
      <c r="G728" s="52" t="s">
        <v>60</v>
      </c>
      <c r="H728" s="52" t="s">
        <v>3141</v>
      </c>
      <c r="I728" s="52" t="s">
        <v>2833</v>
      </c>
      <c r="J728" s="52" t="s">
        <v>2885</v>
      </c>
      <c r="K728" s="52" t="s">
        <v>3142</v>
      </c>
      <c r="L728" s="52" t="s">
        <v>3142</v>
      </c>
      <c r="M728" s="52" t="s">
        <v>29</v>
      </c>
      <c r="N728" s="84">
        <v>-4.3</v>
      </c>
      <c r="O728" s="84">
        <v>-4.3</v>
      </c>
      <c r="P728" s="52" t="s">
        <v>3143</v>
      </c>
      <c r="Q728" s="52" t="s">
        <v>3144</v>
      </c>
      <c r="R728" s="52" t="s">
        <v>64</v>
      </c>
      <c r="S728" s="52" t="s">
        <v>2885</v>
      </c>
    </row>
    <row r="729" spans="1:19" outlineLevel="2" x14ac:dyDescent="0.45">
      <c r="A729" s="52" t="s">
        <v>17</v>
      </c>
      <c r="B729" s="52" t="s">
        <v>57</v>
      </c>
      <c r="C729" s="52" t="s">
        <v>1304</v>
      </c>
      <c r="D729" s="52" t="s">
        <v>1305</v>
      </c>
      <c r="E729" s="52" t="s">
        <v>387</v>
      </c>
      <c r="F729" s="52" t="s">
        <v>3145</v>
      </c>
      <c r="G729" s="52" t="s">
        <v>60</v>
      </c>
      <c r="H729" s="52" t="s">
        <v>2688</v>
      </c>
      <c r="I729" s="52" t="s">
        <v>2833</v>
      </c>
      <c r="J729" s="52" t="s">
        <v>2932</v>
      </c>
      <c r="K729" s="52" t="s">
        <v>3146</v>
      </c>
      <c r="L729" s="52" t="s">
        <v>3146</v>
      </c>
      <c r="M729" s="52" t="s">
        <v>29</v>
      </c>
      <c r="N729" s="84">
        <v>-499</v>
      </c>
      <c r="O729" s="84">
        <v>-499</v>
      </c>
      <c r="P729" s="52" t="s">
        <v>3147</v>
      </c>
      <c r="Q729" s="52" t="s">
        <v>3148</v>
      </c>
      <c r="R729" s="52" t="s">
        <v>64</v>
      </c>
      <c r="S729" s="52" t="s">
        <v>2851</v>
      </c>
    </row>
    <row r="730" spans="1:19" outlineLevel="2" x14ac:dyDescent="0.45">
      <c r="A730" s="52" t="s">
        <v>17</v>
      </c>
      <c r="B730" s="52" t="s">
        <v>57</v>
      </c>
      <c r="C730" s="52" t="s">
        <v>758</v>
      </c>
      <c r="D730" s="52" t="s">
        <v>759</v>
      </c>
      <c r="E730" s="52" t="s">
        <v>387</v>
      </c>
      <c r="F730" s="52" t="s">
        <v>3149</v>
      </c>
      <c r="G730" s="52" t="s">
        <v>60</v>
      </c>
      <c r="H730" s="52" t="s">
        <v>907</v>
      </c>
      <c r="I730" s="52" t="s">
        <v>2833</v>
      </c>
      <c r="J730" s="52" t="s">
        <v>2932</v>
      </c>
      <c r="K730" s="52" t="s">
        <v>3150</v>
      </c>
      <c r="L730" s="52" t="s">
        <v>3150</v>
      </c>
      <c r="M730" s="52" t="s">
        <v>29</v>
      </c>
      <c r="N730" s="84">
        <v>-3738.4</v>
      </c>
      <c r="O730" s="84">
        <v>-3738.4</v>
      </c>
      <c r="P730" s="52" t="s">
        <v>3151</v>
      </c>
      <c r="Q730" s="52" t="s">
        <v>3152</v>
      </c>
      <c r="R730" s="52" t="s">
        <v>64</v>
      </c>
      <c r="S730" s="52" t="s">
        <v>2723</v>
      </c>
    </row>
    <row r="731" spans="1:19" outlineLevel="2" x14ac:dyDescent="0.45">
      <c r="A731" s="52" t="s">
        <v>17</v>
      </c>
      <c r="B731" s="52" t="s">
        <v>57</v>
      </c>
      <c r="C731" s="52" t="s">
        <v>758</v>
      </c>
      <c r="D731" s="52" t="s">
        <v>759</v>
      </c>
      <c r="E731" s="52" t="s">
        <v>387</v>
      </c>
      <c r="F731" s="52" t="s">
        <v>3153</v>
      </c>
      <c r="G731" s="52" t="s">
        <v>60</v>
      </c>
      <c r="H731" s="52" t="s">
        <v>3095</v>
      </c>
      <c r="I731" s="52" t="s">
        <v>2833</v>
      </c>
      <c r="J731" s="52" t="s">
        <v>2932</v>
      </c>
      <c r="K731" s="52" t="s">
        <v>3154</v>
      </c>
      <c r="L731" s="52" t="s">
        <v>3154</v>
      </c>
      <c r="M731" s="52" t="s">
        <v>29</v>
      </c>
      <c r="N731" s="84">
        <v>-2291.1</v>
      </c>
      <c r="O731" s="84">
        <v>-2291.1</v>
      </c>
      <c r="P731" s="52" t="s">
        <v>3155</v>
      </c>
      <c r="Q731" s="52" t="s">
        <v>3156</v>
      </c>
      <c r="R731" s="52" t="s">
        <v>64</v>
      </c>
      <c r="S731" s="52" t="s">
        <v>2723</v>
      </c>
    </row>
    <row r="732" spans="1:19" hidden="1" outlineLevel="2" x14ac:dyDescent="0.45">
      <c r="A732" s="52" t="s">
        <v>17</v>
      </c>
      <c r="B732" s="52" t="s">
        <v>57</v>
      </c>
      <c r="C732" s="52" t="s">
        <v>376</v>
      </c>
      <c r="D732" s="52" t="s">
        <v>377</v>
      </c>
      <c r="E732" s="52" t="s">
        <v>387</v>
      </c>
      <c r="F732" s="52" t="s">
        <v>3157</v>
      </c>
      <c r="G732" s="52" t="s">
        <v>60</v>
      </c>
      <c r="H732" s="52" t="s">
        <v>3158</v>
      </c>
      <c r="I732" s="52" t="s">
        <v>2833</v>
      </c>
      <c r="J732" s="52" t="s">
        <v>2932</v>
      </c>
      <c r="K732" s="52" t="s">
        <v>3159</v>
      </c>
      <c r="L732" s="52" t="s">
        <v>3159</v>
      </c>
      <c r="M732" s="52" t="s">
        <v>29</v>
      </c>
      <c r="N732" s="84">
        <v>-20000</v>
      </c>
      <c r="O732" s="84">
        <v>-20000</v>
      </c>
      <c r="P732" s="52" t="s">
        <v>3160</v>
      </c>
      <c r="Q732" s="52" t="s">
        <v>3161</v>
      </c>
      <c r="R732" s="52" t="s">
        <v>64</v>
      </c>
      <c r="S732" s="52" t="s">
        <v>2932</v>
      </c>
    </row>
    <row r="733" spans="1:19" hidden="1" outlineLevel="2" x14ac:dyDescent="0.45">
      <c r="A733" s="52" t="s">
        <v>17</v>
      </c>
      <c r="B733" s="52" t="s">
        <v>57</v>
      </c>
      <c r="C733" s="52" t="s">
        <v>376</v>
      </c>
      <c r="D733" s="52" t="s">
        <v>377</v>
      </c>
      <c r="E733" s="52" t="s">
        <v>387</v>
      </c>
      <c r="F733" s="52" t="s">
        <v>3162</v>
      </c>
      <c r="G733" s="52" t="s">
        <v>60</v>
      </c>
      <c r="H733" s="52" t="s">
        <v>3163</v>
      </c>
      <c r="I733" s="52" t="s">
        <v>2833</v>
      </c>
      <c r="J733" s="52" t="s">
        <v>2932</v>
      </c>
      <c r="K733" s="52" t="s">
        <v>3164</v>
      </c>
      <c r="L733" s="52" t="s">
        <v>3164</v>
      </c>
      <c r="M733" s="52" t="s">
        <v>29</v>
      </c>
      <c r="N733" s="84">
        <v>-3288</v>
      </c>
      <c r="O733" s="84">
        <v>-3288</v>
      </c>
      <c r="P733" s="52" t="s">
        <v>3165</v>
      </c>
      <c r="Q733" s="52" t="s">
        <v>3166</v>
      </c>
      <c r="R733" s="52" t="s">
        <v>64</v>
      </c>
      <c r="S733" s="52" t="s">
        <v>2932</v>
      </c>
    </row>
    <row r="734" spans="1:19" hidden="1" outlineLevel="2" x14ac:dyDescent="0.45">
      <c r="A734" s="52" t="s">
        <v>17</v>
      </c>
      <c r="B734" s="52" t="s">
        <v>57</v>
      </c>
      <c r="C734" s="52" t="s">
        <v>376</v>
      </c>
      <c r="D734" s="52" t="s">
        <v>377</v>
      </c>
      <c r="E734" s="52" t="s">
        <v>387</v>
      </c>
      <c r="F734" s="52" t="s">
        <v>3167</v>
      </c>
      <c r="G734" s="52" t="s">
        <v>60</v>
      </c>
      <c r="H734" s="52" t="s">
        <v>3168</v>
      </c>
      <c r="I734" s="52" t="s">
        <v>2833</v>
      </c>
      <c r="J734" s="52" t="s">
        <v>2932</v>
      </c>
      <c r="K734" s="52" t="s">
        <v>3169</v>
      </c>
      <c r="L734" s="52" t="s">
        <v>3169</v>
      </c>
      <c r="M734" s="52" t="s">
        <v>29</v>
      </c>
      <c r="N734" s="84">
        <v>-34752.04</v>
      </c>
      <c r="O734" s="84">
        <v>-34752.04</v>
      </c>
      <c r="P734" s="52" t="s">
        <v>3170</v>
      </c>
      <c r="Q734" s="52" t="s">
        <v>3171</v>
      </c>
      <c r="R734" s="52" t="s">
        <v>64</v>
      </c>
      <c r="S734" s="52" t="s">
        <v>2932</v>
      </c>
    </row>
    <row r="735" spans="1:19" hidden="1" outlineLevel="2" x14ac:dyDescent="0.45">
      <c r="A735" s="52" t="s">
        <v>17</v>
      </c>
      <c r="B735" s="52" t="s">
        <v>57</v>
      </c>
      <c r="C735" s="52" t="s">
        <v>376</v>
      </c>
      <c r="D735" s="52" t="s">
        <v>377</v>
      </c>
      <c r="E735" s="52" t="s">
        <v>387</v>
      </c>
      <c r="F735" s="52" t="s">
        <v>3172</v>
      </c>
      <c r="G735" s="52" t="s">
        <v>60</v>
      </c>
      <c r="H735" s="52" t="s">
        <v>3173</v>
      </c>
      <c r="I735" s="52" t="s">
        <v>2833</v>
      </c>
      <c r="J735" s="52" t="s">
        <v>2854</v>
      </c>
      <c r="K735" s="52" t="s">
        <v>3174</v>
      </c>
      <c r="L735" s="52" t="s">
        <v>3174</v>
      </c>
      <c r="M735" s="52" t="s">
        <v>29</v>
      </c>
      <c r="N735" s="84">
        <v>-4935.22</v>
      </c>
      <c r="O735" s="84">
        <v>-4935.22</v>
      </c>
      <c r="P735" s="52" t="s">
        <v>3175</v>
      </c>
      <c r="Q735" s="52" t="s">
        <v>3176</v>
      </c>
      <c r="R735" s="52" t="s">
        <v>64</v>
      </c>
      <c r="S735" s="52" t="s">
        <v>2854</v>
      </c>
    </row>
    <row r="736" spans="1:19" hidden="1" outlineLevel="2" x14ac:dyDescent="0.45">
      <c r="A736" s="52" t="s">
        <v>17</v>
      </c>
      <c r="B736" s="52" t="s">
        <v>57</v>
      </c>
      <c r="C736" s="52" t="s">
        <v>3178</v>
      </c>
      <c r="D736" s="52" t="s">
        <v>3179</v>
      </c>
      <c r="E736" s="52" t="s">
        <v>387</v>
      </c>
      <c r="F736" s="52" t="s">
        <v>3180</v>
      </c>
      <c r="G736" s="52" t="s">
        <v>60</v>
      </c>
      <c r="H736" s="52" t="s">
        <v>3181</v>
      </c>
      <c r="I736" s="52" t="s">
        <v>2833</v>
      </c>
      <c r="J736" s="52" t="s">
        <v>2854</v>
      </c>
      <c r="K736" s="52" t="s">
        <v>3182</v>
      </c>
      <c r="L736" s="52" t="s">
        <v>3182</v>
      </c>
      <c r="M736" s="52" t="s">
        <v>29</v>
      </c>
      <c r="N736" s="84">
        <v>-28000</v>
      </c>
      <c r="O736" s="84">
        <v>-28000</v>
      </c>
      <c r="P736" s="52" t="s">
        <v>3183</v>
      </c>
      <c r="Q736" s="52" t="s">
        <v>3184</v>
      </c>
      <c r="R736" s="52" t="s">
        <v>64</v>
      </c>
      <c r="S736" s="52" t="s">
        <v>2854</v>
      </c>
    </row>
    <row r="737" spans="1:19" outlineLevel="2" x14ac:dyDescent="0.45">
      <c r="A737" s="52" t="s">
        <v>17</v>
      </c>
      <c r="B737" s="52" t="s">
        <v>57</v>
      </c>
      <c r="C737" s="52" t="s">
        <v>747</v>
      </c>
      <c r="D737" s="52" t="s">
        <v>748</v>
      </c>
      <c r="E737" s="52" t="s">
        <v>387</v>
      </c>
      <c r="F737" s="52" t="s">
        <v>3185</v>
      </c>
      <c r="G737" s="52" t="s">
        <v>60</v>
      </c>
      <c r="H737" s="52" t="s">
        <v>3186</v>
      </c>
      <c r="I737" s="52" t="s">
        <v>2833</v>
      </c>
      <c r="J737" s="52" t="s">
        <v>2932</v>
      </c>
      <c r="K737" s="52" t="s">
        <v>3187</v>
      </c>
      <c r="L737" s="52" t="s">
        <v>3187</v>
      </c>
      <c r="M737" s="52" t="s">
        <v>29</v>
      </c>
      <c r="N737" s="84">
        <v>-2671.83</v>
      </c>
      <c r="O737" s="84">
        <v>-2671.83</v>
      </c>
      <c r="P737" s="52" t="s">
        <v>3188</v>
      </c>
      <c r="Q737" s="52" t="s">
        <v>3189</v>
      </c>
      <c r="R737" s="52" t="s">
        <v>64</v>
      </c>
      <c r="S737" s="52" t="s">
        <v>1880</v>
      </c>
    </row>
    <row r="738" spans="1:19" outlineLevel="2" x14ac:dyDescent="0.45">
      <c r="A738" s="52" t="s">
        <v>17</v>
      </c>
      <c r="B738" s="52" t="s">
        <v>57</v>
      </c>
      <c r="C738" s="52" t="s">
        <v>747</v>
      </c>
      <c r="D738" s="52" t="s">
        <v>748</v>
      </c>
      <c r="E738" s="52" t="s">
        <v>387</v>
      </c>
      <c r="F738" s="52" t="s">
        <v>3185</v>
      </c>
      <c r="G738" s="52" t="s">
        <v>60</v>
      </c>
      <c r="H738" s="52" t="s">
        <v>3190</v>
      </c>
      <c r="I738" s="52" t="s">
        <v>2833</v>
      </c>
      <c r="J738" s="52" t="s">
        <v>2932</v>
      </c>
      <c r="K738" s="52" t="s">
        <v>3191</v>
      </c>
      <c r="L738" s="52" t="s">
        <v>3191</v>
      </c>
      <c r="M738" s="52" t="s">
        <v>29</v>
      </c>
      <c r="N738" s="84">
        <v>-2483.1</v>
      </c>
      <c r="O738" s="84">
        <v>-2483.1</v>
      </c>
      <c r="P738" s="52" t="s">
        <v>3192</v>
      </c>
      <c r="Q738" s="52" t="s">
        <v>3189</v>
      </c>
      <c r="R738" s="52" t="s">
        <v>64</v>
      </c>
      <c r="S738" s="52" t="s">
        <v>1880</v>
      </c>
    </row>
    <row r="739" spans="1:19" outlineLevel="2" x14ac:dyDescent="0.45">
      <c r="A739" s="52" t="s">
        <v>17</v>
      </c>
      <c r="B739" s="52" t="s">
        <v>57</v>
      </c>
      <c r="C739" s="52" t="s">
        <v>349</v>
      </c>
      <c r="D739" s="52" t="s">
        <v>350</v>
      </c>
      <c r="E739" s="52" t="s">
        <v>387</v>
      </c>
      <c r="F739" s="52" t="s">
        <v>3193</v>
      </c>
      <c r="G739" s="52" t="s">
        <v>60</v>
      </c>
      <c r="H739" s="52" t="s">
        <v>3194</v>
      </c>
      <c r="I739" s="52" t="s">
        <v>2833</v>
      </c>
      <c r="J739" s="52" t="s">
        <v>2932</v>
      </c>
      <c r="K739" s="52" t="s">
        <v>3195</v>
      </c>
      <c r="L739" s="52" t="s">
        <v>3195</v>
      </c>
      <c r="M739" s="52" t="s">
        <v>29</v>
      </c>
      <c r="N739" s="84">
        <v>-3.5</v>
      </c>
      <c r="O739" s="84">
        <v>-3.5</v>
      </c>
      <c r="P739" s="52" t="s">
        <v>3196</v>
      </c>
      <c r="Q739" s="52" t="s">
        <v>3197</v>
      </c>
      <c r="R739" s="52" t="s">
        <v>64</v>
      </c>
      <c r="S739" s="52" t="s">
        <v>2932</v>
      </c>
    </row>
    <row r="740" spans="1:19" outlineLevel="2" x14ac:dyDescent="0.45">
      <c r="A740" s="52" t="s">
        <v>17</v>
      </c>
      <c r="B740" s="52" t="s">
        <v>57</v>
      </c>
      <c r="C740" s="52" t="s">
        <v>349</v>
      </c>
      <c r="D740" s="52" t="s">
        <v>350</v>
      </c>
      <c r="E740" s="52" t="s">
        <v>387</v>
      </c>
      <c r="F740" s="52" t="s">
        <v>3193</v>
      </c>
      <c r="G740" s="52" t="s">
        <v>60</v>
      </c>
      <c r="H740" s="52" t="s">
        <v>3194</v>
      </c>
      <c r="I740" s="52" t="s">
        <v>2833</v>
      </c>
      <c r="J740" s="52" t="s">
        <v>2932</v>
      </c>
      <c r="K740" s="52" t="s">
        <v>3195</v>
      </c>
      <c r="L740" s="52" t="s">
        <v>3195</v>
      </c>
      <c r="M740" s="52" t="s">
        <v>29</v>
      </c>
      <c r="N740" s="84">
        <v>-40</v>
      </c>
      <c r="O740" s="84">
        <v>-40</v>
      </c>
      <c r="P740" s="52" t="s">
        <v>3196</v>
      </c>
      <c r="Q740" s="52" t="s">
        <v>3197</v>
      </c>
      <c r="R740" s="52" t="s">
        <v>64</v>
      </c>
      <c r="S740" s="52" t="s">
        <v>2932</v>
      </c>
    </row>
    <row r="741" spans="1:19" outlineLevel="2" x14ac:dyDescent="0.45">
      <c r="A741" s="52" t="s">
        <v>17</v>
      </c>
      <c r="B741" s="52" t="s">
        <v>57</v>
      </c>
      <c r="C741" s="52" t="s">
        <v>349</v>
      </c>
      <c r="D741" s="52" t="s">
        <v>350</v>
      </c>
      <c r="E741" s="52" t="s">
        <v>387</v>
      </c>
      <c r="F741" s="52" t="s">
        <v>3198</v>
      </c>
      <c r="G741" s="52" t="s">
        <v>60</v>
      </c>
      <c r="H741" s="52" t="s">
        <v>3199</v>
      </c>
      <c r="I741" s="52" t="s">
        <v>2833</v>
      </c>
      <c r="J741" s="52" t="s">
        <v>2932</v>
      </c>
      <c r="K741" s="52" t="s">
        <v>3200</v>
      </c>
      <c r="L741" s="52" t="s">
        <v>3200</v>
      </c>
      <c r="M741" s="52" t="s">
        <v>29</v>
      </c>
      <c r="N741" s="84">
        <v>-1</v>
      </c>
      <c r="O741" s="84">
        <v>-1</v>
      </c>
      <c r="P741" s="52" t="s">
        <v>3201</v>
      </c>
      <c r="Q741" s="52" t="s">
        <v>3202</v>
      </c>
      <c r="R741" s="52" t="s">
        <v>64</v>
      </c>
      <c r="S741" s="52" t="s">
        <v>2932</v>
      </c>
    </row>
    <row r="742" spans="1:19" outlineLevel="2" x14ac:dyDescent="0.45">
      <c r="A742" s="52" t="s">
        <v>17</v>
      </c>
      <c r="B742" s="52" t="s">
        <v>57</v>
      </c>
      <c r="C742" s="52" t="s">
        <v>349</v>
      </c>
      <c r="D742" s="52" t="s">
        <v>350</v>
      </c>
      <c r="E742" s="52" t="s">
        <v>387</v>
      </c>
      <c r="F742" s="52" t="s">
        <v>3198</v>
      </c>
      <c r="G742" s="52" t="s">
        <v>60</v>
      </c>
      <c r="H742" s="52" t="s">
        <v>3199</v>
      </c>
      <c r="I742" s="52" t="s">
        <v>2833</v>
      </c>
      <c r="J742" s="52" t="s">
        <v>2932</v>
      </c>
      <c r="K742" s="52" t="s">
        <v>3200</v>
      </c>
      <c r="L742" s="52" t="s">
        <v>3200</v>
      </c>
      <c r="M742" s="52" t="s">
        <v>29</v>
      </c>
      <c r="N742" s="84">
        <v>-1</v>
      </c>
      <c r="O742" s="84">
        <v>-1</v>
      </c>
      <c r="P742" s="52" t="s">
        <v>3201</v>
      </c>
      <c r="Q742" s="52" t="s">
        <v>3202</v>
      </c>
      <c r="R742" s="52" t="s">
        <v>64</v>
      </c>
      <c r="S742" s="52" t="s">
        <v>2932</v>
      </c>
    </row>
    <row r="743" spans="1:19" outlineLevel="2" x14ac:dyDescent="0.45">
      <c r="A743" s="52" t="s">
        <v>17</v>
      </c>
      <c r="B743" s="52" t="s">
        <v>57</v>
      </c>
      <c r="C743" s="52" t="s">
        <v>349</v>
      </c>
      <c r="D743" s="52" t="s">
        <v>350</v>
      </c>
      <c r="E743" s="52" t="s">
        <v>387</v>
      </c>
      <c r="F743" s="52" t="s">
        <v>3198</v>
      </c>
      <c r="G743" s="52" t="s">
        <v>60</v>
      </c>
      <c r="H743" s="52" t="s">
        <v>3199</v>
      </c>
      <c r="I743" s="52" t="s">
        <v>2833</v>
      </c>
      <c r="J743" s="52" t="s">
        <v>2932</v>
      </c>
      <c r="K743" s="52" t="s">
        <v>3200</v>
      </c>
      <c r="L743" s="52" t="s">
        <v>3200</v>
      </c>
      <c r="M743" s="52" t="s">
        <v>29</v>
      </c>
      <c r="N743" s="84">
        <v>-1</v>
      </c>
      <c r="O743" s="84">
        <v>-1</v>
      </c>
      <c r="P743" s="52" t="s">
        <v>3201</v>
      </c>
      <c r="Q743" s="52" t="s">
        <v>3202</v>
      </c>
      <c r="R743" s="52" t="s">
        <v>64</v>
      </c>
      <c r="S743" s="52" t="s">
        <v>2932</v>
      </c>
    </row>
    <row r="744" spans="1:19" outlineLevel="2" x14ac:dyDescent="0.45">
      <c r="A744" s="52" t="s">
        <v>17</v>
      </c>
      <c r="B744" s="52" t="s">
        <v>57</v>
      </c>
      <c r="C744" s="52" t="s">
        <v>349</v>
      </c>
      <c r="D744" s="52" t="s">
        <v>350</v>
      </c>
      <c r="E744" s="52" t="s">
        <v>387</v>
      </c>
      <c r="F744" s="52" t="s">
        <v>3198</v>
      </c>
      <c r="G744" s="52" t="s">
        <v>60</v>
      </c>
      <c r="H744" s="52" t="s">
        <v>3199</v>
      </c>
      <c r="I744" s="52" t="s">
        <v>2833</v>
      </c>
      <c r="J744" s="52" t="s">
        <v>2932</v>
      </c>
      <c r="K744" s="52" t="s">
        <v>3200</v>
      </c>
      <c r="L744" s="52" t="s">
        <v>3200</v>
      </c>
      <c r="M744" s="52" t="s">
        <v>29</v>
      </c>
      <c r="N744" s="84">
        <v>-4.3</v>
      </c>
      <c r="O744" s="84">
        <v>-4.3</v>
      </c>
      <c r="P744" s="52" t="s">
        <v>3201</v>
      </c>
      <c r="Q744" s="52" t="s">
        <v>3202</v>
      </c>
      <c r="R744" s="52" t="s">
        <v>64</v>
      </c>
      <c r="S744" s="52" t="s">
        <v>2932</v>
      </c>
    </row>
    <row r="745" spans="1:19" outlineLevel="2" x14ac:dyDescent="0.45">
      <c r="A745" s="52" t="s">
        <v>17</v>
      </c>
      <c r="B745" s="52" t="s">
        <v>57</v>
      </c>
      <c r="C745" s="52" t="s">
        <v>349</v>
      </c>
      <c r="D745" s="52" t="s">
        <v>350</v>
      </c>
      <c r="E745" s="52" t="s">
        <v>387</v>
      </c>
      <c r="F745" s="52" t="s">
        <v>3198</v>
      </c>
      <c r="G745" s="52" t="s">
        <v>60</v>
      </c>
      <c r="H745" s="52" t="s">
        <v>3199</v>
      </c>
      <c r="I745" s="52" t="s">
        <v>2833</v>
      </c>
      <c r="J745" s="52" t="s">
        <v>2932</v>
      </c>
      <c r="K745" s="52" t="s">
        <v>3200</v>
      </c>
      <c r="L745" s="52" t="s">
        <v>3200</v>
      </c>
      <c r="M745" s="52" t="s">
        <v>29</v>
      </c>
      <c r="N745" s="84">
        <v>-4.3</v>
      </c>
      <c r="O745" s="84">
        <v>-4.3</v>
      </c>
      <c r="P745" s="52" t="s">
        <v>3201</v>
      </c>
      <c r="Q745" s="52" t="s">
        <v>3202</v>
      </c>
      <c r="R745" s="52" t="s">
        <v>64</v>
      </c>
      <c r="S745" s="52" t="s">
        <v>2932</v>
      </c>
    </row>
    <row r="746" spans="1:19" outlineLevel="2" x14ac:dyDescent="0.45">
      <c r="A746" s="52" t="s">
        <v>17</v>
      </c>
      <c r="B746" s="52" t="s">
        <v>57</v>
      </c>
      <c r="C746" s="52" t="s">
        <v>349</v>
      </c>
      <c r="D746" s="52" t="s">
        <v>350</v>
      </c>
      <c r="E746" s="52" t="s">
        <v>387</v>
      </c>
      <c r="F746" s="52" t="s">
        <v>3198</v>
      </c>
      <c r="G746" s="52" t="s">
        <v>60</v>
      </c>
      <c r="H746" s="52" t="s">
        <v>3199</v>
      </c>
      <c r="I746" s="52" t="s">
        <v>2833</v>
      </c>
      <c r="J746" s="52" t="s">
        <v>2932</v>
      </c>
      <c r="K746" s="52" t="s">
        <v>3200</v>
      </c>
      <c r="L746" s="52" t="s">
        <v>3200</v>
      </c>
      <c r="M746" s="52" t="s">
        <v>29</v>
      </c>
      <c r="N746" s="84">
        <v>-4.3</v>
      </c>
      <c r="O746" s="84">
        <v>-4.3</v>
      </c>
      <c r="P746" s="52" t="s">
        <v>3201</v>
      </c>
      <c r="Q746" s="52" t="s">
        <v>3202</v>
      </c>
      <c r="R746" s="52" t="s">
        <v>64</v>
      </c>
      <c r="S746" s="52" t="s">
        <v>2932</v>
      </c>
    </row>
    <row r="747" spans="1:19" outlineLevel="2" x14ac:dyDescent="0.45">
      <c r="A747" s="52" t="s">
        <v>17</v>
      </c>
      <c r="B747" s="52" t="s">
        <v>57</v>
      </c>
      <c r="C747" s="52" t="s">
        <v>349</v>
      </c>
      <c r="D747" s="52" t="s">
        <v>350</v>
      </c>
      <c r="E747" s="52" t="s">
        <v>387</v>
      </c>
      <c r="F747" s="52" t="s">
        <v>3198</v>
      </c>
      <c r="G747" s="52" t="s">
        <v>60</v>
      </c>
      <c r="H747" s="52" t="s">
        <v>3199</v>
      </c>
      <c r="I747" s="52" t="s">
        <v>2833</v>
      </c>
      <c r="J747" s="52" t="s">
        <v>2932</v>
      </c>
      <c r="K747" s="52" t="s">
        <v>3200</v>
      </c>
      <c r="L747" s="52" t="s">
        <v>3200</v>
      </c>
      <c r="M747" s="52" t="s">
        <v>29</v>
      </c>
      <c r="N747" s="84">
        <v>-7</v>
      </c>
      <c r="O747" s="84">
        <v>-7</v>
      </c>
      <c r="P747" s="52" t="s">
        <v>3201</v>
      </c>
      <c r="Q747" s="52" t="s">
        <v>3202</v>
      </c>
      <c r="R747" s="52" t="s">
        <v>64</v>
      </c>
      <c r="S747" s="52" t="s">
        <v>2932</v>
      </c>
    </row>
    <row r="748" spans="1:19" outlineLevel="2" x14ac:dyDescent="0.45">
      <c r="A748" s="52" t="s">
        <v>17</v>
      </c>
      <c r="B748" s="52" t="s">
        <v>57</v>
      </c>
      <c r="C748" s="52" t="s">
        <v>774</v>
      </c>
      <c r="D748" s="52" t="s">
        <v>775</v>
      </c>
      <c r="E748" s="52" t="s">
        <v>387</v>
      </c>
      <c r="F748" s="52" t="s">
        <v>3203</v>
      </c>
      <c r="G748" s="52" t="s">
        <v>60</v>
      </c>
      <c r="H748" s="52"/>
      <c r="I748" s="52" t="s">
        <v>2833</v>
      </c>
      <c r="J748" s="52" t="s">
        <v>2885</v>
      </c>
      <c r="K748" s="52"/>
      <c r="L748" s="52"/>
      <c r="M748" s="52" t="s">
        <v>29</v>
      </c>
      <c r="N748" s="84">
        <v>-3000</v>
      </c>
      <c r="O748" s="84">
        <v>-3000</v>
      </c>
      <c r="P748" s="52"/>
      <c r="Q748" s="52" t="s">
        <v>3204</v>
      </c>
      <c r="R748" s="52" t="s">
        <v>64</v>
      </c>
      <c r="S748" s="52"/>
    </row>
    <row r="749" spans="1:19" hidden="1" outlineLevel="2" x14ac:dyDescent="0.45">
      <c r="A749" s="52" t="s">
        <v>17</v>
      </c>
      <c r="B749" s="52" t="s">
        <v>57</v>
      </c>
      <c r="C749" s="52" t="s">
        <v>376</v>
      </c>
      <c r="D749" s="52" t="s">
        <v>377</v>
      </c>
      <c r="E749" s="52" t="s">
        <v>387</v>
      </c>
      <c r="F749" s="52" t="s">
        <v>3205</v>
      </c>
      <c r="G749" s="52" t="s">
        <v>60</v>
      </c>
      <c r="H749" s="52" t="s">
        <v>3206</v>
      </c>
      <c r="I749" s="52" t="s">
        <v>2833</v>
      </c>
      <c r="J749" s="52" t="s">
        <v>2910</v>
      </c>
      <c r="K749" s="52" t="s">
        <v>3207</v>
      </c>
      <c r="L749" s="52" t="s">
        <v>3207</v>
      </c>
      <c r="M749" s="52" t="s">
        <v>29</v>
      </c>
      <c r="N749" s="84">
        <v>-314244.7</v>
      </c>
      <c r="O749" s="84">
        <v>-314244.7</v>
      </c>
      <c r="P749" s="52" t="s">
        <v>3208</v>
      </c>
      <c r="Q749" s="52" t="s">
        <v>3209</v>
      </c>
      <c r="R749" s="52" t="s">
        <v>64</v>
      </c>
      <c r="S749" s="52" t="s">
        <v>2910</v>
      </c>
    </row>
    <row r="750" spans="1:19" outlineLevel="2" x14ac:dyDescent="0.45">
      <c r="A750" s="52" t="s">
        <v>17</v>
      </c>
      <c r="B750" s="52" t="s">
        <v>57</v>
      </c>
      <c r="C750" s="52" t="s">
        <v>774</v>
      </c>
      <c r="D750" s="52" t="s">
        <v>775</v>
      </c>
      <c r="E750" s="52" t="s">
        <v>387</v>
      </c>
      <c r="F750" s="52" t="s">
        <v>3210</v>
      </c>
      <c r="G750" s="52" t="s">
        <v>60</v>
      </c>
      <c r="H750" s="52"/>
      <c r="I750" s="52" t="s">
        <v>2833</v>
      </c>
      <c r="J750" s="52" t="s">
        <v>2918</v>
      </c>
      <c r="K750" s="52"/>
      <c r="L750" s="52"/>
      <c r="M750" s="52" t="s">
        <v>29</v>
      </c>
      <c r="N750" s="84">
        <v>-912.39</v>
      </c>
      <c r="O750" s="84">
        <v>-912.39</v>
      </c>
      <c r="P750" s="52"/>
      <c r="Q750" s="52" t="s">
        <v>3211</v>
      </c>
      <c r="R750" s="52" t="s">
        <v>64</v>
      </c>
      <c r="S750" s="52"/>
    </row>
    <row r="751" spans="1:19" outlineLevel="2" x14ac:dyDescent="0.45">
      <c r="A751" s="52" t="s">
        <v>17</v>
      </c>
      <c r="B751" s="52" t="s">
        <v>57</v>
      </c>
      <c r="C751" s="52" t="s">
        <v>349</v>
      </c>
      <c r="D751" s="52" t="s">
        <v>350</v>
      </c>
      <c r="E751" s="52" t="s">
        <v>387</v>
      </c>
      <c r="F751" s="52" t="s">
        <v>3212</v>
      </c>
      <c r="G751" s="52" t="s">
        <v>60</v>
      </c>
      <c r="H751" s="52" t="s">
        <v>3213</v>
      </c>
      <c r="I751" s="52" t="s">
        <v>2833</v>
      </c>
      <c r="J751" s="52" t="s">
        <v>2932</v>
      </c>
      <c r="K751" s="52" t="s">
        <v>3214</v>
      </c>
      <c r="L751" s="52" t="s">
        <v>3214</v>
      </c>
      <c r="M751" s="52" t="s">
        <v>29</v>
      </c>
      <c r="N751" s="84">
        <v>-132.55000000000001</v>
      </c>
      <c r="O751" s="84">
        <v>-132.55000000000001</v>
      </c>
      <c r="P751" s="52" t="s">
        <v>3215</v>
      </c>
      <c r="Q751" s="52" t="s">
        <v>3216</v>
      </c>
      <c r="R751" s="52" t="s">
        <v>64</v>
      </c>
      <c r="S751" s="52" t="s">
        <v>2932</v>
      </c>
    </row>
    <row r="752" spans="1:19" outlineLevel="2" x14ac:dyDescent="0.45">
      <c r="A752" s="52" t="s">
        <v>17</v>
      </c>
      <c r="B752" s="52" t="s">
        <v>57</v>
      </c>
      <c r="C752" s="52" t="s">
        <v>1245</v>
      </c>
      <c r="D752" s="52" t="s">
        <v>1246</v>
      </c>
      <c r="E752" s="52" t="s">
        <v>387</v>
      </c>
      <c r="F752" s="52" t="s">
        <v>3217</v>
      </c>
      <c r="G752" s="52" t="s">
        <v>60</v>
      </c>
      <c r="H752" s="52" t="s">
        <v>3218</v>
      </c>
      <c r="I752" s="52" t="s">
        <v>2833</v>
      </c>
      <c r="J752" s="52" t="s">
        <v>2932</v>
      </c>
      <c r="K752" s="52" t="s">
        <v>3219</v>
      </c>
      <c r="L752" s="52" t="s">
        <v>3219</v>
      </c>
      <c r="M752" s="52" t="s">
        <v>29</v>
      </c>
      <c r="N752" s="84">
        <v>-1540</v>
      </c>
      <c r="O752" s="84">
        <v>-1540</v>
      </c>
      <c r="P752" s="52" t="s">
        <v>3220</v>
      </c>
      <c r="Q752" s="52" t="s">
        <v>3221</v>
      </c>
      <c r="R752" s="52" t="s">
        <v>64</v>
      </c>
      <c r="S752" s="52" t="s">
        <v>3177</v>
      </c>
    </row>
    <row r="753" spans="1:19" outlineLevel="2" x14ac:dyDescent="0.45">
      <c r="A753" s="52" t="s">
        <v>17</v>
      </c>
      <c r="B753" s="52" t="s">
        <v>57</v>
      </c>
      <c r="C753" s="52" t="s">
        <v>1245</v>
      </c>
      <c r="D753" s="52" t="s">
        <v>1246</v>
      </c>
      <c r="E753" s="52" t="s">
        <v>387</v>
      </c>
      <c r="F753" s="52" t="s">
        <v>3217</v>
      </c>
      <c r="G753" s="52" t="s">
        <v>60</v>
      </c>
      <c r="H753" s="52" t="s">
        <v>3222</v>
      </c>
      <c r="I753" s="52" t="s">
        <v>2833</v>
      </c>
      <c r="J753" s="52" t="s">
        <v>2932</v>
      </c>
      <c r="K753" s="52" t="s">
        <v>3223</v>
      </c>
      <c r="L753" s="52" t="s">
        <v>3223</v>
      </c>
      <c r="M753" s="52" t="s">
        <v>29</v>
      </c>
      <c r="N753" s="84">
        <v>-100</v>
      </c>
      <c r="O753" s="84">
        <v>-100</v>
      </c>
      <c r="P753" s="52" t="s">
        <v>3224</v>
      </c>
      <c r="Q753" s="52" t="s">
        <v>3221</v>
      </c>
      <c r="R753" s="52" t="s">
        <v>64</v>
      </c>
      <c r="S753" s="52" t="s">
        <v>3177</v>
      </c>
    </row>
    <row r="754" spans="1:19" outlineLevel="2" x14ac:dyDescent="0.45">
      <c r="A754" s="52" t="s">
        <v>17</v>
      </c>
      <c r="B754" s="52" t="s">
        <v>57</v>
      </c>
      <c r="C754" s="52" t="s">
        <v>774</v>
      </c>
      <c r="D754" s="52" t="s">
        <v>775</v>
      </c>
      <c r="E754" s="52" t="s">
        <v>387</v>
      </c>
      <c r="F754" s="52" t="s">
        <v>3225</v>
      </c>
      <c r="G754" s="52" t="s">
        <v>60</v>
      </c>
      <c r="H754" s="52"/>
      <c r="I754" s="52" t="s">
        <v>2833</v>
      </c>
      <c r="J754" s="52" t="s">
        <v>2851</v>
      </c>
      <c r="K754" s="52"/>
      <c r="L754" s="52"/>
      <c r="M754" s="52" t="s">
        <v>29</v>
      </c>
      <c r="N754" s="84">
        <v>-640.09</v>
      </c>
      <c r="O754" s="84">
        <v>-640.09</v>
      </c>
      <c r="P754" s="52"/>
      <c r="Q754" s="52" t="s">
        <v>2852</v>
      </c>
      <c r="R754" s="52" t="s">
        <v>64</v>
      </c>
      <c r="S754" s="52"/>
    </row>
    <row r="755" spans="1:19" outlineLevel="2" x14ac:dyDescent="0.45">
      <c r="A755" s="52" t="s">
        <v>17</v>
      </c>
      <c r="B755" s="52" t="s">
        <v>57</v>
      </c>
      <c r="C755" s="52" t="s">
        <v>774</v>
      </c>
      <c r="D755" s="52" t="s">
        <v>775</v>
      </c>
      <c r="E755" s="52" t="s">
        <v>387</v>
      </c>
      <c r="F755" s="52" t="s">
        <v>3225</v>
      </c>
      <c r="G755" s="52" t="s">
        <v>60</v>
      </c>
      <c r="H755" s="52" t="s">
        <v>2832</v>
      </c>
      <c r="I755" s="52" t="s">
        <v>2833</v>
      </c>
      <c r="J755" s="52" t="s">
        <v>2851</v>
      </c>
      <c r="K755" s="52" t="s">
        <v>777</v>
      </c>
      <c r="L755" s="52" t="s">
        <v>777</v>
      </c>
      <c r="M755" s="52" t="s">
        <v>29</v>
      </c>
      <c r="N755" s="84">
        <v>-859.91</v>
      </c>
      <c r="O755" s="84">
        <v>-859.91</v>
      </c>
      <c r="P755" s="52" t="s">
        <v>778</v>
      </c>
      <c r="Q755" s="52" t="s">
        <v>2852</v>
      </c>
      <c r="R755" s="52" t="s">
        <v>64</v>
      </c>
      <c r="S755" s="52" t="s">
        <v>2839</v>
      </c>
    </row>
    <row r="756" spans="1:19" outlineLevel="2" x14ac:dyDescent="0.45">
      <c r="A756" s="52" t="s">
        <v>17</v>
      </c>
      <c r="B756" s="52" t="s">
        <v>57</v>
      </c>
      <c r="C756" s="52" t="s">
        <v>774</v>
      </c>
      <c r="D756" s="52" t="s">
        <v>775</v>
      </c>
      <c r="E756" s="52" t="s">
        <v>387</v>
      </c>
      <c r="F756" s="52" t="s">
        <v>3226</v>
      </c>
      <c r="G756" s="52" t="s">
        <v>60</v>
      </c>
      <c r="H756" s="52" t="s">
        <v>2832</v>
      </c>
      <c r="I756" s="52" t="s">
        <v>2833</v>
      </c>
      <c r="J756" s="52" t="s">
        <v>2854</v>
      </c>
      <c r="K756" s="52" t="s">
        <v>777</v>
      </c>
      <c r="L756" s="52" t="s">
        <v>777</v>
      </c>
      <c r="M756" s="52" t="s">
        <v>29</v>
      </c>
      <c r="N756" s="84">
        <v>-18</v>
      </c>
      <c r="O756" s="84">
        <v>-18</v>
      </c>
      <c r="P756" s="52" t="s">
        <v>778</v>
      </c>
      <c r="Q756" s="52" t="s">
        <v>2855</v>
      </c>
      <c r="R756" s="52" t="s">
        <v>64</v>
      </c>
      <c r="S756" s="52" t="s">
        <v>2839</v>
      </c>
    </row>
    <row r="757" spans="1:19" outlineLevel="2" x14ac:dyDescent="0.45">
      <c r="A757" s="52" t="s">
        <v>17</v>
      </c>
      <c r="B757" s="52" t="s">
        <v>57</v>
      </c>
      <c r="C757" s="52" t="s">
        <v>774</v>
      </c>
      <c r="D757" s="52" t="s">
        <v>775</v>
      </c>
      <c r="E757" s="52" t="s">
        <v>387</v>
      </c>
      <c r="F757" s="52" t="s">
        <v>3226</v>
      </c>
      <c r="G757" s="52" t="s">
        <v>60</v>
      </c>
      <c r="H757" s="52"/>
      <c r="I757" s="52" t="s">
        <v>2833</v>
      </c>
      <c r="J757" s="52" t="s">
        <v>2854</v>
      </c>
      <c r="K757" s="52"/>
      <c r="L757" s="52"/>
      <c r="M757" s="52" t="s">
        <v>29</v>
      </c>
      <c r="N757" s="84">
        <v>-22.99</v>
      </c>
      <c r="O757" s="84">
        <v>-22.99</v>
      </c>
      <c r="P757" s="52"/>
      <c r="Q757" s="52" t="s">
        <v>2855</v>
      </c>
      <c r="R757" s="52" t="s">
        <v>64</v>
      </c>
      <c r="S757" s="52"/>
    </row>
    <row r="758" spans="1:19" outlineLevel="2" x14ac:dyDescent="0.45">
      <c r="A758" s="52" t="s">
        <v>17</v>
      </c>
      <c r="B758" s="52" t="s">
        <v>57</v>
      </c>
      <c r="C758" s="52" t="s">
        <v>774</v>
      </c>
      <c r="D758" s="52" t="s">
        <v>775</v>
      </c>
      <c r="E758" s="52" t="s">
        <v>387</v>
      </c>
      <c r="F758" s="52" t="s">
        <v>3226</v>
      </c>
      <c r="G758" s="52" t="s">
        <v>60</v>
      </c>
      <c r="H758" s="52"/>
      <c r="I758" s="52" t="s">
        <v>2833</v>
      </c>
      <c r="J758" s="52" t="s">
        <v>2854</v>
      </c>
      <c r="K758" s="52"/>
      <c r="L758" s="52"/>
      <c r="M758" s="52" t="s">
        <v>29</v>
      </c>
      <c r="N758" s="84">
        <v>-2572.23</v>
      </c>
      <c r="O758" s="84">
        <v>-2572.23</v>
      </c>
      <c r="P758" s="52"/>
      <c r="Q758" s="52" t="s">
        <v>2855</v>
      </c>
      <c r="R758" s="52" t="s">
        <v>64</v>
      </c>
      <c r="S758" s="52"/>
    </row>
    <row r="759" spans="1:19" outlineLevel="2" x14ac:dyDescent="0.45">
      <c r="A759" s="52" t="s">
        <v>17</v>
      </c>
      <c r="B759" s="52" t="s">
        <v>66</v>
      </c>
      <c r="C759" s="52"/>
      <c r="D759" s="52"/>
      <c r="E759" s="52" t="s">
        <v>367</v>
      </c>
      <c r="F759" s="52" t="s">
        <v>3141</v>
      </c>
      <c r="G759" s="52" t="s">
        <v>369</v>
      </c>
      <c r="H759" s="52" t="s">
        <v>2937</v>
      </c>
      <c r="I759" s="52" t="s">
        <v>2833</v>
      </c>
      <c r="J759" s="52" t="s">
        <v>2932</v>
      </c>
      <c r="K759" s="52"/>
      <c r="L759" s="52"/>
      <c r="M759" s="52" t="s">
        <v>67</v>
      </c>
      <c r="N759" s="84">
        <v>0</v>
      </c>
      <c r="O759" s="84">
        <v>-707.04</v>
      </c>
      <c r="P759" s="52"/>
      <c r="Q759" s="52" t="s">
        <v>370</v>
      </c>
      <c r="R759" s="52" t="s">
        <v>64</v>
      </c>
      <c r="S759" s="52"/>
    </row>
    <row r="760" spans="1:19" outlineLevel="2" x14ac:dyDescent="0.45">
      <c r="A760" s="52" t="s">
        <v>17</v>
      </c>
      <c r="B760" s="52" t="s">
        <v>57</v>
      </c>
      <c r="C760" s="52" t="s">
        <v>774</v>
      </c>
      <c r="D760" s="52" t="s">
        <v>775</v>
      </c>
      <c r="E760" s="52" t="s">
        <v>387</v>
      </c>
      <c r="F760" s="52" t="s">
        <v>3226</v>
      </c>
      <c r="G760" s="52" t="s">
        <v>60</v>
      </c>
      <c r="H760" s="52" t="s">
        <v>3227</v>
      </c>
      <c r="I760" s="52" t="s">
        <v>2833</v>
      </c>
      <c r="J760" s="52" t="s">
        <v>2854</v>
      </c>
      <c r="K760" s="52" t="s">
        <v>3228</v>
      </c>
      <c r="L760" s="52" t="s">
        <v>3228</v>
      </c>
      <c r="M760" s="52" t="s">
        <v>29</v>
      </c>
      <c r="N760" s="84">
        <v>-386.78</v>
      </c>
      <c r="O760" s="84">
        <v>-386.78</v>
      </c>
      <c r="P760" s="52" t="s">
        <v>3229</v>
      </c>
      <c r="Q760" s="52" t="s">
        <v>2855</v>
      </c>
      <c r="R760" s="52" t="s">
        <v>64</v>
      </c>
      <c r="S760" s="52" t="s">
        <v>2932</v>
      </c>
    </row>
    <row r="761" spans="1:19" outlineLevel="2" x14ac:dyDescent="0.45">
      <c r="A761" s="52" t="s">
        <v>17</v>
      </c>
      <c r="B761" s="52" t="s">
        <v>57</v>
      </c>
      <c r="C761" s="52" t="s">
        <v>774</v>
      </c>
      <c r="D761" s="52" t="s">
        <v>775</v>
      </c>
      <c r="E761" s="52" t="s">
        <v>387</v>
      </c>
      <c r="F761" s="52" t="s">
        <v>3230</v>
      </c>
      <c r="G761" s="52" t="s">
        <v>60</v>
      </c>
      <c r="H761" s="52"/>
      <c r="I761" s="52" t="s">
        <v>2833</v>
      </c>
      <c r="J761" s="52" t="s">
        <v>2932</v>
      </c>
      <c r="K761" s="52"/>
      <c r="L761" s="52"/>
      <c r="M761" s="52" t="s">
        <v>29</v>
      </c>
      <c r="N761" s="84">
        <v>-4056</v>
      </c>
      <c r="O761" s="84">
        <v>-4056</v>
      </c>
      <c r="P761" s="52"/>
      <c r="Q761" s="52" t="s">
        <v>3231</v>
      </c>
      <c r="R761" s="52" t="s">
        <v>64</v>
      </c>
      <c r="S761" s="52"/>
    </row>
    <row r="762" spans="1:19" outlineLevel="2" x14ac:dyDescent="0.45">
      <c r="A762" s="52" t="s">
        <v>17</v>
      </c>
      <c r="B762" s="52" t="s">
        <v>57</v>
      </c>
      <c r="C762" s="52" t="s">
        <v>774</v>
      </c>
      <c r="D762" s="52" t="s">
        <v>775</v>
      </c>
      <c r="E762" s="52" t="s">
        <v>387</v>
      </c>
      <c r="F762" s="52" t="s">
        <v>3230</v>
      </c>
      <c r="G762" s="52" t="s">
        <v>60</v>
      </c>
      <c r="H762" s="52" t="s">
        <v>3227</v>
      </c>
      <c r="I762" s="52" t="s">
        <v>2833</v>
      </c>
      <c r="J762" s="52" t="s">
        <v>2932</v>
      </c>
      <c r="K762" s="52" t="s">
        <v>3228</v>
      </c>
      <c r="L762" s="52" t="s">
        <v>3228</v>
      </c>
      <c r="M762" s="52" t="s">
        <v>29</v>
      </c>
      <c r="N762" s="84">
        <v>-3000</v>
      </c>
      <c r="O762" s="84">
        <v>-3000</v>
      </c>
      <c r="P762" s="52" t="s">
        <v>3229</v>
      </c>
      <c r="Q762" s="52" t="s">
        <v>3231</v>
      </c>
      <c r="R762" s="52" t="s">
        <v>64</v>
      </c>
      <c r="S762" s="52" t="s">
        <v>2932</v>
      </c>
    </row>
    <row r="763" spans="1:19" outlineLevel="2" x14ac:dyDescent="0.45">
      <c r="A763" s="52" t="s">
        <v>17</v>
      </c>
      <c r="B763" s="52" t="s">
        <v>66</v>
      </c>
      <c r="C763" s="52" t="s">
        <v>1627</v>
      </c>
      <c r="D763" s="52" t="s">
        <v>1628</v>
      </c>
      <c r="E763" s="52" t="s">
        <v>387</v>
      </c>
      <c r="F763" s="52" t="s">
        <v>3232</v>
      </c>
      <c r="G763" s="52" t="s">
        <v>60</v>
      </c>
      <c r="H763" s="52" t="s">
        <v>2863</v>
      </c>
      <c r="I763" s="52" t="s">
        <v>2833</v>
      </c>
      <c r="J763" s="52" t="s">
        <v>2841</v>
      </c>
      <c r="K763" s="52" t="s">
        <v>3233</v>
      </c>
      <c r="L763" s="52" t="s">
        <v>3233</v>
      </c>
      <c r="M763" s="52" t="s">
        <v>67</v>
      </c>
      <c r="N763" s="84">
        <v>-118</v>
      </c>
      <c r="O763" s="84">
        <v>-401.44</v>
      </c>
      <c r="P763" s="52" t="s">
        <v>3234</v>
      </c>
      <c r="Q763" s="52" t="s">
        <v>3235</v>
      </c>
      <c r="R763" s="52" t="s">
        <v>64</v>
      </c>
      <c r="S763" s="52" t="s">
        <v>2561</v>
      </c>
    </row>
    <row r="764" spans="1:19" outlineLevel="2" x14ac:dyDescent="0.45">
      <c r="A764" s="52" t="s">
        <v>17</v>
      </c>
      <c r="B764" s="52" t="s">
        <v>66</v>
      </c>
      <c r="C764" s="52" t="s">
        <v>630</v>
      </c>
      <c r="D764" s="52" t="s">
        <v>631</v>
      </c>
      <c r="E764" s="52" t="s">
        <v>387</v>
      </c>
      <c r="F764" s="52" t="s">
        <v>3238</v>
      </c>
      <c r="G764" s="52" t="s">
        <v>60</v>
      </c>
      <c r="H764" s="52" t="s">
        <v>3239</v>
      </c>
      <c r="I764" s="52" t="s">
        <v>2833</v>
      </c>
      <c r="J764" s="52" t="s">
        <v>2885</v>
      </c>
      <c r="K764" s="52" t="s">
        <v>3240</v>
      </c>
      <c r="L764" s="52" t="s">
        <v>3240</v>
      </c>
      <c r="M764" s="52" t="s">
        <v>67</v>
      </c>
      <c r="N764" s="84">
        <v>-8695.65</v>
      </c>
      <c r="O764" s="84">
        <v>-29426.080000000002</v>
      </c>
      <c r="P764" s="52" t="s">
        <v>3241</v>
      </c>
      <c r="Q764" s="52" t="s">
        <v>3242</v>
      </c>
      <c r="R764" s="52" t="s">
        <v>64</v>
      </c>
      <c r="S764" s="52" t="s">
        <v>3243</v>
      </c>
    </row>
    <row r="765" spans="1:19" outlineLevel="2" x14ac:dyDescent="0.45">
      <c r="A765" s="52" t="s">
        <v>17</v>
      </c>
      <c r="B765" s="52" t="s">
        <v>66</v>
      </c>
      <c r="C765" s="52" t="s">
        <v>349</v>
      </c>
      <c r="D765" s="52" t="s">
        <v>350</v>
      </c>
      <c r="E765" s="52" t="s">
        <v>387</v>
      </c>
      <c r="F765" s="52" t="s">
        <v>3244</v>
      </c>
      <c r="G765" s="52" t="s">
        <v>60</v>
      </c>
      <c r="H765" s="52" t="s">
        <v>727</v>
      </c>
      <c r="I765" s="52" t="s">
        <v>2833</v>
      </c>
      <c r="J765" s="52" t="s">
        <v>2885</v>
      </c>
      <c r="K765" s="52" t="s">
        <v>3245</v>
      </c>
      <c r="L765" s="52" t="s">
        <v>3245</v>
      </c>
      <c r="M765" s="52" t="s">
        <v>67</v>
      </c>
      <c r="N765" s="84">
        <v>-1.53</v>
      </c>
      <c r="O765" s="84">
        <v>-5.18</v>
      </c>
      <c r="P765" s="52" t="s">
        <v>3246</v>
      </c>
      <c r="Q765" s="52" t="s">
        <v>3144</v>
      </c>
      <c r="R765" s="52" t="s">
        <v>64</v>
      </c>
      <c r="S765" s="52" t="s">
        <v>2885</v>
      </c>
    </row>
    <row r="766" spans="1:19" outlineLevel="2" x14ac:dyDescent="0.45">
      <c r="A766" s="52" t="s">
        <v>17</v>
      </c>
      <c r="B766" s="52" t="s">
        <v>66</v>
      </c>
      <c r="C766" s="52" t="s">
        <v>349</v>
      </c>
      <c r="D766" s="52" t="s">
        <v>350</v>
      </c>
      <c r="E766" s="52" t="s">
        <v>387</v>
      </c>
      <c r="F766" s="52" t="s">
        <v>3247</v>
      </c>
      <c r="G766" s="52" t="s">
        <v>60</v>
      </c>
      <c r="H766" s="52" t="s">
        <v>2643</v>
      </c>
      <c r="I766" s="52" t="s">
        <v>2833</v>
      </c>
      <c r="J766" s="52" t="s">
        <v>2841</v>
      </c>
      <c r="K766" s="52" t="s">
        <v>3248</v>
      </c>
      <c r="L766" s="52" t="s">
        <v>3248</v>
      </c>
      <c r="M766" s="52" t="s">
        <v>67</v>
      </c>
      <c r="N766" s="84">
        <v>-1.53</v>
      </c>
      <c r="O766" s="84">
        <v>-5.21</v>
      </c>
      <c r="P766" s="52" t="s">
        <v>3249</v>
      </c>
      <c r="Q766" s="52" t="s">
        <v>3137</v>
      </c>
      <c r="R766" s="52" t="s">
        <v>64</v>
      </c>
      <c r="S766" s="52" t="s">
        <v>2841</v>
      </c>
    </row>
    <row r="767" spans="1:19" outlineLevel="2" x14ac:dyDescent="0.45">
      <c r="A767" s="52" t="s">
        <v>17</v>
      </c>
      <c r="B767" s="52" t="s">
        <v>66</v>
      </c>
      <c r="C767" s="52"/>
      <c r="D767" s="52" t="s">
        <v>1276</v>
      </c>
      <c r="E767" s="52" t="s">
        <v>387</v>
      </c>
      <c r="F767" s="52" t="s">
        <v>3250</v>
      </c>
      <c r="G767" s="52" t="s">
        <v>60</v>
      </c>
      <c r="H767" s="52"/>
      <c r="I767" s="52" t="s">
        <v>2833</v>
      </c>
      <c r="J767" s="52" t="s">
        <v>2841</v>
      </c>
      <c r="K767" s="52"/>
      <c r="L767" s="52"/>
      <c r="M767" s="52" t="s">
        <v>67</v>
      </c>
      <c r="N767" s="84">
        <v>-529.19000000000005</v>
      </c>
      <c r="O767" s="84">
        <v>-1800.3</v>
      </c>
      <c r="P767" s="52"/>
      <c r="Q767" s="52" t="s">
        <v>3251</v>
      </c>
      <c r="R767" s="52" t="s">
        <v>64</v>
      </c>
      <c r="S767" s="52"/>
    </row>
    <row r="768" spans="1:19" hidden="1" outlineLevel="2" x14ac:dyDescent="0.45">
      <c r="A768" s="52" t="s">
        <v>17</v>
      </c>
      <c r="B768" s="52" t="s">
        <v>66</v>
      </c>
      <c r="C768" s="52" t="s">
        <v>376</v>
      </c>
      <c r="D768" s="52" t="s">
        <v>377</v>
      </c>
      <c r="E768" s="52" t="s">
        <v>387</v>
      </c>
      <c r="F768" s="52" t="s">
        <v>3252</v>
      </c>
      <c r="G768" s="52" t="s">
        <v>60</v>
      </c>
      <c r="H768" s="52" t="s">
        <v>3253</v>
      </c>
      <c r="I768" s="52" t="s">
        <v>2833</v>
      </c>
      <c r="J768" s="52" t="s">
        <v>2841</v>
      </c>
      <c r="K768" s="52" t="s">
        <v>3254</v>
      </c>
      <c r="L768" s="52" t="s">
        <v>3254</v>
      </c>
      <c r="M768" s="52" t="s">
        <v>67</v>
      </c>
      <c r="N768" s="84">
        <v>-2360</v>
      </c>
      <c r="O768" s="84">
        <v>-8028.72</v>
      </c>
      <c r="P768" s="52" t="s">
        <v>3255</v>
      </c>
      <c r="Q768" s="52" t="s">
        <v>3256</v>
      </c>
      <c r="R768" s="52" t="s">
        <v>64</v>
      </c>
      <c r="S768" s="52" t="s">
        <v>2841</v>
      </c>
    </row>
    <row r="769" spans="1:19" outlineLevel="2" x14ac:dyDescent="0.45">
      <c r="A769" s="52" t="s">
        <v>17</v>
      </c>
      <c r="B769" s="52" t="s">
        <v>66</v>
      </c>
      <c r="C769" s="52" t="s">
        <v>349</v>
      </c>
      <c r="D769" s="52" t="s">
        <v>350</v>
      </c>
      <c r="E769" s="52" t="s">
        <v>387</v>
      </c>
      <c r="F769" s="52" t="s">
        <v>3257</v>
      </c>
      <c r="G769" s="52" t="s">
        <v>60</v>
      </c>
      <c r="H769" s="52" t="s">
        <v>2643</v>
      </c>
      <c r="I769" s="52" t="s">
        <v>2833</v>
      </c>
      <c r="J769" s="52" t="s">
        <v>2841</v>
      </c>
      <c r="K769" s="52" t="s">
        <v>3248</v>
      </c>
      <c r="L769" s="52" t="s">
        <v>3248</v>
      </c>
      <c r="M769" s="52" t="s">
        <v>67</v>
      </c>
      <c r="N769" s="84">
        <v>-1.53</v>
      </c>
      <c r="O769" s="84">
        <v>-5.21</v>
      </c>
      <c r="P769" s="52" t="s">
        <v>3249</v>
      </c>
      <c r="Q769" s="52" t="s">
        <v>3137</v>
      </c>
      <c r="R769" s="52" t="s">
        <v>64</v>
      </c>
      <c r="S769" s="52" t="s">
        <v>2841</v>
      </c>
    </row>
    <row r="770" spans="1:19" outlineLevel="2" x14ac:dyDescent="0.45">
      <c r="A770" s="52" t="s">
        <v>17</v>
      </c>
      <c r="B770" s="52" t="s">
        <v>66</v>
      </c>
      <c r="C770" s="52" t="s">
        <v>349</v>
      </c>
      <c r="D770" s="52" t="s">
        <v>350</v>
      </c>
      <c r="E770" s="52" t="s">
        <v>387</v>
      </c>
      <c r="F770" s="52" t="s">
        <v>3258</v>
      </c>
      <c r="G770" s="52" t="s">
        <v>60</v>
      </c>
      <c r="H770" s="52" t="s">
        <v>3259</v>
      </c>
      <c r="I770" s="52" t="s">
        <v>2833</v>
      </c>
      <c r="J770" s="52" t="s">
        <v>2932</v>
      </c>
      <c r="K770" s="52" t="s">
        <v>3260</v>
      </c>
      <c r="L770" s="52" t="s">
        <v>3260</v>
      </c>
      <c r="M770" s="52" t="s">
        <v>67</v>
      </c>
      <c r="N770" s="84">
        <v>-1.3</v>
      </c>
      <c r="O770" s="84">
        <v>-4.4400000000000004</v>
      </c>
      <c r="P770" s="52" t="s">
        <v>3261</v>
      </c>
      <c r="Q770" s="52" t="s">
        <v>3262</v>
      </c>
      <c r="R770" s="52" t="s">
        <v>64</v>
      </c>
      <c r="S770" s="52" t="s">
        <v>2932</v>
      </c>
    </row>
    <row r="771" spans="1:19" outlineLevel="2" x14ac:dyDescent="0.45">
      <c r="A771" s="52" t="s">
        <v>17</v>
      </c>
      <c r="B771" s="52" t="s">
        <v>66</v>
      </c>
      <c r="C771" s="52" t="s">
        <v>349</v>
      </c>
      <c r="D771" s="52" t="s">
        <v>350</v>
      </c>
      <c r="E771" s="52" t="s">
        <v>387</v>
      </c>
      <c r="F771" s="52" t="s">
        <v>3258</v>
      </c>
      <c r="G771" s="52" t="s">
        <v>60</v>
      </c>
      <c r="H771" s="52" t="s">
        <v>3259</v>
      </c>
      <c r="I771" s="52" t="s">
        <v>2833</v>
      </c>
      <c r="J771" s="52" t="s">
        <v>2932</v>
      </c>
      <c r="K771" s="52" t="s">
        <v>3260</v>
      </c>
      <c r="L771" s="52" t="s">
        <v>3260</v>
      </c>
      <c r="M771" s="52" t="s">
        <v>67</v>
      </c>
      <c r="N771" s="84">
        <v>-14</v>
      </c>
      <c r="O771" s="84">
        <v>-47.81</v>
      </c>
      <c r="P771" s="52" t="s">
        <v>3261</v>
      </c>
      <c r="Q771" s="52" t="s">
        <v>3262</v>
      </c>
      <c r="R771" s="52" t="s">
        <v>64</v>
      </c>
      <c r="S771" s="52" t="s">
        <v>2932</v>
      </c>
    </row>
    <row r="772" spans="1:19" outlineLevel="2" x14ac:dyDescent="0.45">
      <c r="A772" s="52" t="s">
        <v>17</v>
      </c>
      <c r="B772" s="52" t="s">
        <v>66</v>
      </c>
      <c r="C772" s="52" t="s">
        <v>349</v>
      </c>
      <c r="D772" s="52" t="s">
        <v>350</v>
      </c>
      <c r="E772" s="52" t="s">
        <v>387</v>
      </c>
      <c r="F772" s="52" t="s">
        <v>3263</v>
      </c>
      <c r="G772" s="52" t="s">
        <v>60</v>
      </c>
      <c r="H772" s="52" t="s">
        <v>3264</v>
      </c>
      <c r="I772" s="52" t="s">
        <v>2833</v>
      </c>
      <c r="J772" s="52" t="s">
        <v>2854</v>
      </c>
      <c r="K772" s="52" t="s">
        <v>3265</v>
      </c>
      <c r="L772" s="52" t="s">
        <v>3265</v>
      </c>
      <c r="M772" s="52" t="s">
        <v>67</v>
      </c>
      <c r="N772" s="84">
        <v>-3.6</v>
      </c>
      <c r="O772" s="84">
        <v>-12.33</v>
      </c>
      <c r="P772" s="52" t="s">
        <v>3266</v>
      </c>
      <c r="Q772" s="52" t="s">
        <v>3267</v>
      </c>
      <c r="R772" s="52" t="s">
        <v>64</v>
      </c>
      <c r="S772" s="52" t="s">
        <v>2932</v>
      </c>
    </row>
    <row r="773" spans="1:19" hidden="1" outlineLevel="2" x14ac:dyDescent="0.45">
      <c r="A773" s="52" t="s">
        <v>17</v>
      </c>
      <c r="B773" s="52" t="s">
        <v>66</v>
      </c>
      <c r="C773" s="52" t="s">
        <v>376</v>
      </c>
      <c r="D773" s="52" t="s">
        <v>377</v>
      </c>
      <c r="E773" s="52" t="s">
        <v>387</v>
      </c>
      <c r="F773" s="52" t="s">
        <v>3268</v>
      </c>
      <c r="G773" s="52" t="s">
        <v>60</v>
      </c>
      <c r="H773" s="52" t="s">
        <v>3269</v>
      </c>
      <c r="I773" s="52" t="s">
        <v>2833</v>
      </c>
      <c r="J773" s="52" t="s">
        <v>2854</v>
      </c>
      <c r="K773" s="52" t="s">
        <v>3270</v>
      </c>
      <c r="L773" s="52" t="s">
        <v>3270</v>
      </c>
      <c r="M773" s="52" t="s">
        <v>67</v>
      </c>
      <c r="N773" s="84">
        <v>-2360</v>
      </c>
      <c r="O773" s="84">
        <v>-8083</v>
      </c>
      <c r="P773" s="52" t="s">
        <v>3271</v>
      </c>
      <c r="Q773" s="52" t="s">
        <v>3272</v>
      </c>
      <c r="R773" s="52" t="s">
        <v>64</v>
      </c>
      <c r="S773" s="52" t="s">
        <v>2854</v>
      </c>
    </row>
    <row r="774" spans="1:19" hidden="1" outlineLevel="2" x14ac:dyDescent="0.45">
      <c r="A774" s="52" t="s">
        <v>17</v>
      </c>
      <c r="B774" s="52" t="s">
        <v>66</v>
      </c>
      <c r="C774" s="52"/>
      <c r="D774" s="52" t="s">
        <v>610</v>
      </c>
      <c r="E774" s="52" t="s">
        <v>387</v>
      </c>
      <c r="F774" s="52" t="s">
        <v>3273</v>
      </c>
      <c r="G774" s="52" t="s">
        <v>60</v>
      </c>
      <c r="H774" s="52" t="s">
        <v>3274</v>
      </c>
      <c r="I774" s="52" t="s">
        <v>2833</v>
      </c>
      <c r="J774" s="52" t="s">
        <v>2854</v>
      </c>
      <c r="K774" s="52" t="s">
        <v>3275</v>
      </c>
      <c r="L774" s="52" t="s">
        <v>3275</v>
      </c>
      <c r="M774" s="52" t="s">
        <v>67</v>
      </c>
      <c r="N774" s="84">
        <v>-60000</v>
      </c>
      <c r="O774" s="84">
        <v>-205500</v>
      </c>
      <c r="P774" s="52" t="s">
        <v>3276</v>
      </c>
      <c r="Q774" s="52" t="s">
        <v>3277</v>
      </c>
      <c r="R774" s="52" t="s">
        <v>64</v>
      </c>
      <c r="S774" s="52" t="s">
        <v>2854</v>
      </c>
    </row>
    <row r="775" spans="1:19" outlineLevel="2" x14ac:dyDescent="0.45">
      <c r="A775" s="52" t="s">
        <v>17</v>
      </c>
      <c r="B775" s="52" t="s">
        <v>66</v>
      </c>
      <c r="C775" s="52" t="s">
        <v>349</v>
      </c>
      <c r="D775" s="52" t="s">
        <v>350</v>
      </c>
      <c r="E775" s="52" t="s">
        <v>387</v>
      </c>
      <c r="F775" s="52" t="s">
        <v>3278</v>
      </c>
      <c r="G775" s="52" t="s">
        <v>60</v>
      </c>
      <c r="H775" s="52" t="s">
        <v>2798</v>
      </c>
      <c r="I775" s="52" t="s">
        <v>2833</v>
      </c>
      <c r="J775" s="52" t="s">
        <v>2854</v>
      </c>
      <c r="K775" s="52" t="s">
        <v>3279</v>
      </c>
      <c r="L775" s="52" t="s">
        <v>3279</v>
      </c>
      <c r="M775" s="52" t="s">
        <v>67</v>
      </c>
      <c r="N775" s="84">
        <v>-1.53</v>
      </c>
      <c r="O775" s="84">
        <v>-5.24</v>
      </c>
      <c r="P775" s="52" t="s">
        <v>3280</v>
      </c>
      <c r="Q775" s="52" t="s">
        <v>3281</v>
      </c>
      <c r="R775" s="52" t="s">
        <v>64</v>
      </c>
      <c r="S775" s="52" t="s">
        <v>2854</v>
      </c>
    </row>
    <row r="776" spans="1:19" outlineLevel="2" x14ac:dyDescent="0.45">
      <c r="A776" s="52" t="s">
        <v>17</v>
      </c>
      <c r="B776" s="52" t="s">
        <v>66</v>
      </c>
      <c r="C776" s="52" t="s">
        <v>349</v>
      </c>
      <c r="D776" s="52" t="s">
        <v>350</v>
      </c>
      <c r="E776" s="52" t="s">
        <v>387</v>
      </c>
      <c r="F776" s="52" t="s">
        <v>3282</v>
      </c>
      <c r="G776" s="52" t="s">
        <v>60</v>
      </c>
      <c r="H776" s="52" t="s">
        <v>807</v>
      </c>
      <c r="I776" s="52" t="s">
        <v>2833</v>
      </c>
      <c r="J776" s="52" t="s">
        <v>2854</v>
      </c>
      <c r="K776" s="52" t="s">
        <v>3283</v>
      </c>
      <c r="L776" s="52" t="s">
        <v>3283</v>
      </c>
      <c r="M776" s="52" t="s">
        <v>67</v>
      </c>
      <c r="N776" s="84">
        <v>-86</v>
      </c>
      <c r="O776" s="84">
        <v>-294.55</v>
      </c>
      <c r="P776" s="52" t="s">
        <v>3284</v>
      </c>
      <c r="Q776" s="52" t="s">
        <v>3285</v>
      </c>
      <c r="R776" s="52" t="s">
        <v>64</v>
      </c>
      <c r="S776" s="52" t="s">
        <v>2854</v>
      </c>
    </row>
    <row r="778" spans="1:19" x14ac:dyDescent="0.45">
      <c r="O778" s="68">
        <f>SUM(O2:O776)</f>
        <v>-5406179.8299999926</v>
      </c>
    </row>
    <row r="780" spans="1:19" x14ac:dyDescent="0.45">
      <c r="O780" s="106" t="s">
        <v>3392</v>
      </c>
      <c r="P780" s="2" t="s">
        <v>3395</v>
      </c>
      <c r="Q780" s="2" t="s">
        <v>3396</v>
      </c>
    </row>
    <row r="781" spans="1:19" x14ac:dyDescent="0.45">
      <c r="N781" s="68" t="s">
        <v>3386</v>
      </c>
      <c r="O781" s="68">
        <v>2818347.39</v>
      </c>
      <c r="P781" s="68">
        <f>+'Detalle S10_Junio 2026 (3)'!O29</f>
        <v>886628</v>
      </c>
      <c r="Q781" s="68">
        <f>+P781-O781</f>
        <v>-1931719.3900000001</v>
      </c>
    </row>
    <row r="782" spans="1:19" x14ac:dyDescent="0.45">
      <c r="N782" s="68" t="s">
        <v>3387</v>
      </c>
      <c r="O782" s="68">
        <v>28000</v>
      </c>
      <c r="Q782" s="68">
        <f t="shared" ref="Q782:Q787" si="0">+P782-O782</f>
        <v>-28000</v>
      </c>
    </row>
    <row r="783" spans="1:19" x14ac:dyDescent="0.45">
      <c r="N783" s="68" t="s">
        <v>3388</v>
      </c>
      <c r="O783" s="68">
        <v>566408</v>
      </c>
      <c r="Q783" s="68">
        <f t="shared" si="0"/>
        <v>-566408</v>
      </c>
    </row>
    <row r="784" spans="1:19" x14ac:dyDescent="0.45">
      <c r="N784" s="68" t="s">
        <v>3389</v>
      </c>
      <c r="O784" s="68">
        <v>8911</v>
      </c>
      <c r="Q784" s="68">
        <f t="shared" si="0"/>
        <v>-8911</v>
      </c>
    </row>
    <row r="785" spans="14:17" x14ac:dyDescent="0.45">
      <c r="N785" s="68" t="s">
        <v>3394</v>
      </c>
      <c r="P785" s="68">
        <f>+'Detalle S10_Junio 2026 (3)'!O30</f>
        <v>289100</v>
      </c>
      <c r="Q785" s="68">
        <f t="shared" si="0"/>
        <v>289100</v>
      </c>
    </row>
    <row r="786" spans="14:17" x14ac:dyDescent="0.45">
      <c r="N786" s="68" t="s">
        <v>3390</v>
      </c>
      <c r="O786" s="68">
        <v>215936</v>
      </c>
      <c r="P786" s="68">
        <f>+'Detalle S10_Junio 2026 (3)'!O27</f>
        <v>955402</v>
      </c>
      <c r="Q786" s="68">
        <f t="shared" si="0"/>
        <v>739466</v>
      </c>
    </row>
    <row r="787" spans="14:17" x14ac:dyDescent="0.45">
      <c r="N787" s="68" t="s">
        <v>3393</v>
      </c>
      <c r="O787" s="105">
        <v>1768576</v>
      </c>
      <c r="P787" s="105">
        <f>+'Detalle S10_Junio 2026 (3)'!O28</f>
        <v>-55630</v>
      </c>
      <c r="Q787" s="105">
        <f t="shared" si="0"/>
        <v>-1824206</v>
      </c>
    </row>
    <row r="788" spans="14:17" x14ac:dyDescent="0.45">
      <c r="O788" s="68">
        <f>SUBTOTAL(9,O781:O787)</f>
        <v>5406178.3900000006</v>
      </c>
      <c r="P788" s="68">
        <f>SUBTOTAL(9,P781:P787)</f>
        <v>2075500</v>
      </c>
      <c r="Q788" s="68">
        <f>SUBTOTAL(9,Q781:Q787)</f>
        <v>-3330678.39</v>
      </c>
    </row>
    <row r="789" spans="14:17" x14ac:dyDescent="0.45">
      <c r="P789" s="68">
        <f>+O788-P788</f>
        <v>3330678.3900000006</v>
      </c>
    </row>
  </sheetData>
  <autoFilter ref="A1:BH776" xr:uid="{30771283-A93B-4CEB-86DF-729357411057}">
    <filterColumn colId="3">
      <filters blank="1">
        <filter val="AFP HABITAT S.A"/>
        <filter val="AFP INTEGRA S A"/>
        <filter val="AGENCIA DE ADUANA MACROMAR S.A."/>
        <filter val="AGUILAR MONTENEGRO, MILCA JAEL MARCELA"/>
        <filter val="ALESSIA BOOKS S.A.C."/>
        <filter val="AMERICA MOVIL PERU S.A.C"/>
        <filter val="ARTE QOLLANA E I R L"/>
        <filter val="AYALA SANCHEZ, GEOVANNI"/>
        <filter val="BALAREZO ELIAS DE TIRADO, ANA GABRIELA"/>
        <filter val="BANCO CONTINENTAL"/>
        <filter val="BANCO DE CREDITO DEL PERU"/>
        <filter val="BASTIDAS VALDIVIA, JIMY MARLON"/>
        <filter val="CABRERA DIAZ, LILIANA CAROLA"/>
        <filter val="CAMARA DE COMERCIO DE LIMA"/>
        <filter val="CCORISAPRA MUÑOZ, ALEXNIEL"/>
        <filter val="CHE SERGIOï¿½S ACOSTA SOCIEDAD ANONIMA CERRADA"/>
        <filter val="CONEXIG, LLC"/>
        <filter val="CUYUBAMBA SOTO, ARAMIS GABRIEL"/>
        <filter val="DCC CONSULTORES S.A.C."/>
        <filter val="DIAZ GALVEZ Y ASOCIADOS CONTADORES PUBLICOS SOCIEDAD CIVIL"/>
        <filter val="EDIFICIO EMPRESARIAL OMEGA"/>
        <filter val="EL ALAMBIQUE DE AZPITIA S.A.C."/>
        <filter val="FOTO PLUS S.R.L."/>
        <filter val="GALERIA GOURMAND S.R.L."/>
        <filter val="GALVEZ &amp; DOLORIER ABOGADOS S. CIVIL.R.L"/>
        <filter val="GOMERO ROJAS, GUILLERMO ALBERTO"/>
        <filter val="GRUPO ODESA S.A.C."/>
        <filter val="GRUPO RECRE8 S.A.C."/>
        <filter val="HERNANDEZ &amp; CIA. ABOGADOS SOCIEDAD CIVIL DE RESPONSABILIDAD LIMITADA"/>
        <filter val="IMAX INT'L S.A.C."/>
        <filter val="INDACOCHEA CACEDA, FELIX ALEJANDRO"/>
        <filter val="INVERSIONES &amp; DISTRIBUIDORES L &amp; H PERU S.A.C."/>
        <filter val="JONES PATRONI, GUILLERMO AUGUSTO"/>
        <filter val="L &amp; H CONSTRUCTORES Y CONTRATISTAS GENERALES S.R.L."/>
        <filter val="LA VIDA DULCE D AMANCIO SOCIEDAD ANONIMA CERRADA"/>
        <filter val="LUZ DEL SUR S.A.A."/>
        <filter val="MACANUDO PERU S.A.C."/>
        <filter val="MAPFRE PERU COMPAÑIA DE SEGUROS Y REASEGUROS"/>
        <filter val="MAPFRE PERU S.A. ENTIDAD PRESTADORA DE SALUD"/>
        <filter val="MARTORELLET LUMBRERAS, CAROLA"/>
        <filter val="MEMORY KINGS S.A.C."/>
        <filter val="MKT OLFATIVO SOCIEDAD ANONIMA CERRADA"/>
        <filter val="MONTALVO SALAZAR, MARIA GABRIELA"/>
        <filter val="MONTOYA ALVAREZ, RAFAEL YVANOFF"/>
        <filter val="MUNICIPALIDAD SANTIAGO DE SURCO"/>
        <filter val="NAUPAY VELASQUEZ CRISANTO"/>
        <filter val="NEXUS CARGO S.A.C."/>
        <filter val="NOVATECH J &amp; M SERVICIOS GENERALES S.R.L."/>
        <filter val="ON EMPRESAS S.A.C."/>
        <filter val="PACIFICO COMPAÑIA DE SEGUROS Y REASEGUROS"/>
        <filter val="PACIFICO SA ENT PRESTADORA DE SALUD"/>
        <filter val="PANAMERICANA TELEVISION S A"/>
        <filter val="PANORAMICA TECHNOLOGY S.A.C."/>
        <filter val="PERU BELMOND HOTELS S.A."/>
        <filter val="PRIMA AFP S.A."/>
        <filter val="PRODUCTOS Y SERVICIOS SILVA QUEVEDO E.I.R.L."/>
        <filter val="PROFUTURO AFP S.A."/>
        <filter val="QUINO DUEÑAS, KIMBERLY JHOANA"/>
        <filter val="ROSALES PUENTE, YANIRA ANAIS"/>
        <filter val="SCOTIABANK PERU S.A.A."/>
        <filter val="SERVICIOS GENERALES DE CONSTRUCCION C &amp; C S.A.C."/>
        <filter val="SILVA AEDO, CHRISTIAN ALEXIS"/>
        <filter val="SISTEMA 10 S.A.C."/>
        <filter val="SUPERINTENDENCIA NACIONAL DE ADUANAS Y DE ADMINISTRACION TRIBUTARIA - SUNAT"/>
        <filter val="TALLEDO GILVONIO MANUEL OMAR"/>
        <filter val="T-COPIA PUBLICITY E.I.R.L."/>
        <filter val="VARGAS GUEVARA, ELIZABETH"/>
        <filter val="VEGA GONZALEZ, GUILLERMO MARTIN"/>
        <filter val="VELASQUEZ URREGO, JUAN CARLOS"/>
        <filter val="VERA OCAS, ALEXANDRA MARIBEL"/>
        <filter val="VILLEGAS TINEO, DANIEL"/>
        <filter val="VILLEGAS TINEO, NICOLASA"/>
        <filter val="VINATEA Y TOYAMA ABOG.SOC.CIVIL DE R.L."/>
        <filter val="VPX CLUB 108 S.A.C."/>
      </filters>
    </filterColumn>
  </autoFilter>
  <pageMargins left="0.7" right="0.7" top="0.75" bottom="0.75" header="0.3" footer="0.3"/>
  <pageSetup orientation="portrait" horizontalDpi="0" verticalDpi="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065E7-0782-4279-9ED0-360DB9F3809E}">
  <dimension ref="A1:S31"/>
  <sheetViews>
    <sheetView workbookViewId="0">
      <pane ySplit="1" topLeftCell="A13" activePane="bottomLeft" state="frozen"/>
      <selection activeCell="A2" sqref="A2"/>
      <selection pane="bottomLeft" activeCell="M27" sqref="M27"/>
    </sheetView>
  </sheetViews>
  <sheetFormatPr baseColWidth="10" defaultColWidth="8.86328125" defaultRowHeight="14.25" outlineLevelRow="2" x14ac:dyDescent="0.45"/>
  <cols>
    <col min="1" max="1" width="9.6640625" customWidth="1"/>
    <col min="2" max="2" width="11.6640625" customWidth="1"/>
    <col min="3" max="3" width="14.1328125" customWidth="1"/>
    <col min="4" max="4" width="22" customWidth="1"/>
    <col min="5" max="5" width="17" hidden="1" customWidth="1"/>
    <col min="6" max="6" width="11.46484375" hidden="1" customWidth="1"/>
    <col min="7" max="8" width="9.796875" hidden="1" customWidth="1"/>
    <col min="9" max="9" width="17.19921875" hidden="1" customWidth="1"/>
    <col min="10" max="10" width="10" customWidth="1"/>
    <col min="11" max="11" width="14" customWidth="1"/>
    <col min="12" max="12" width="18.1328125" hidden="1" customWidth="1"/>
    <col min="13" max="13" width="3.6640625" customWidth="1"/>
    <col min="14" max="14" width="12.33203125" style="68" customWidth="1"/>
    <col min="15" max="15" width="13.53125" style="68" customWidth="1"/>
    <col min="16" max="16" width="20.53125" customWidth="1"/>
    <col min="17" max="17" width="29.796875" customWidth="1"/>
    <col min="18" max="18" width="8" style="4" customWidth="1"/>
    <col min="19" max="19" width="13.1328125" customWidth="1"/>
  </cols>
  <sheetData>
    <row r="1" spans="1:19" x14ac:dyDescent="0.45">
      <c r="A1" s="44" t="s">
        <v>37</v>
      </c>
      <c r="B1" s="45" t="s">
        <v>38</v>
      </c>
      <c r="C1" s="46" t="s">
        <v>39</v>
      </c>
      <c r="D1" s="46" t="s">
        <v>40</v>
      </c>
      <c r="E1" s="46" t="s">
        <v>41</v>
      </c>
      <c r="F1" s="47" t="s">
        <v>42</v>
      </c>
      <c r="G1" s="47" t="s">
        <v>43</v>
      </c>
      <c r="H1" s="46" t="s">
        <v>44</v>
      </c>
      <c r="I1" s="47" t="s">
        <v>45</v>
      </c>
      <c r="J1" s="46" t="s">
        <v>46</v>
      </c>
      <c r="K1" s="47" t="s">
        <v>47</v>
      </c>
      <c r="L1" s="47" t="s">
        <v>48</v>
      </c>
      <c r="M1" s="45" t="s">
        <v>49</v>
      </c>
      <c r="N1" s="48" t="s">
        <v>50</v>
      </c>
      <c r="O1" s="48" t="s">
        <v>51</v>
      </c>
      <c r="P1" s="47" t="s">
        <v>52</v>
      </c>
      <c r="Q1" s="47" t="s">
        <v>53</v>
      </c>
      <c r="R1" s="49" t="s">
        <v>54</v>
      </c>
      <c r="S1" s="46" t="s">
        <v>55</v>
      </c>
    </row>
    <row r="2" spans="1:19" outlineLevel="2" x14ac:dyDescent="0.45">
      <c r="A2" t="s">
        <v>15</v>
      </c>
      <c r="B2" s="52" t="s">
        <v>66</v>
      </c>
      <c r="C2" s="52"/>
      <c r="D2" s="52" t="s">
        <v>338</v>
      </c>
      <c r="E2" s="52" t="s">
        <v>71</v>
      </c>
      <c r="F2" s="52" t="s">
        <v>339</v>
      </c>
      <c r="G2" s="52" t="s">
        <v>73</v>
      </c>
      <c r="H2" s="54">
        <v>46023</v>
      </c>
      <c r="I2" s="52" t="s">
        <v>74</v>
      </c>
      <c r="J2" s="52" t="s">
        <v>340</v>
      </c>
      <c r="K2" s="52" t="s">
        <v>341</v>
      </c>
      <c r="L2" s="52" t="s">
        <v>341</v>
      </c>
      <c r="M2" s="52" t="s">
        <v>67</v>
      </c>
      <c r="N2" s="53">
        <v>45000</v>
      </c>
      <c r="O2" s="53">
        <v>151155</v>
      </c>
      <c r="P2" s="52" t="s">
        <v>342</v>
      </c>
      <c r="Q2" s="52" t="s">
        <v>118</v>
      </c>
      <c r="R2" s="52" t="s">
        <v>64</v>
      </c>
      <c r="S2" s="52" t="s">
        <v>340</v>
      </c>
    </row>
    <row r="3" spans="1:19" outlineLevel="2" x14ac:dyDescent="0.45">
      <c r="A3" t="s">
        <v>15</v>
      </c>
      <c r="B3" s="52" t="s">
        <v>66</v>
      </c>
      <c r="C3" s="52"/>
      <c r="D3" s="52" t="s">
        <v>338</v>
      </c>
      <c r="E3" s="52" t="s">
        <v>71</v>
      </c>
      <c r="F3" s="52" t="s">
        <v>343</v>
      </c>
      <c r="G3" s="52" t="s">
        <v>73</v>
      </c>
      <c r="H3" s="54">
        <v>46023</v>
      </c>
      <c r="I3" s="52" t="s">
        <v>74</v>
      </c>
      <c r="J3" s="52" t="s">
        <v>340</v>
      </c>
      <c r="K3" s="52" t="s">
        <v>344</v>
      </c>
      <c r="L3" s="52" t="s">
        <v>344</v>
      </c>
      <c r="M3" s="52" t="s">
        <v>67</v>
      </c>
      <c r="N3" s="53">
        <v>45000</v>
      </c>
      <c r="O3" s="53">
        <v>151155</v>
      </c>
      <c r="P3" s="52" t="s">
        <v>342</v>
      </c>
      <c r="Q3" s="52" t="s">
        <v>118</v>
      </c>
      <c r="R3" s="52" t="s">
        <v>64</v>
      </c>
      <c r="S3" s="52" t="s">
        <v>340</v>
      </c>
    </row>
    <row r="4" spans="1:19" outlineLevel="2" x14ac:dyDescent="0.45">
      <c r="A4" t="s">
        <v>15</v>
      </c>
      <c r="B4" s="52" t="s">
        <v>57</v>
      </c>
      <c r="C4" s="52"/>
      <c r="D4" s="52" t="s">
        <v>338</v>
      </c>
      <c r="E4" s="52" t="s">
        <v>71</v>
      </c>
      <c r="F4" s="52" t="s">
        <v>345</v>
      </c>
      <c r="G4" s="52" t="s">
        <v>73</v>
      </c>
      <c r="H4" s="54">
        <v>46023</v>
      </c>
      <c r="I4" s="52" t="s">
        <v>74</v>
      </c>
      <c r="J4" s="52" t="s">
        <v>99</v>
      </c>
      <c r="K4" s="52" t="s">
        <v>346</v>
      </c>
      <c r="L4" s="52" t="s">
        <v>346</v>
      </c>
      <c r="M4" s="52" t="s">
        <v>29</v>
      </c>
      <c r="N4" s="53">
        <v>105000</v>
      </c>
      <c r="O4" s="53">
        <v>105000</v>
      </c>
      <c r="P4" s="52" t="s">
        <v>347</v>
      </c>
      <c r="Q4" s="52" t="s">
        <v>348</v>
      </c>
      <c r="R4" s="52" t="s">
        <v>64</v>
      </c>
      <c r="S4" s="52" t="s">
        <v>99</v>
      </c>
    </row>
    <row r="5" spans="1:19" outlineLevel="2" x14ac:dyDescent="0.45">
      <c r="A5" t="s">
        <v>15</v>
      </c>
      <c r="B5" s="52" t="s">
        <v>66</v>
      </c>
      <c r="C5" s="52"/>
      <c r="D5" s="52" t="s">
        <v>338</v>
      </c>
      <c r="E5" s="52" t="s">
        <v>71</v>
      </c>
      <c r="F5" s="52" t="s">
        <v>356</v>
      </c>
      <c r="G5" s="52" t="s">
        <v>73</v>
      </c>
      <c r="H5" s="54">
        <v>46054</v>
      </c>
      <c r="I5" s="52" t="s">
        <v>231</v>
      </c>
      <c r="J5" s="52" t="s">
        <v>357</v>
      </c>
      <c r="K5" s="52" t="s">
        <v>358</v>
      </c>
      <c r="L5" s="52" t="s">
        <v>358</v>
      </c>
      <c r="M5" s="52" t="s">
        <v>67</v>
      </c>
      <c r="N5" s="53">
        <v>11850</v>
      </c>
      <c r="O5" s="53">
        <v>39851.550000000003</v>
      </c>
      <c r="P5" s="52" t="s">
        <v>342</v>
      </c>
      <c r="Q5" s="52" t="s">
        <v>359</v>
      </c>
      <c r="R5" s="52" t="s">
        <v>64</v>
      </c>
      <c r="S5" s="52" t="s">
        <v>357</v>
      </c>
    </row>
    <row r="6" spans="1:19" outlineLevel="2" x14ac:dyDescent="0.45">
      <c r="A6" t="s">
        <v>15</v>
      </c>
      <c r="B6" s="52" t="s">
        <v>57</v>
      </c>
      <c r="C6" s="52" t="s">
        <v>360</v>
      </c>
      <c r="D6" s="52" t="s">
        <v>361</v>
      </c>
      <c r="E6" s="52" t="s">
        <v>71</v>
      </c>
      <c r="F6" s="52" t="s">
        <v>362</v>
      </c>
      <c r="G6" s="52" t="s">
        <v>73</v>
      </c>
      <c r="H6" s="54">
        <v>46054</v>
      </c>
      <c r="I6" s="52" t="s">
        <v>231</v>
      </c>
      <c r="J6" s="52" t="s">
        <v>363</v>
      </c>
      <c r="K6" s="52" t="s">
        <v>364</v>
      </c>
      <c r="L6" s="52" t="s">
        <v>364</v>
      </c>
      <c r="M6" s="52" t="s">
        <v>29</v>
      </c>
      <c r="N6" s="53">
        <v>204</v>
      </c>
      <c r="O6" s="53">
        <v>204</v>
      </c>
      <c r="P6" s="52" t="s">
        <v>365</v>
      </c>
      <c r="Q6" s="52" t="s">
        <v>366</v>
      </c>
      <c r="R6" s="55" t="s">
        <v>64</v>
      </c>
      <c r="S6" s="52" t="s">
        <v>363</v>
      </c>
    </row>
    <row r="7" spans="1:19" outlineLevel="2" x14ac:dyDescent="0.45">
      <c r="A7" t="s">
        <v>15</v>
      </c>
      <c r="B7" s="52" t="s">
        <v>66</v>
      </c>
      <c r="C7" s="52"/>
      <c r="D7" s="52"/>
      <c r="E7" s="52" t="s">
        <v>367</v>
      </c>
      <c r="F7" s="52" t="s">
        <v>368</v>
      </c>
      <c r="G7" s="52" t="s">
        <v>369</v>
      </c>
      <c r="H7" s="54">
        <v>46054</v>
      </c>
      <c r="I7" s="52" t="s">
        <v>231</v>
      </c>
      <c r="J7" s="52" t="s">
        <v>301</v>
      </c>
      <c r="K7" s="52"/>
      <c r="L7" s="52"/>
      <c r="M7" s="52" t="s">
        <v>67</v>
      </c>
      <c r="N7" s="53">
        <v>0</v>
      </c>
      <c r="O7" s="53">
        <v>439.12</v>
      </c>
      <c r="P7" s="52" t="s">
        <v>370</v>
      </c>
      <c r="Q7" s="52" t="s">
        <v>370</v>
      </c>
      <c r="R7" s="55" t="s">
        <v>64</v>
      </c>
      <c r="S7" s="52" t="s">
        <v>301</v>
      </c>
    </row>
    <row r="8" spans="1:19" outlineLevel="2" x14ac:dyDescent="0.45">
      <c r="A8" t="s">
        <v>15</v>
      </c>
      <c r="B8" s="52" t="s">
        <v>57</v>
      </c>
      <c r="C8" s="52" t="s">
        <v>371</v>
      </c>
      <c r="D8" s="52" t="s">
        <v>372</v>
      </c>
      <c r="E8" s="52" t="s">
        <v>71</v>
      </c>
      <c r="F8" s="52" t="s">
        <v>373</v>
      </c>
      <c r="G8" s="52" t="s">
        <v>73</v>
      </c>
      <c r="H8" s="54">
        <v>46082</v>
      </c>
      <c r="I8" s="52" t="s">
        <v>271</v>
      </c>
      <c r="J8" s="52" t="s">
        <v>319</v>
      </c>
      <c r="K8" s="52" t="s">
        <v>374</v>
      </c>
      <c r="L8" s="52" t="s">
        <v>374</v>
      </c>
      <c r="M8" s="52" t="s">
        <v>29</v>
      </c>
      <c r="N8" s="53">
        <v>3.12</v>
      </c>
      <c r="O8" s="53">
        <v>3.12</v>
      </c>
      <c r="P8" s="52" t="s">
        <v>375</v>
      </c>
      <c r="Q8" s="52" t="s">
        <v>118</v>
      </c>
      <c r="R8" s="55" t="s">
        <v>64</v>
      </c>
      <c r="S8" s="52" t="s">
        <v>319</v>
      </c>
    </row>
    <row r="9" spans="1:19" outlineLevel="2" x14ac:dyDescent="0.45">
      <c r="A9" s="56" t="s">
        <v>15</v>
      </c>
      <c r="B9" s="57" t="s">
        <v>66</v>
      </c>
      <c r="C9" s="57" t="s">
        <v>376</v>
      </c>
      <c r="D9" s="57" t="s">
        <v>377</v>
      </c>
      <c r="E9" s="57" t="s">
        <v>71</v>
      </c>
      <c r="F9" s="57" t="s">
        <v>378</v>
      </c>
      <c r="G9" s="57" t="s">
        <v>73</v>
      </c>
      <c r="H9" s="54">
        <v>46082</v>
      </c>
      <c r="I9" s="57" t="s">
        <v>271</v>
      </c>
      <c r="J9" s="57" t="s">
        <v>298</v>
      </c>
      <c r="K9" s="57" t="s">
        <v>379</v>
      </c>
      <c r="L9" s="57" t="s">
        <v>379</v>
      </c>
      <c r="M9" s="57" t="s">
        <v>67</v>
      </c>
      <c r="N9" s="58">
        <v>95948</v>
      </c>
      <c r="O9" s="58">
        <v>326990.78000000003</v>
      </c>
      <c r="P9" s="57" t="s">
        <v>380</v>
      </c>
      <c r="Q9" s="57" t="s">
        <v>381</v>
      </c>
      <c r="R9" s="57" t="s">
        <v>64</v>
      </c>
      <c r="S9" s="57" t="s">
        <v>298</v>
      </c>
    </row>
    <row r="10" spans="1:19" outlineLevel="2" x14ac:dyDescent="0.45">
      <c r="A10" t="s">
        <v>15</v>
      </c>
      <c r="B10" s="52" t="s">
        <v>66</v>
      </c>
      <c r="C10" s="52"/>
      <c r="D10" s="52"/>
      <c r="E10" s="52" t="s">
        <v>367</v>
      </c>
      <c r="F10" s="52" t="s">
        <v>382</v>
      </c>
      <c r="G10" s="52" t="s">
        <v>369</v>
      </c>
      <c r="H10" s="54">
        <v>46082</v>
      </c>
      <c r="I10" s="52" t="s">
        <v>271</v>
      </c>
      <c r="J10" s="52" t="s">
        <v>383</v>
      </c>
      <c r="K10" s="52"/>
      <c r="L10" s="52"/>
      <c r="M10" s="52" t="s">
        <v>67</v>
      </c>
      <c r="N10" s="53">
        <v>0</v>
      </c>
      <c r="O10" s="53">
        <v>140.30000000000001</v>
      </c>
      <c r="P10" s="52" t="s">
        <v>370</v>
      </c>
      <c r="Q10" s="52" t="s">
        <v>370</v>
      </c>
      <c r="R10" s="55" t="s">
        <v>64</v>
      </c>
      <c r="S10" s="52" t="s">
        <v>383</v>
      </c>
    </row>
    <row r="11" spans="1:19" outlineLevel="2" x14ac:dyDescent="0.45">
      <c r="A11" t="s">
        <v>15</v>
      </c>
      <c r="B11" s="52" t="s">
        <v>57</v>
      </c>
      <c r="C11" s="52" t="s">
        <v>1877</v>
      </c>
      <c r="D11" s="52" t="s">
        <v>1878</v>
      </c>
      <c r="E11" s="52" t="s">
        <v>71</v>
      </c>
      <c r="F11" s="52" t="s">
        <v>1879</v>
      </c>
      <c r="G11" s="52" t="s">
        <v>73</v>
      </c>
      <c r="H11" s="54">
        <v>46113</v>
      </c>
      <c r="I11" s="52" t="s">
        <v>1836</v>
      </c>
      <c r="J11" s="52" t="s">
        <v>1880</v>
      </c>
      <c r="K11" s="52" t="s">
        <v>1881</v>
      </c>
      <c r="L11" s="52" t="s">
        <v>1881</v>
      </c>
      <c r="M11" s="52" t="s">
        <v>29</v>
      </c>
      <c r="N11" s="53">
        <v>213000</v>
      </c>
      <c r="O11" s="53">
        <v>213000</v>
      </c>
      <c r="P11" s="52" t="s">
        <v>1882</v>
      </c>
      <c r="Q11" s="52" t="s">
        <v>1883</v>
      </c>
      <c r="R11" s="52" t="s">
        <v>64</v>
      </c>
      <c r="S11" s="52" t="s">
        <v>1880</v>
      </c>
    </row>
    <row r="12" spans="1:19" outlineLevel="2" x14ac:dyDescent="0.45">
      <c r="A12" t="s">
        <v>15</v>
      </c>
      <c r="B12" s="52" t="s">
        <v>66</v>
      </c>
      <c r="C12" s="52"/>
      <c r="D12" s="52"/>
      <c r="E12" s="52" t="s">
        <v>367</v>
      </c>
      <c r="F12" s="52" t="s">
        <v>1884</v>
      </c>
      <c r="G12" s="52" t="s">
        <v>369</v>
      </c>
      <c r="H12" s="54">
        <v>46113</v>
      </c>
      <c r="I12" s="52" t="s">
        <v>1836</v>
      </c>
      <c r="J12" s="52" t="s">
        <v>1880</v>
      </c>
      <c r="K12" s="52"/>
      <c r="L12" s="52"/>
      <c r="M12" s="52" t="s">
        <v>67</v>
      </c>
      <c r="N12" s="53">
        <v>0</v>
      </c>
      <c r="O12" s="53">
        <v>85.26</v>
      </c>
      <c r="P12" s="52" t="s">
        <v>370</v>
      </c>
      <c r="Q12" s="52" t="s">
        <v>370</v>
      </c>
      <c r="R12" s="55" t="s">
        <v>64</v>
      </c>
      <c r="S12" s="52" t="s">
        <v>1880</v>
      </c>
    </row>
    <row r="13" spans="1:19" outlineLevel="2" x14ac:dyDescent="0.45">
      <c r="A13" t="s">
        <v>15</v>
      </c>
      <c r="B13" s="52" t="s">
        <v>57</v>
      </c>
      <c r="C13" s="52"/>
      <c r="D13" s="52" t="s">
        <v>338</v>
      </c>
      <c r="E13" s="52" t="s">
        <v>71</v>
      </c>
      <c r="F13" s="52" t="s">
        <v>2327</v>
      </c>
      <c r="G13" s="52" t="s">
        <v>73</v>
      </c>
      <c r="H13" s="54">
        <v>46143</v>
      </c>
      <c r="I13" s="52" t="s">
        <v>2304</v>
      </c>
      <c r="J13" s="52" t="s">
        <v>2328</v>
      </c>
      <c r="K13" s="52" t="s">
        <v>2329</v>
      </c>
      <c r="L13" s="52" t="s">
        <v>2329</v>
      </c>
      <c r="M13" s="52" t="s">
        <v>29</v>
      </c>
      <c r="N13" s="53">
        <v>275240</v>
      </c>
      <c r="O13" s="53">
        <v>275240</v>
      </c>
      <c r="P13" s="52" t="s">
        <v>2330</v>
      </c>
      <c r="Q13" s="52" t="s">
        <v>2331</v>
      </c>
      <c r="R13" s="52" t="s">
        <v>64</v>
      </c>
      <c r="S13" s="52" t="s">
        <v>2328</v>
      </c>
    </row>
    <row r="14" spans="1:19" outlineLevel="2" x14ac:dyDescent="0.45">
      <c r="A14" t="s">
        <v>15</v>
      </c>
      <c r="B14" s="52" t="s">
        <v>57</v>
      </c>
      <c r="C14" s="52" t="s">
        <v>1877</v>
      </c>
      <c r="D14" s="52" t="s">
        <v>1878</v>
      </c>
      <c r="E14" s="52" t="s">
        <v>71</v>
      </c>
      <c r="F14" s="52" t="s">
        <v>2332</v>
      </c>
      <c r="G14" s="52" t="s">
        <v>73</v>
      </c>
      <c r="H14" s="54">
        <v>46143</v>
      </c>
      <c r="I14" s="52" t="s">
        <v>2304</v>
      </c>
      <c r="J14" s="52" t="s">
        <v>2333</v>
      </c>
      <c r="K14" s="52" t="s">
        <v>2334</v>
      </c>
      <c r="L14" s="52" t="s">
        <v>2334</v>
      </c>
      <c r="M14" s="52" t="s">
        <v>29</v>
      </c>
      <c r="N14" s="53">
        <v>76100</v>
      </c>
      <c r="O14" s="53">
        <v>76100</v>
      </c>
      <c r="P14" s="52" t="s">
        <v>2335</v>
      </c>
      <c r="Q14" s="52" t="s">
        <v>2336</v>
      </c>
      <c r="R14" s="52" t="s">
        <v>64</v>
      </c>
      <c r="S14" s="52" t="s">
        <v>2333</v>
      </c>
    </row>
    <row r="15" spans="1:19" outlineLevel="2" x14ac:dyDescent="0.45">
      <c r="A15" s="56" t="s">
        <v>15</v>
      </c>
      <c r="B15" s="57" t="s">
        <v>57</v>
      </c>
      <c r="C15" s="57" t="s">
        <v>376</v>
      </c>
      <c r="D15" s="57" t="s">
        <v>377</v>
      </c>
      <c r="E15" s="57" t="s">
        <v>71</v>
      </c>
      <c r="F15" s="57" t="s">
        <v>2337</v>
      </c>
      <c r="G15" s="57" t="s">
        <v>73</v>
      </c>
      <c r="H15" s="54">
        <v>46143</v>
      </c>
      <c r="I15" s="57" t="s">
        <v>2304</v>
      </c>
      <c r="J15" s="57" t="s">
        <v>2338</v>
      </c>
      <c r="K15" s="57" t="s">
        <v>2339</v>
      </c>
      <c r="L15" s="57" t="s">
        <v>2339</v>
      </c>
      <c r="M15" s="57" t="s">
        <v>29</v>
      </c>
      <c r="N15" s="58">
        <v>500000</v>
      </c>
      <c r="O15" s="58">
        <v>500000</v>
      </c>
      <c r="P15" s="57" t="s">
        <v>2340</v>
      </c>
      <c r="Q15" s="57" t="s">
        <v>2341</v>
      </c>
      <c r="R15" s="57" t="s">
        <v>64</v>
      </c>
      <c r="S15" s="57" t="s">
        <v>2338</v>
      </c>
    </row>
    <row r="16" spans="1:19" outlineLevel="2" x14ac:dyDescent="0.45">
      <c r="A16" t="s">
        <v>15</v>
      </c>
      <c r="B16" s="52" t="s">
        <v>57</v>
      </c>
      <c r="C16" s="52" t="s">
        <v>911</v>
      </c>
      <c r="D16" s="52" t="s">
        <v>912</v>
      </c>
      <c r="E16" s="52" t="s">
        <v>71</v>
      </c>
      <c r="F16" s="52" t="s">
        <v>2342</v>
      </c>
      <c r="G16" s="52" t="s">
        <v>73</v>
      </c>
      <c r="H16" s="54">
        <v>46143</v>
      </c>
      <c r="I16" s="52" t="s">
        <v>2304</v>
      </c>
      <c r="J16" s="52" t="s">
        <v>2343</v>
      </c>
      <c r="K16" s="52" t="s">
        <v>2344</v>
      </c>
      <c r="L16" s="52" t="s">
        <v>2344</v>
      </c>
      <c r="M16" s="52" t="s">
        <v>29</v>
      </c>
      <c r="N16" s="53">
        <v>48</v>
      </c>
      <c r="O16" s="53">
        <v>48</v>
      </c>
      <c r="P16" s="52" t="s">
        <v>2345</v>
      </c>
      <c r="Q16" s="52" t="s">
        <v>2346</v>
      </c>
      <c r="R16" s="55" t="s">
        <v>64</v>
      </c>
      <c r="S16" s="52" t="s">
        <v>2343</v>
      </c>
    </row>
    <row r="17" spans="1:19" outlineLevel="2" x14ac:dyDescent="0.45">
      <c r="A17" t="s">
        <v>15</v>
      </c>
      <c r="B17" s="52" t="s">
        <v>57</v>
      </c>
      <c r="C17" s="52" t="s">
        <v>2184</v>
      </c>
      <c r="D17" s="52" t="s">
        <v>2185</v>
      </c>
      <c r="E17" s="52" t="s">
        <v>71</v>
      </c>
      <c r="F17" s="52" t="s">
        <v>2347</v>
      </c>
      <c r="G17" s="52" t="s">
        <v>73</v>
      </c>
      <c r="H17" s="54">
        <v>46143</v>
      </c>
      <c r="I17" s="52" t="s">
        <v>2304</v>
      </c>
      <c r="J17" s="52" t="s">
        <v>2311</v>
      </c>
      <c r="K17" s="52" t="s">
        <v>2348</v>
      </c>
      <c r="L17" s="52" t="s">
        <v>2348</v>
      </c>
      <c r="M17" s="52" t="s">
        <v>29</v>
      </c>
      <c r="N17" s="53">
        <v>100</v>
      </c>
      <c r="O17" s="53">
        <v>100</v>
      </c>
      <c r="P17" s="52" t="s">
        <v>2349</v>
      </c>
      <c r="Q17" s="52" t="s">
        <v>2350</v>
      </c>
      <c r="R17" s="55" t="s">
        <v>64</v>
      </c>
      <c r="S17" s="52" t="s">
        <v>2311</v>
      </c>
    </row>
    <row r="18" spans="1:19" outlineLevel="2" x14ac:dyDescent="0.45">
      <c r="A18" t="s">
        <v>15</v>
      </c>
      <c r="B18" s="52" t="s">
        <v>57</v>
      </c>
      <c r="C18" s="52" t="s">
        <v>2351</v>
      </c>
      <c r="D18" s="52" t="s">
        <v>2352</v>
      </c>
      <c r="E18" s="52" t="s">
        <v>71</v>
      </c>
      <c r="F18" s="52" t="s">
        <v>2353</v>
      </c>
      <c r="G18" s="52" t="s">
        <v>73</v>
      </c>
      <c r="H18" s="54">
        <v>46143</v>
      </c>
      <c r="I18" s="52" t="s">
        <v>2304</v>
      </c>
      <c r="J18" s="52" t="s">
        <v>2354</v>
      </c>
      <c r="K18" s="52" t="s">
        <v>2355</v>
      </c>
      <c r="L18" s="52" t="s">
        <v>2355</v>
      </c>
      <c r="M18" s="52" t="s">
        <v>29</v>
      </c>
      <c r="N18" s="53">
        <v>104.17</v>
      </c>
      <c r="O18" s="53">
        <v>104.17</v>
      </c>
      <c r="P18" s="52" t="s">
        <v>2356</v>
      </c>
      <c r="Q18" s="52" t="s">
        <v>118</v>
      </c>
      <c r="R18" s="55" t="s">
        <v>64</v>
      </c>
      <c r="S18" s="52" t="s">
        <v>2354</v>
      </c>
    </row>
    <row r="19" spans="1:19" outlineLevel="2" x14ac:dyDescent="0.45">
      <c r="A19" t="s">
        <v>15</v>
      </c>
      <c r="B19" s="52" t="s">
        <v>57</v>
      </c>
      <c r="C19" s="52" t="s">
        <v>187</v>
      </c>
      <c r="D19" s="52" t="s">
        <v>188</v>
      </c>
      <c r="E19" s="52" t="s">
        <v>71</v>
      </c>
      <c r="F19" s="52" t="s">
        <v>2357</v>
      </c>
      <c r="G19" s="52" t="s">
        <v>73</v>
      </c>
      <c r="H19" s="54">
        <v>46143</v>
      </c>
      <c r="I19" s="52" t="s">
        <v>2304</v>
      </c>
      <c r="J19" s="52" t="s">
        <v>2333</v>
      </c>
      <c r="K19" s="52" t="s">
        <v>2358</v>
      </c>
      <c r="L19" s="52" t="s">
        <v>2358</v>
      </c>
      <c r="M19" s="52" t="s">
        <v>29</v>
      </c>
      <c r="N19" s="53">
        <v>2496.88</v>
      </c>
      <c r="O19" s="53">
        <v>2496.88</v>
      </c>
      <c r="P19" s="52" t="s">
        <v>2359</v>
      </c>
      <c r="Q19" s="52" t="s">
        <v>2360</v>
      </c>
      <c r="R19" s="55" t="s">
        <v>64</v>
      </c>
      <c r="S19" s="52" t="s">
        <v>276</v>
      </c>
    </row>
    <row r="20" spans="1:19" outlineLevel="2" x14ac:dyDescent="0.45">
      <c r="A20" s="52" t="s">
        <v>15</v>
      </c>
      <c r="B20" s="52" t="s">
        <v>57</v>
      </c>
      <c r="C20" s="52"/>
      <c r="D20" s="52" t="s">
        <v>338</v>
      </c>
      <c r="E20" s="52" t="s">
        <v>71</v>
      </c>
      <c r="F20" s="52" t="s">
        <v>2917</v>
      </c>
      <c r="G20" s="52" t="s">
        <v>73</v>
      </c>
      <c r="H20" s="52" t="s">
        <v>59</v>
      </c>
      <c r="I20" s="52" t="s">
        <v>2833</v>
      </c>
      <c r="J20" s="52" t="s">
        <v>2918</v>
      </c>
      <c r="K20" s="52" t="s">
        <v>2919</v>
      </c>
      <c r="L20" s="52" t="s">
        <v>2919</v>
      </c>
      <c r="M20" s="52" t="s">
        <v>29</v>
      </c>
      <c r="N20" s="84">
        <v>51000</v>
      </c>
      <c r="O20" s="84">
        <v>51000</v>
      </c>
      <c r="P20" s="52" t="s">
        <v>2920</v>
      </c>
      <c r="Q20" s="52" t="s">
        <v>2921</v>
      </c>
      <c r="R20" s="52" t="s">
        <v>64</v>
      </c>
      <c r="S20" s="52" t="s">
        <v>2918</v>
      </c>
    </row>
    <row r="21" spans="1:19" outlineLevel="2" x14ac:dyDescent="0.45">
      <c r="A21" s="71" t="s">
        <v>15</v>
      </c>
      <c r="B21" s="71" t="s">
        <v>57</v>
      </c>
      <c r="C21" s="71" t="s">
        <v>349</v>
      </c>
      <c r="D21" s="71" t="s">
        <v>350</v>
      </c>
      <c r="E21" s="71" t="s">
        <v>387</v>
      </c>
      <c r="F21" s="71" t="s">
        <v>2922</v>
      </c>
      <c r="G21" s="71" t="s">
        <v>60</v>
      </c>
      <c r="H21" s="71" t="s">
        <v>2923</v>
      </c>
      <c r="I21" s="71" t="s">
        <v>2833</v>
      </c>
      <c r="J21" s="71" t="s">
        <v>2924</v>
      </c>
      <c r="K21" s="71" t="s">
        <v>2925</v>
      </c>
      <c r="L21" s="71" t="s">
        <v>2925</v>
      </c>
      <c r="M21" s="71" t="s">
        <v>29</v>
      </c>
      <c r="N21" s="85">
        <v>-58951.26</v>
      </c>
      <c r="O21" s="85">
        <v>-58951.26</v>
      </c>
      <c r="P21" s="71" t="s">
        <v>2718</v>
      </c>
      <c r="Q21" s="71" t="s">
        <v>2718</v>
      </c>
      <c r="R21" s="71" t="s">
        <v>64</v>
      </c>
      <c r="S21" s="71" t="s">
        <v>2924</v>
      </c>
    </row>
    <row r="22" spans="1:19" outlineLevel="2" x14ac:dyDescent="0.45">
      <c r="A22" s="71" t="s">
        <v>15</v>
      </c>
      <c r="B22" s="71" t="s">
        <v>57</v>
      </c>
      <c r="C22" s="71" t="s">
        <v>376</v>
      </c>
      <c r="D22" s="71" t="s">
        <v>377</v>
      </c>
      <c r="E22" s="71" t="s">
        <v>71</v>
      </c>
      <c r="F22" s="71" t="s">
        <v>2927</v>
      </c>
      <c r="G22" s="71" t="s">
        <v>73</v>
      </c>
      <c r="H22" s="71" t="s">
        <v>59</v>
      </c>
      <c r="I22" s="71" t="s">
        <v>2833</v>
      </c>
      <c r="J22" s="71" t="s">
        <v>2924</v>
      </c>
      <c r="K22" s="71" t="s">
        <v>2928</v>
      </c>
      <c r="L22" s="71" t="s">
        <v>2928</v>
      </c>
      <c r="M22" s="71" t="s">
        <v>29</v>
      </c>
      <c r="N22" s="85">
        <v>59637.25</v>
      </c>
      <c r="O22" s="85">
        <v>59637.25</v>
      </c>
      <c r="P22" s="71" t="s">
        <v>2929</v>
      </c>
      <c r="Q22" s="71" t="s">
        <v>2930</v>
      </c>
      <c r="R22" s="71" t="s">
        <v>64</v>
      </c>
      <c r="S22" s="71" t="s">
        <v>2924</v>
      </c>
    </row>
    <row r="23" spans="1:19" outlineLevel="2" x14ac:dyDescent="0.45">
      <c r="A23" s="52" t="s">
        <v>15</v>
      </c>
      <c r="B23" s="52" t="s">
        <v>57</v>
      </c>
      <c r="C23" s="52"/>
      <c r="D23" s="52" t="s">
        <v>338</v>
      </c>
      <c r="E23" s="52" t="s">
        <v>71</v>
      </c>
      <c r="F23" s="52" t="s">
        <v>2931</v>
      </c>
      <c r="G23" s="52" t="s">
        <v>73</v>
      </c>
      <c r="H23" s="52" t="s">
        <v>59</v>
      </c>
      <c r="I23" s="52" t="s">
        <v>2833</v>
      </c>
      <c r="J23" s="52" t="s">
        <v>2932</v>
      </c>
      <c r="K23" s="52" t="s">
        <v>2933</v>
      </c>
      <c r="L23" s="52" t="s">
        <v>2933</v>
      </c>
      <c r="M23" s="52" t="s">
        <v>29</v>
      </c>
      <c r="N23" s="84">
        <v>182000</v>
      </c>
      <c r="O23" s="108">
        <v>182000</v>
      </c>
      <c r="P23" s="52" t="s">
        <v>2934</v>
      </c>
      <c r="Q23" s="52" t="s">
        <v>2935</v>
      </c>
      <c r="R23" s="52" t="s">
        <v>64</v>
      </c>
      <c r="S23" s="52" t="s">
        <v>2932</v>
      </c>
    </row>
    <row r="24" spans="1:19" x14ac:dyDescent="0.45">
      <c r="O24" s="107">
        <f>SUM(O2:O23)</f>
        <v>2075799.17</v>
      </c>
    </row>
    <row r="27" spans="1:19" x14ac:dyDescent="0.45">
      <c r="K27" t="s">
        <v>3390</v>
      </c>
      <c r="O27" s="68">
        <v>955402</v>
      </c>
      <c r="P27" s="109"/>
    </row>
    <row r="28" spans="1:19" x14ac:dyDescent="0.45">
      <c r="K28" t="s">
        <v>3391</v>
      </c>
      <c r="O28" s="68">
        <v>-55630</v>
      </c>
    </row>
    <row r="29" spans="1:19" x14ac:dyDescent="0.45">
      <c r="K29" t="s">
        <v>3386</v>
      </c>
      <c r="O29" s="68">
        <v>886628</v>
      </c>
      <c r="P29" s="109"/>
    </row>
    <row r="30" spans="1:19" x14ac:dyDescent="0.45">
      <c r="K30" t="s">
        <v>3394</v>
      </c>
      <c r="O30" s="105">
        <v>289100</v>
      </c>
      <c r="P30" s="68"/>
    </row>
    <row r="31" spans="1:19" x14ac:dyDescent="0.45">
      <c r="O31" s="68">
        <f>SUBTOTAL(9,O27:O30)</f>
        <v>2075500</v>
      </c>
    </row>
  </sheetData>
  <autoFilter ref="A1:BH24" xr:uid="{3D3065E7-0782-4279-9ED0-360DB9F3809E}"/>
  <pageMargins left="0.7" right="0.7" top="0.75" bottom="0.75" header="0.3" footer="0.3"/>
  <pageSetup orientation="portrait" horizontalDpi="0" verticalDpi="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F6A6D-E2CE-4F0B-8A0F-1330BCEAD834}">
  <dimension ref="B3:G3"/>
  <sheetViews>
    <sheetView workbookViewId="0">
      <selection activeCell="C5" sqref="C5"/>
    </sheetView>
  </sheetViews>
  <sheetFormatPr baseColWidth="10" defaultRowHeight="14.25" x14ac:dyDescent="0.45"/>
  <cols>
    <col min="3" max="3" width="12.53125" style="80" bestFit="1" customWidth="1"/>
    <col min="4" max="7" width="10.6640625" style="80"/>
  </cols>
  <sheetData>
    <row r="3" spans="2:3" x14ac:dyDescent="0.45">
      <c r="B3" t="s">
        <v>3386</v>
      </c>
      <c r="C3" s="80">
        <v>-1505086.9100000006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vt:i4>
      </vt:variant>
    </vt:vector>
  </HeadingPairs>
  <TitlesOfParts>
    <vt:vector size="7" baseType="lpstr">
      <vt:lpstr>Cuadro</vt:lpstr>
      <vt:lpstr> cta 10</vt:lpstr>
      <vt:lpstr>Detalle S10_Junio 2026</vt:lpstr>
      <vt:lpstr>Detalle S10_Junio 2026 (2)</vt:lpstr>
      <vt:lpstr>Detalle S10_Junio 2026 (3)</vt:lpstr>
      <vt:lpstr>Hoja2</vt:lpstr>
      <vt:lpstr>Cuadro!Área_de_impresión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Carola Martorellet Lumbreras</dc:creator>
  <cp:lastModifiedBy>Carola Martorellet Lumbreras</cp:lastModifiedBy>
  <cp:lastPrinted>2026-07-20T21:10:20Z</cp:lastPrinted>
  <dcterms:created xsi:type="dcterms:W3CDTF">2026-06-19T22:21:31Z</dcterms:created>
  <dcterms:modified xsi:type="dcterms:W3CDTF">2026-07-21T00:56:56Z</dcterms:modified>
</cp:coreProperties>
</file>