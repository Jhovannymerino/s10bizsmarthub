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B0·OBJETIVOS &amp; KPIs" sheetId="2" state="visible" r:id="rId2"/>
    <sheet xmlns:r="http://schemas.openxmlformats.org/officeDocument/2006/relationships" name="B1·FINANCIERO" sheetId="3" state="visible" r:id="rId3"/>
    <sheet xmlns:r="http://schemas.openxmlformats.org/officeDocument/2006/relationships" name="B2·EFICIENCIA&amp;CAJA" sheetId="4" state="visible" r:id="rId4"/>
    <sheet xmlns:r="http://schemas.openxmlformats.org/officeDocument/2006/relationships" name="B3·COMERCIAL" sheetId="5" state="visible" r:id="rId5"/>
    <sheet xmlns:r="http://schemas.openxmlformats.org/officeDocument/2006/relationships" name="B4·ESTRATÉGICO"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quot; días&quot;"/>
  </numFmts>
  <fonts count="28">
    <font>
      <name val="Calibri"/>
      <family val="2"/>
      <color theme="1"/>
      <sz val="11"/>
      <scheme val="minor"/>
    </font>
    <font>
      <name val="Calibri"/>
      <b val="1"/>
      <color rgb="00FFFFFF"/>
      <sz val="13"/>
    </font>
    <font>
      <name val="Calibri"/>
      <b val="1"/>
      <color rgb="001E3A5F"/>
      <sz val="9"/>
    </font>
    <font>
      <name val="Calibri"/>
      <color rgb="00000000"/>
      <sz val="9"/>
    </font>
    <font>
      <name val="Calibri"/>
      <b val="1"/>
      <color rgb="00FFFFFF"/>
      <sz val="10"/>
    </font>
    <font>
      <name val="Calibri"/>
      <b val="1"/>
      <color rgb="001E3A5F"/>
      <sz val="14"/>
    </font>
    <font>
      <name val="Calibri"/>
      <i val="1"/>
      <color rgb="00028090"/>
      <sz val="10"/>
    </font>
    <font>
      <name val="Calibri"/>
      <b val="1"/>
      <color rgb="00FFFFFF"/>
      <sz val="9"/>
    </font>
    <font>
      <name val="Calibri"/>
      <b val="1"/>
      <color rgb="001E3A5F"/>
      <sz val="10"/>
    </font>
    <font>
      <name val="Calibri"/>
      <b val="1"/>
      <color rgb="00000000"/>
      <sz val="10"/>
    </font>
    <font>
      <name val="Calibri"/>
      <color rgb="00000000"/>
      <sz val="10"/>
    </font>
    <font>
      <name val="Calibri"/>
      <color rgb="000070C0"/>
      <sz val="10"/>
    </font>
    <font>
      <name val="Calibri"/>
      <i val="1"/>
      <color rgb="007F7F7F"/>
      <sz val="9"/>
    </font>
    <font>
      <name val="Calibri"/>
      <color rgb="00000000"/>
      <sz val="14"/>
    </font>
    <font>
      <name val="Calibri"/>
      <b val="1"/>
      <color rgb="00FFFFFF"/>
      <sz val="14"/>
    </font>
    <font>
      <name val="Calibri"/>
      <i val="1"/>
      <color rgb="00028090"/>
      <sz val="9"/>
    </font>
    <font>
      <name val="Calibri"/>
      <b val="1"/>
      <color rgb="00FFFFFF"/>
      <sz val="11"/>
    </font>
    <font>
      <name val="Calibri"/>
      <color rgb="002C3E50"/>
      <sz val="9"/>
    </font>
    <font>
      <name val="Calibri"/>
      <b val="1"/>
      <color rgb="00145A32"/>
      <sz val="9"/>
    </font>
    <font>
      <name val="Calibri"/>
      <b val="1"/>
      <color rgb="00922B21"/>
      <sz val="9"/>
    </font>
    <font>
      <name val="Calibri"/>
      <i val="1"/>
      <color rgb="00555555"/>
      <sz val="8"/>
    </font>
    <font>
      <name val="Calibri"/>
      <b val="1"/>
      <color rgb="00028090"/>
      <sz val="9"/>
    </font>
    <font>
      <name val="Calibri"/>
      <b val="1"/>
      <color rgb="00028090"/>
      <sz val="10"/>
    </font>
    <font>
      <name val="Calibri"/>
      <b val="1"/>
      <color rgb="006D2E46"/>
      <sz val="9"/>
    </font>
    <font>
      <name val="Calibri"/>
      <b val="1"/>
      <color rgb="006D2E46"/>
      <sz val="10"/>
    </font>
    <font>
      <name val="Calibri"/>
      <b val="1"/>
      <color rgb="005D4037"/>
      <sz val="9"/>
    </font>
    <font>
      <name val="Calibri"/>
      <b val="1"/>
      <color rgb="005D4037"/>
      <sz val="10"/>
    </font>
    <font>
      <name val="Calibri"/>
      <i val="1"/>
      <color rgb="007F7F7F"/>
      <sz val="8"/>
    </font>
  </fonts>
  <fills count="18">
    <fill>
      <patternFill/>
    </fill>
    <fill>
      <patternFill patternType="gray125"/>
    </fill>
    <fill>
      <patternFill patternType="solid">
        <fgColor rgb="001E3A5F"/>
      </patternFill>
    </fill>
    <fill>
      <patternFill patternType="solid">
        <fgColor rgb="00FFFFFF"/>
      </patternFill>
    </fill>
    <fill>
      <patternFill patternType="solid">
        <fgColor rgb="00028090"/>
      </patternFill>
    </fill>
    <fill>
      <patternFill patternType="solid">
        <fgColor rgb="00F2F2F2"/>
      </patternFill>
    </fill>
    <fill>
      <patternFill patternType="solid">
        <fgColor rgb="00FFF2CC"/>
      </patternFill>
    </fill>
    <fill>
      <patternFill patternType="solid">
        <fgColor rgb="00DEEAF1"/>
      </patternFill>
    </fill>
    <fill>
      <patternFill patternType="solid">
        <fgColor rgb="00C0392B"/>
      </patternFill>
    </fill>
    <fill>
      <patternFill patternType="solid">
        <fgColor rgb="00EBF5FB"/>
      </patternFill>
    </fill>
    <fill>
      <patternFill patternType="solid">
        <fgColor rgb="00D6EAF8"/>
      </patternFill>
    </fill>
    <fill>
      <patternFill patternType="solid">
        <fgColor rgb="00E8E8E8"/>
      </patternFill>
    </fill>
    <fill>
      <patternFill patternType="solid">
        <fgColor rgb="00D1F2EB"/>
      </patternFill>
    </fill>
    <fill>
      <patternFill patternType="solid">
        <fgColor rgb="006D2E46"/>
      </patternFill>
    </fill>
    <fill>
      <patternFill patternType="solid">
        <fgColor rgb="00FADBD8"/>
      </patternFill>
    </fill>
    <fill>
      <patternFill patternType="solid">
        <fgColor rgb="005D4037"/>
      </patternFill>
    </fill>
    <fill>
      <patternFill patternType="solid">
        <fgColor rgb="00FFF3E0"/>
      </patternFill>
    </fill>
    <fill>
      <patternFill patternType="solid">
        <fgColor rgb="00F4F6F9"/>
      </patternFill>
    </fill>
  </fills>
  <borders count="9">
    <border>
      <left/>
      <right/>
      <top/>
      <bottom/>
      <diagonal/>
    </border>
    <border>
      <left style="thin">
        <color rgb="00BFBFBF"/>
      </left>
      <right style="thin">
        <color rgb="00BFBFBF"/>
      </right>
      <top style="thin">
        <color rgb="00BFBFBF"/>
      </top>
      <bottom style="thin">
        <color rgb="00BFBFBF"/>
      </bottom>
    </border>
    <border/>
    <border>
      <left style="thin">
        <color rgb="00BFBFBF"/>
      </left>
      <right style="thin">
        <color rgb="00BFBFBF"/>
      </right>
      <top style="medium">
        <color rgb="001E3A5F"/>
      </top>
      <bottom style="medium">
        <color rgb="001E3A5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028090"/>
      </left>
      <right style="thin">
        <color rgb="00028090"/>
      </right>
      <top style="thin">
        <color rgb="00028090"/>
      </top>
      <bottom style="thin">
        <color rgb="00028090"/>
      </bottom>
    </border>
  </borders>
  <cellStyleXfs count="1">
    <xf numFmtId="0" fontId="0" fillId="0" borderId="0"/>
  </cellStyleXfs>
  <cellXfs count="7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4" borderId="1" applyAlignment="1" pivotButton="0" quotePrefix="0" xfId="0">
      <alignment horizontal="center" vertical="center"/>
    </xf>
    <xf numFmtId="0" fontId="0" fillId="3" borderId="2" pivotButton="0" quotePrefix="0" xfId="0"/>
    <xf numFmtId="0" fontId="4" fillId="2" borderId="0" applyAlignment="1" pivotButton="0" quotePrefix="0" xfId="0">
      <alignment horizontal="left" vertical="center" wrapText="1"/>
    </xf>
    <xf numFmtId="0" fontId="8" fillId="5" borderId="3" applyAlignment="1" pivotButton="0" quotePrefix="0" xfId="0">
      <alignment horizontal="center" vertical="center"/>
    </xf>
    <xf numFmtId="0" fontId="9" fillId="5" borderId="3" applyAlignment="1" pivotButton="0" quotePrefix="0" xfId="0">
      <alignment horizontal="left" vertical="center" wrapText="1"/>
    </xf>
    <xf numFmtId="3" fontId="9" fillId="5" borderId="3" applyAlignment="1" pivotButton="0" quotePrefix="0" xfId="0">
      <alignment horizontal="right" vertical="center"/>
    </xf>
    <xf numFmtId="164" fontId="9" fillId="5" borderId="3" applyAlignment="1" pivotButton="0" quotePrefix="0" xfId="0">
      <alignment horizontal="right" vertical="center"/>
    </xf>
    <xf numFmtId="3" fontId="9" fillId="6" borderId="3" applyAlignment="1" pivotButton="0" quotePrefix="0" xfId="0">
      <alignment horizontal="right" vertical="center"/>
    </xf>
    <xf numFmtId="0" fontId="8" fillId="7" borderId="1" applyAlignment="1" pivotButton="0" quotePrefix="0" xfId="0">
      <alignment horizontal="center" vertical="center"/>
    </xf>
    <xf numFmtId="0" fontId="10" fillId="7" borderId="1" applyAlignment="1" pivotButton="0" quotePrefix="0" xfId="0">
      <alignment horizontal="left" vertical="center" wrapText="1"/>
    </xf>
    <xf numFmtId="3" fontId="10" fillId="7" borderId="1" applyAlignment="1" pivotButton="0" quotePrefix="0" xfId="0">
      <alignment horizontal="right" vertical="center"/>
    </xf>
    <xf numFmtId="164" fontId="10" fillId="7" borderId="1" applyAlignment="1" pivotButton="0" quotePrefix="0" xfId="0">
      <alignment horizontal="right" vertical="center"/>
    </xf>
    <xf numFmtId="3" fontId="10" fillId="6" borderId="1" applyAlignment="1" pivotButton="0" quotePrefix="0" xfId="0">
      <alignment horizontal="right" vertical="center"/>
    </xf>
    <xf numFmtId="0" fontId="8" fillId="3" borderId="1" applyAlignment="1" pivotButton="0" quotePrefix="0" xfId="0">
      <alignment horizontal="center" vertical="center"/>
    </xf>
    <xf numFmtId="0" fontId="11" fillId="3" borderId="1" applyAlignment="1" pivotButton="0" quotePrefix="0" xfId="0">
      <alignment horizontal="left" vertical="center" wrapText="1"/>
    </xf>
    <xf numFmtId="3" fontId="11" fillId="3" borderId="1" applyAlignment="1" pivotButton="0" quotePrefix="0" xfId="0">
      <alignment horizontal="right" vertical="center"/>
    </xf>
    <xf numFmtId="0" fontId="10" fillId="7" borderId="1" applyAlignment="1" pivotButton="0" quotePrefix="0" xfId="0">
      <alignment horizontal="right" vertical="center"/>
    </xf>
    <xf numFmtId="3" fontId="11" fillId="6" borderId="1" applyAlignment="1" pivotButton="0" quotePrefix="0" xfId="0">
      <alignment horizontal="right" vertical="center"/>
    </xf>
    <xf numFmtId="0" fontId="12" fillId="3" borderId="2" applyAlignment="1" pivotButton="0" quotePrefix="0" xfId="0">
      <alignment horizontal="left" vertical="center" wrapText="1"/>
    </xf>
    <xf numFmtId="165" fontId="11" fillId="3" borderId="1" applyAlignment="1" pivotButton="0" quotePrefix="0" xfId="0">
      <alignment horizontal="right" vertical="center"/>
    </xf>
    <xf numFmtId="165" fontId="10" fillId="7" borderId="1" applyAlignment="1" pivotButton="0" quotePrefix="0" xfId="0">
      <alignment horizontal="right" vertical="center"/>
    </xf>
    <xf numFmtId="0" fontId="0" fillId="7" borderId="1" pivotButton="0" quotePrefix="0" xfId="0"/>
    <xf numFmtId="165" fontId="11" fillId="6" borderId="1" applyAlignment="1" pivotButton="0" quotePrefix="0" xfId="0">
      <alignment horizontal="right" vertical="center"/>
    </xf>
    <xf numFmtId="164" fontId="10" fillId="6" borderId="1" applyAlignment="1" pivotButton="0" quotePrefix="0" xfId="0">
      <alignment horizontal="right" vertical="center"/>
    </xf>
    <xf numFmtId="166" fontId="10" fillId="7" borderId="1" applyAlignment="1" pivotButton="0" quotePrefix="0" xfId="0">
      <alignment horizontal="right" vertical="center"/>
    </xf>
    <xf numFmtId="0" fontId="4" fillId="4" borderId="1" applyAlignment="1" pivotButton="0" quotePrefix="0" xfId="0">
      <alignment horizontal="center" vertical="center"/>
    </xf>
    <xf numFmtId="0" fontId="13" fillId="3" borderId="1" applyAlignment="1" pivotButton="0" quotePrefix="0" xfId="0">
      <alignment horizontal="center" vertical="center"/>
    </xf>
    <xf numFmtId="0" fontId="4" fillId="8" borderId="1" applyAlignment="1" pivotButton="0" quotePrefix="0" xfId="0">
      <alignment horizontal="center" vertical="center"/>
    </xf>
    <xf numFmtId="0" fontId="4" fillId="2" borderId="1" applyAlignment="1" pivotButton="0" quotePrefix="0" xfId="0">
      <alignment horizontal="center" vertical="center"/>
    </xf>
    <xf numFmtId="0" fontId="0" fillId="0" borderId="7" pivotButton="0" quotePrefix="0" xfId="0"/>
    <xf numFmtId="0" fontId="0" fillId="0" borderId="6" pivotButton="0" quotePrefix="0" xfId="0"/>
    <xf numFmtId="0" fontId="14" fillId="2" borderId="0" applyAlignment="1" pivotButton="0" quotePrefix="0" xfId="0">
      <alignment horizontal="center" vertical="center" wrapText="1"/>
    </xf>
    <xf numFmtId="0" fontId="15" fillId="9" borderId="0" applyAlignment="1" pivotButton="0" quotePrefix="0" xfId="0">
      <alignment horizontal="center" vertical="center" wrapText="1"/>
    </xf>
    <xf numFmtId="0" fontId="7" fillId="4" borderId="8" applyAlignment="1" pivotButton="0" quotePrefix="0" xfId="0">
      <alignment horizontal="center" vertical="center" wrapText="1"/>
    </xf>
    <xf numFmtId="0" fontId="16" fillId="2" borderId="0" applyAlignment="1" pivotButton="0" quotePrefix="0" xfId="0">
      <alignment horizontal="left" vertical="center" wrapText="1"/>
    </xf>
    <xf numFmtId="0" fontId="2" fillId="10" borderId="1" applyAlignment="1" pivotButton="0" quotePrefix="0" xfId="0">
      <alignment horizontal="center" vertical="center" wrapText="1"/>
    </xf>
    <xf numFmtId="0" fontId="8" fillId="10" borderId="1" applyAlignment="1" pivotButton="0" quotePrefix="0" xfId="0">
      <alignment horizontal="left" vertical="top" wrapText="1"/>
    </xf>
    <xf numFmtId="0" fontId="17" fillId="10" borderId="1" applyAlignment="1" pivotButton="0" quotePrefix="0" xfId="0">
      <alignment horizontal="left" vertical="top" wrapText="1"/>
    </xf>
    <xf numFmtId="0" fontId="18" fillId="10" borderId="1" applyAlignment="1" pivotButton="0" quotePrefix="0" xfId="0">
      <alignment horizontal="left" vertical="top" wrapText="1"/>
    </xf>
    <xf numFmtId="0" fontId="19" fillId="10" borderId="1" applyAlignment="1" pivotButton="0" quotePrefix="0" xfId="0">
      <alignment horizontal="left" vertical="top" wrapText="1"/>
    </xf>
    <xf numFmtId="0" fontId="20" fillId="10" borderId="1" applyAlignment="1" pivotButton="0" quotePrefix="0" xfId="0">
      <alignment horizontal="center" vertical="center" wrapText="1"/>
    </xf>
    <xf numFmtId="0" fontId="0" fillId="11" borderId="0" pivotButton="0" quotePrefix="0" xfId="0"/>
    <xf numFmtId="0" fontId="16" fillId="4" borderId="0" applyAlignment="1" pivotButton="0" quotePrefix="0" xfId="0">
      <alignment horizontal="left" vertical="center" wrapText="1"/>
    </xf>
    <xf numFmtId="0" fontId="21" fillId="12" borderId="1" applyAlignment="1" pivotButton="0" quotePrefix="0" xfId="0">
      <alignment horizontal="center" vertical="center" wrapText="1"/>
    </xf>
    <xf numFmtId="0" fontId="22" fillId="12" borderId="1" applyAlignment="1" pivotButton="0" quotePrefix="0" xfId="0">
      <alignment horizontal="left" vertical="top" wrapText="1"/>
    </xf>
    <xf numFmtId="0" fontId="17" fillId="12" borderId="1" applyAlignment="1" pivotButton="0" quotePrefix="0" xfId="0">
      <alignment horizontal="left" vertical="top" wrapText="1"/>
    </xf>
    <xf numFmtId="0" fontId="18" fillId="12" borderId="1" applyAlignment="1" pivotButton="0" quotePrefix="0" xfId="0">
      <alignment horizontal="left" vertical="top" wrapText="1"/>
    </xf>
    <xf numFmtId="0" fontId="19" fillId="12" borderId="1" applyAlignment="1" pivotButton="0" quotePrefix="0" xfId="0">
      <alignment horizontal="left" vertical="top" wrapText="1"/>
    </xf>
    <xf numFmtId="0" fontId="20" fillId="12" borderId="1" applyAlignment="1" pivotButton="0" quotePrefix="0" xfId="0">
      <alignment horizontal="center" vertical="center" wrapText="1"/>
    </xf>
    <xf numFmtId="0" fontId="16" fillId="13" borderId="0" applyAlignment="1" pivotButton="0" quotePrefix="0" xfId="0">
      <alignment horizontal="left" vertical="center" wrapText="1"/>
    </xf>
    <xf numFmtId="0" fontId="23" fillId="14" borderId="1" applyAlignment="1" pivotButton="0" quotePrefix="0" xfId="0">
      <alignment horizontal="center" vertical="center" wrapText="1"/>
    </xf>
    <xf numFmtId="0" fontId="24" fillId="14" borderId="1" applyAlignment="1" pivotButton="0" quotePrefix="0" xfId="0">
      <alignment horizontal="left" vertical="top" wrapText="1"/>
    </xf>
    <xf numFmtId="0" fontId="17" fillId="14" borderId="1" applyAlignment="1" pivotButton="0" quotePrefix="0" xfId="0">
      <alignment horizontal="left" vertical="top" wrapText="1"/>
    </xf>
    <xf numFmtId="0" fontId="18" fillId="14" borderId="1" applyAlignment="1" pivotButton="0" quotePrefix="0" xfId="0">
      <alignment horizontal="left" vertical="top" wrapText="1"/>
    </xf>
    <xf numFmtId="0" fontId="19" fillId="14" borderId="1" applyAlignment="1" pivotButton="0" quotePrefix="0" xfId="0">
      <alignment horizontal="left" vertical="top" wrapText="1"/>
    </xf>
    <xf numFmtId="0" fontId="20" fillId="14" borderId="1" applyAlignment="1" pivotButton="0" quotePrefix="0" xfId="0">
      <alignment horizontal="center" vertical="center" wrapText="1"/>
    </xf>
    <xf numFmtId="0" fontId="16" fillId="15" borderId="0" applyAlignment="1" pivotButton="0" quotePrefix="0" xfId="0">
      <alignment horizontal="left" vertical="center" wrapText="1"/>
    </xf>
    <xf numFmtId="0" fontId="25" fillId="16" borderId="1" applyAlignment="1" pivotButton="0" quotePrefix="0" xfId="0">
      <alignment horizontal="center" vertical="center" wrapText="1"/>
    </xf>
    <xf numFmtId="0" fontId="26" fillId="16" borderId="1" applyAlignment="1" pivotButton="0" quotePrefix="0" xfId="0">
      <alignment horizontal="left" vertical="top" wrapText="1"/>
    </xf>
    <xf numFmtId="0" fontId="17" fillId="16" borderId="1" applyAlignment="1" pivotButton="0" quotePrefix="0" xfId="0">
      <alignment horizontal="left" vertical="top" wrapText="1"/>
    </xf>
    <xf numFmtId="0" fontId="18" fillId="16" borderId="1" applyAlignment="1" pivotButton="0" quotePrefix="0" xfId="0">
      <alignment horizontal="left" vertical="top" wrapText="1"/>
    </xf>
    <xf numFmtId="0" fontId="19" fillId="16" borderId="1" applyAlignment="1" pivotButton="0" quotePrefix="0" xfId="0">
      <alignment horizontal="left" vertical="top" wrapText="1"/>
    </xf>
    <xf numFmtId="0" fontId="20" fillId="16" borderId="1" applyAlignment="1" pivotButton="0" quotePrefix="0" xfId="0">
      <alignment horizontal="center" vertical="center" wrapText="1"/>
    </xf>
    <xf numFmtId="0" fontId="27" fillId="17"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4" customWidth="1" min="1" max="1"/>
    <col width="60" customWidth="1" min="2" max="2"/>
    <col width="30" customWidth="1" min="3" max="3"/>
  </cols>
  <sheetData>
    <row r="1" ht="34" customHeight="1">
      <c r="A1" s="1" t="inlineStr">
        <is>
          <t>CMO GROUP – INSTRUCCIONES DE USO  |  Libro de Datos Directorio v2</t>
        </is>
      </c>
    </row>
    <row r="2" ht="18" customHeight="1">
      <c r="A2" s="2" t="inlineStr"/>
      <c r="B2" s="3" t="inlineStr"/>
      <c r="C2" s="36" t="n"/>
    </row>
    <row r="3" ht="20" customHeight="1">
      <c r="A3" s="4" t="inlineStr">
        <is>
          <t>PASO 1 – DATOS A INGRESAR  –  Complete ÚNICAMENTE las celdas con texto AZUL. No modifique celdas con fondo celeste (son fórmulas).</t>
        </is>
      </c>
      <c r="B3" s="37" t="n"/>
      <c r="C3" s="36" t="n"/>
    </row>
    <row r="4" ht="28" customHeight="1">
      <c r="A4" s="2" t="inlineStr"/>
      <c r="B4" s="3" t="inlineStr">
        <is>
          <t>• B1·FINANCIERO → Ingresos por LN (meses Ene/Feb/Mar + Presupuesto trimestral)</t>
        </is>
      </c>
      <c r="C4" s="36" t="n"/>
    </row>
    <row r="5" ht="18" customHeight="1">
      <c r="A5" s="2" t="inlineStr"/>
      <c r="B5" s="3" t="inlineStr">
        <is>
          <t>• B1·FINANCIERO → COGS por LN (mismos meses + Presupuesto)</t>
        </is>
      </c>
      <c r="C5" s="36" t="n"/>
    </row>
    <row r="6" ht="18" customHeight="1">
      <c r="A6" s="2" t="inlineStr"/>
      <c r="B6" s="3" t="inlineStr">
        <is>
          <t>• B1·FINANCIERO → GAV por categoría (meses + Presupuesto)</t>
        </is>
      </c>
      <c r="C6" s="36" t="n"/>
    </row>
    <row r="7" ht="28" customHeight="1">
      <c r="A7" s="2" t="inlineStr"/>
      <c r="B7" s="3" t="inlineStr">
        <is>
          <t>• B1·FINANCIERO → D&amp;A: único ítem del resumen que se ingresa manualmente</t>
        </is>
      </c>
      <c r="C7" s="36" t="n"/>
    </row>
    <row r="8" ht="28" customHeight="1">
      <c r="A8" s="2" t="inlineStr"/>
      <c r="B8" s="3" t="inlineStr">
        <is>
          <t>• B2·EFICIENCIA → HH, CxC, Caja (todos en S/ Miles o unidades según la sección)</t>
        </is>
      </c>
      <c r="C8" s="36" t="n"/>
    </row>
    <row r="9" ht="28" customHeight="1">
      <c r="A9" s="2" t="inlineStr"/>
      <c r="B9" s="3" t="inlineStr">
        <is>
          <t>• B3·COMERCIAL → Backlog, Pipeline y Nuevas Ventas (S/ Miles)</t>
        </is>
      </c>
      <c r="C9" s="36" t="n"/>
    </row>
    <row r="10" ht="28" customHeight="1">
      <c r="A10" s="2" t="inlineStr"/>
      <c r="B10" s="3" t="inlineStr">
        <is>
          <t>• B4·ESTRATÉGICO → Green Flags, Red Flags, Must Win Battles (texto libre)</t>
        </is>
      </c>
      <c r="C10" s="36" t="n"/>
    </row>
    <row r="11" ht="18" customHeight="1">
      <c r="A11" s="2" t="inlineStr"/>
      <c r="B11" s="3" t="inlineStr"/>
      <c r="C11" s="36" t="n"/>
    </row>
    <row r="12" ht="20" customHeight="1">
      <c r="A12" s="4" t="inlineStr">
        <is>
          <t>PASO 2 – VERIFICAR CÁLCULOS  –  Al ingresar datos reales, el P&amp;L Resumen Ejecutivo (Sec 01 de B1) se actualizará automáticamente.</t>
        </is>
      </c>
      <c r="B12" s="37" t="n"/>
      <c r="C12" s="36" t="n"/>
    </row>
    <row r="13" ht="28" customHeight="1">
      <c r="A13" s="2" t="inlineStr"/>
      <c r="B13" s="3" t="inlineStr">
        <is>
          <t>• Revisar que EBITDA% esté en rango razonable para el sector (referencia: 8–20% para consultoría).</t>
        </is>
      </c>
      <c r="C13" s="36" t="n"/>
    </row>
    <row r="14" ht="28" customHeight="1">
      <c r="A14" s="2" t="inlineStr"/>
      <c r="B14" s="3" t="inlineStr">
        <is>
          <t>• Revisar que DSO (días de cobranza) no supere 60 días. Si es mayor, revisar CxC vencida.</t>
        </is>
      </c>
      <c r="C14" s="36" t="n"/>
    </row>
    <row r="15" ht="18" customHeight="1">
      <c r="A15" s="2" t="inlineStr"/>
      <c r="B15" s="3" t="inlineStr">
        <is>
          <t>• Revisar Tasa de Utilización HH: rango saludable 70–85%.</t>
        </is>
      </c>
      <c r="C15" s="36" t="n"/>
    </row>
    <row r="16" ht="18" customHeight="1">
      <c r="A16" s="2" t="inlineStr"/>
      <c r="B16" s="3" t="inlineStr"/>
      <c r="C16" s="36" t="n"/>
    </row>
    <row r="17" ht="20" customHeight="1">
      <c r="A17" s="4" t="inlineStr">
        <is>
          <t>PASO 3 – ENVIAR AL DIRECTORIO  –  Compartir el archivo .xlsx directamente. El Directorio puede ver todas las hojas.</t>
        </is>
      </c>
      <c r="B17" s="37" t="n"/>
      <c r="C17" s="36" t="n"/>
    </row>
    <row r="18" ht="28" customHeight="1">
      <c r="A18" s="2" t="inlineStr"/>
      <c r="B18" s="3" t="inlineStr">
        <is>
          <t>• Opcionalmente: exportar cada hoja como PDF para presentación formal.</t>
        </is>
      </c>
      <c r="C18" s="36" t="n"/>
    </row>
    <row r="19" ht="18" customHeight="1">
      <c r="A19" s="2" t="inlineStr"/>
      <c r="B19" s="3" t="inlineStr"/>
      <c r="C19" s="36" t="n"/>
    </row>
    <row r="20" ht="20" customHeight="1">
      <c r="A20" s="4" t="inlineStr">
        <is>
          <t>CODIFICACIÓN DE COLOR  –  Texto AZUL sobre fondo BLANCO → Celda de entrada (INPUT). Ingrese el dato aquí.</t>
        </is>
      </c>
      <c r="B20" s="37" t="n"/>
      <c r="C20" s="36" t="n"/>
    </row>
    <row r="21" ht="28" customHeight="1">
      <c r="A21" s="2" t="inlineStr"/>
      <c r="B21" s="3" t="inlineStr">
        <is>
          <t>Texto NEGRO sobre fondo CELESTE → Celda calculada (FÓRMULA). No modifique.</t>
        </is>
      </c>
      <c r="C21" s="36" t="n"/>
    </row>
    <row r="22" ht="28" customHeight="1">
      <c r="A22" s="2" t="inlineStr"/>
      <c r="B22" s="3" t="inlineStr">
        <is>
          <t>Fondo AMARILLO → Columna Presupuesto/Ppto trimestral. Ingrese el presupuesto aquí.</t>
        </is>
      </c>
      <c r="C22" s="36" t="n"/>
    </row>
    <row r="23" ht="28" customHeight="1">
      <c r="A23" s="2" t="inlineStr"/>
      <c r="B23" s="3" t="inlineStr">
        <is>
          <t>Fondo NAVY (azul oscuro) → Encabezado de sección. Solo referencia visual.</t>
        </is>
      </c>
      <c r="C23" s="36" t="n"/>
    </row>
    <row r="24" ht="18" customHeight="1">
      <c r="A24" s="2" t="inlineStr"/>
      <c r="B24" s="3" t="inlineStr"/>
      <c r="C24" s="36" t="n"/>
    </row>
    <row r="25" ht="20" customHeight="1">
      <c r="A25" s="4" t="inlineStr">
        <is>
          <t>ESTRUCTURA DE CÁLCULO B1  –  Ingresos (INPUT) → COGS (INPUT) → Margen Bruto (= Ingresos − COGS, CALCULADO)</t>
        </is>
      </c>
      <c r="B25" s="37" t="n"/>
      <c r="C25" s="36" t="n"/>
    </row>
    <row r="26" ht="18" customHeight="1">
      <c r="A26" s="2" t="inlineStr"/>
      <c r="B26" s="3" t="inlineStr">
        <is>
          <t>GAV (INPUT) → EBITDA (= Margen Bruto − GAV, CALCULADO)</t>
        </is>
      </c>
      <c r="C26" s="36" t="n"/>
    </row>
    <row r="27" ht="18" customHeight="1">
      <c r="A27" s="2" t="inlineStr"/>
      <c r="B27" s="3" t="inlineStr">
        <is>
          <t>D&amp;A (INPUT) → EBIT (= EBITDA − D&amp;A, CALCULADO)</t>
        </is>
      </c>
      <c r="C27" s="36" t="n"/>
    </row>
    <row r="28" ht="28" customHeight="1">
      <c r="A28" s="2" t="inlineStr"/>
      <c r="B28" s="3" t="inlineStr">
        <is>
          <t>TODOS los porcentajes son calculados. Nunca se ingresan porcentajes manualmente.</t>
        </is>
      </c>
      <c r="C28" s="36" t="n"/>
    </row>
    <row r="29" ht="18" customHeight="1">
      <c r="A29" s="2" t="inlineStr"/>
      <c r="B29" s="3" t="inlineStr"/>
      <c r="C29" s="36" t="n"/>
    </row>
    <row r="30" ht="20" customHeight="1">
      <c r="A30" s="4" t="inlineStr">
        <is>
          <t>PERIODICIDAD  –  Este libro cubre Q1 2026 (Ene–Mar). Para Q2, duplicar el archivo y actualizar las fechas.</t>
        </is>
      </c>
      <c r="B30" s="37" t="n"/>
      <c r="C30" s="36" t="n"/>
    </row>
    <row r="31" ht="18" customHeight="1">
      <c r="A31" s="2" t="inlineStr"/>
      <c r="B31" s="3" t="inlineStr"/>
      <c r="C31" s="36" t="n"/>
    </row>
    <row r="32" ht="20" customHeight="1">
      <c r="A32" s="4" t="inlineStr">
        <is>
          <t>SOPORTE  –  Consultas a jhovanny.merino@gmail.com – Consejo Consultivo CMO Group</t>
        </is>
      </c>
      <c r="B32" s="37" t="n"/>
      <c r="C32" s="36" t="n"/>
    </row>
  </sheetData>
  <mergeCells count="32">
    <mergeCell ref="A25:C25"/>
    <mergeCell ref="B16:C16"/>
    <mergeCell ref="B7:C7"/>
    <mergeCell ref="B22:C22"/>
    <mergeCell ref="A3:C3"/>
    <mergeCell ref="B31:C31"/>
    <mergeCell ref="A12:C12"/>
    <mergeCell ref="B27:C27"/>
    <mergeCell ref="B18:C18"/>
    <mergeCell ref="B21:C21"/>
    <mergeCell ref="B2:C2"/>
    <mergeCell ref="B11:C11"/>
    <mergeCell ref="A32:C32"/>
    <mergeCell ref="A17:C17"/>
    <mergeCell ref="B23:C23"/>
    <mergeCell ref="B14:C14"/>
    <mergeCell ref="B8:C8"/>
    <mergeCell ref="A20:C20"/>
    <mergeCell ref="B13:C13"/>
    <mergeCell ref="B29:C29"/>
    <mergeCell ref="B19:C19"/>
    <mergeCell ref="B10:C10"/>
    <mergeCell ref="B28:C28"/>
    <mergeCell ref="A30:C30"/>
    <mergeCell ref="B9:C9"/>
    <mergeCell ref="B6:C6"/>
    <mergeCell ref="B24:C24"/>
    <mergeCell ref="B15:C15"/>
    <mergeCell ref="A1:C1"/>
    <mergeCell ref="B5:C5"/>
    <mergeCell ref="B26:C26"/>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30" customWidth="1" min="3" max="3"/>
    <col width="24" customWidth="1" min="4" max="4"/>
    <col width="20" customWidth="1" min="5" max="5"/>
    <col width="20" customWidth="1" min="6" max="6"/>
    <col width="36" customWidth="1" min="7" max="7"/>
    <col width="13" customWidth="1" min="8" max="8"/>
  </cols>
  <sheetData>
    <row r="1" ht="32" customHeight="1">
      <c r="A1" s="38" t="inlineStr">
        <is>
          <t>CMO GROUP  —  MARCO DE KPIs Y OBJETIVOS DE NEGOCIO  |  Directorio v2</t>
        </is>
      </c>
    </row>
    <row r="2" ht="24" customHeight="1">
      <c r="A2" s="39" t="inlineStr">
        <is>
          <t>Cada KPI tiene un objetivo de negocio claro, un rango aceptable y un umbral de alerta. El Directorio los usa para diagnóstico, no solo para control.</t>
        </is>
      </c>
    </row>
    <row r="3" ht="22" customHeight="1">
      <c r="A3" s="40" t="inlineStr">
        <is>
          <t>#</t>
        </is>
      </c>
      <c r="B3" s="40" t="inlineStr">
        <is>
          <t>KPI / Indicador</t>
        </is>
      </c>
      <c r="C3" s="40" t="inlineStr">
        <is>
          <t>Definicion</t>
        </is>
      </c>
      <c r="D3" s="40" t="inlineStr">
        <is>
          <t>Formula o fuente de dato</t>
        </is>
      </c>
      <c r="E3" s="40" t="inlineStr">
        <is>
          <t>Objetivo (Target)</t>
        </is>
      </c>
      <c r="F3" s="40" t="inlineStr">
        <is>
          <t>Alerta (umbral critico)</t>
        </is>
      </c>
      <c r="G3" s="40" t="inlineStr">
        <is>
          <t>Impacto en el negocio</t>
        </is>
      </c>
      <c r="H3" s="40" t="inlineStr">
        <is>
          <t>Hoja del Libro</t>
        </is>
      </c>
    </row>
    <row r="4" ht="22" customHeight="1">
      <c r="A4" s="41" t="inlineStr">
        <is>
          <t>DIMENSION FINANCIERA   —   Rentabilidad, eficiencia de costos y cumplimiento del presupuesto</t>
        </is>
      </c>
    </row>
    <row r="5" ht="76" customHeight="1">
      <c r="A5" s="42" t="inlineStr">
        <is>
          <t>F-01</t>
        </is>
      </c>
      <c r="B5" s="43" t="inlineStr">
        <is>
          <t>Ingresos Totales</t>
        </is>
      </c>
      <c r="C5" s="44" t="inlineStr">
        <is>
          <t>Valor total de servicios facturados en el periodo por todas las empresas del grupo.</t>
        </is>
      </c>
      <c r="D5" s="44" t="inlineStr">
        <is>
          <t>Suma de Ingresos por Linea de Negocio (SEC 02). Ingresar en S/ Miles.</t>
        </is>
      </c>
      <c r="E5" s="45" t="inlineStr">
        <is>
          <t>Crecimiento ≥ 15% anual vs periodo anterior. Cumplir ≥ 95% del presupuesto trimestral.</t>
        </is>
      </c>
      <c r="F5" s="46" t="inlineStr">
        <is>
          <t>Ejecucion &lt; 90% del presupuesto por 2 trimestres consecutivos.</t>
        </is>
      </c>
      <c r="G5" s="44" t="inlineStr">
        <is>
          <t>Los ingresos son la base de toda la rentabilidad. Una caida del 10% en ingresos impacta directamente el EBITDA en el mismo monto, ya que los costos fijos (GAV) permanecen constantes. Es el KPI de mayor urgencia para el Directorio.</t>
        </is>
      </c>
      <c r="H5" s="47" t="inlineStr">
        <is>
          <t>B1 · SEC 02</t>
        </is>
      </c>
    </row>
    <row r="6" ht="81" customHeight="1">
      <c r="A6" s="42" t="inlineStr">
        <is>
          <t>F-02</t>
        </is>
      </c>
      <c r="B6" s="43" t="inlineStr">
        <is>
          <t>COGS% (Costo de Ventas %)</t>
        </is>
      </c>
      <c r="C6" s="44" t="inlineStr">
        <is>
          <t>Porcentaje de los ingresos consumido por costos directos: mano de obra directa, materiales y subcontratos necesarios para ejecutar los proyectos.</t>
        </is>
      </c>
      <c r="D6" s="44" t="inlineStr">
        <is>
          <t>COGS Total / Ingresos Totales. Calculado automaticamente en SEC 01.</t>
        </is>
      </c>
      <c r="E6" s="45" t="inlineStr">
        <is>
          <t>&lt; 60% de los ingresos. Referencia sector consultoría/diseño: 45-60%.</t>
        </is>
      </c>
      <c r="F6" s="46" t="inlineStr">
        <is>
          <t>&gt; 65% por dos periodos consecutivos indica perdida de eficiencia operativa.</t>
        </is>
      </c>
      <c r="G6" s="44" t="inlineStr">
        <is>
          <t>Cada punto porcentual de reduccion en COGS% = mejora directa en margen bruto. COGS alto puede indicar: exceso de subcontratacion, baja productividad del equipo o precios de venta insuficientes. Es el 'costo variable' mas relevante a controlar.</t>
        </is>
      </c>
      <c r="H6" s="47" t="inlineStr">
        <is>
          <t>B1 · SEC 03/01</t>
        </is>
      </c>
    </row>
    <row r="7" ht="98" customHeight="1">
      <c r="A7" s="42" t="inlineStr">
        <is>
          <t>F-03</t>
        </is>
      </c>
      <c r="B7" s="43" t="inlineStr">
        <is>
          <t>Margen Bruto (GM%)</t>
        </is>
      </c>
      <c r="C7" s="44" t="inlineStr">
        <is>
          <t>Diferencia entre ingresos y costos directos, expresada como porcentaje. Mide cuanto queda despues de cubrir el costo de produccion del servicio.</t>
        </is>
      </c>
      <c r="D7" s="44" t="inlineStr">
        <is>
          <t>(Ingresos - COGS) / Ingresos. Calculado automaticamente en SEC 03b y SEC 01.</t>
        </is>
      </c>
      <c r="E7" s="45" t="inlineStr">
        <is>
          <t>&gt; 40% a nivel de grupo. Por empresa: Consultoría ≥ 42%, Construcción ≥ 35%, Diseño ≥ 42%.</t>
        </is>
      </c>
      <c r="F7" s="46" t="inlineStr">
        <is>
          <t>&lt; 30% implica que el negocio no es viable sin restructuracion de precios o costos.</t>
        </is>
      </c>
      <c r="G7" s="44" t="inlineStr">
        <is>
          <t>El Margen Bruto es el 'motor de rentabilidad': de aquí salen los recursos para pagar la estructura fija (GAV), la inversión y la utilidad. Un GM alto indica diferenciacion de mercado y eficiencia operativa. Un GM bajo exige revision inmediata de precios, mix de proyectos o modelo de ejecucion.</t>
        </is>
      </c>
      <c r="H7" s="47" t="inlineStr">
        <is>
          <t>B1 · SEC 03b</t>
        </is>
      </c>
    </row>
    <row r="8" ht="100" customHeight="1">
      <c r="A8" s="42" t="inlineStr">
        <is>
          <t>F-04</t>
        </is>
      </c>
      <c r="B8" s="43" t="inlineStr">
        <is>
          <t>GAV% (Gastos Adm. y Ventas %)</t>
        </is>
      </c>
      <c r="C8" s="44" t="inlineStr">
        <is>
          <t>Porcentaje de los ingresos consumido por la estructura fija: personal administrativo, alquileres, tecnologia, marketing y otros gastos operativos no directos.</t>
        </is>
      </c>
      <c r="D8" s="44" t="inlineStr">
        <is>
          <t>GAV Total / Ingresos Totales. Calculado automaticamente en SEC 01.</t>
        </is>
      </c>
      <c r="E8" s="45" t="inlineStr">
        <is>
          <t>&lt; 25% de los ingresos. Idealmente 15-20% en periodos de alto volumen.</t>
        </is>
      </c>
      <c r="F8" s="46" t="inlineStr">
        <is>
          <t>&gt; 30% es señal de estructura sobredimensionada para el nivel de ventas actual.</t>
        </is>
      </c>
      <c r="G8" s="44" t="inlineStr">
        <is>
          <t>El GAV es un costo 'fijo': se paga aunque los ingresos bajen. Por eso, controlar el GAV% es critico en periodos de baja facturacion. Un GAV creciente con ingresos estancados comprime el EBITDA rapidamente. El Directorio debe vigilar la proporcion GAV/Ingresos como indicador de eficiencia estructural.</t>
        </is>
      </c>
      <c r="H8" s="47" t="inlineStr">
        <is>
          <t>B1 · SEC 05</t>
        </is>
      </c>
    </row>
    <row r="9" ht="100" customHeight="1">
      <c r="A9" s="42" t="inlineStr">
        <is>
          <t>F-05</t>
        </is>
      </c>
      <c r="B9" s="43" t="inlineStr">
        <is>
          <t>EBITDA%</t>
        </is>
      </c>
      <c r="C9" s="44" t="inlineStr">
        <is>
          <t>Resultado operativo antes de depreciacion y amortizacion. Mide la rentabilidad operativa 'pura' del negocio, independiente de decisiones de financiamiento o contables.</t>
        </is>
      </c>
      <c r="D9" s="44" t="inlineStr">
        <is>
          <t>EBITDA = Margen Bruto − GAV Total. EBITDA% = EBITDA / Ingresos. Calculado en SEC 01.</t>
        </is>
      </c>
      <c r="E9" s="45" t="inlineStr">
        <is>
          <t>&gt; 15% de los ingresos. Referencia sector consultoría/servicios profesionales: 10-25%.</t>
        </is>
      </c>
      <c r="F9" s="46" t="inlineStr">
        <is>
          <t>&lt; 8% por dos trimestres consecutivos requiere plan de accion inmediato del Directorio.</t>
        </is>
      </c>
      <c r="G9" s="44" t="inlineStr">
        <is>
          <t>El EBITDA es el KPI financiero mas importante para el Directorio. Determina: (1) capacidad de reinversion y crecimiento, (2) capacidad de pago de deuda, (3) atractivo para inversores. Un EBITDA% creciente con el tiempo indica escala y eficiencia operativa. Un EBITDA negativo es señal de crisis estructural.</t>
        </is>
      </c>
      <c r="H9" s="47" t="inlineStr">
        <is>
          <t>B1 · SEC 01</t>
        </is>
      </c>
    </row>
    <row r="10" ht="75" customHeight="1">
      <c r="A10" s="42" t="inlineStr">
        <is>
          <t>F-06</t>
        </is>
      </c>
      <c r="B10" s="43" t="inlineStr">
        <is>
          <t>EBIT% (Resultado Operativo)</t>
        </is>
      </c>
      <c r="C10" s="44" t="inlineStr">
        <is>
          <t>EBITDA menos depreciacion y amortizacion (D&amp;A). Refleja el resultado operativo considerando el desgaste real de activos del negocio.</t>
        </is>
      </c>
      <c r="D10" s="44" t="inlineStr">
        <is>
          <t>EBIT = EBITDA − D&amp;A. EBIT% = EBIT / Ingresos. Calculado en SEC 01. D&amp;A es el unico dato manual del resumen.</t>
        </is>
      </c>
      <c r="E10" s="45" t="inlineStr">
        <is>
          <t>&gt; 12% de los ingresos.</t>
        </is>
      </c>
      <c r="F10" s="46" t="inlineStr">
        <is>
          <t>&lt; 5% indica que la estructura de activos esta erosionando la rentabilidad operativa.</t>
        </is>
      </c>
      <c r="G10" s="44" t="inlineStr">
        <is>
          <t>La diferencia entre EBITDA y EBIT es la D&amp;A. Si la D&amp;A es alta, puede indicar inversiones recientes en equipos o activos. El EBIT es la base para calcular impuestos y comparar entre empresas con distintos niveles de inversion.</t>
        </is>
      </c>
      <c r="H10" s="47" t="inlineStr">
        <is>
          <t>B1 · SEC 01</t>
        </is>
      </c>
    </row>
    <row r="11" ht="100" customHeight="1">
      <c r="A11" s="42" t="inlineStr">
        <is>
          <t>F-07</t>
        </is>
      </c>
      <c r="B11" s="43" t="inlineStr">
        <is>
          <t>Varianza vs Presupuesto (Var%)</t>
        </is>
      </c>
      <c r="C11" s="44" t="inlineStr">
        <is>
          <t>Diferencia porcentual entre el resultado real y el presupuesto aprobado. Mide la precision de la planificacion y la ejecucion.</t>
        </is>
      </c>
      <c r="D11" s="44" t="inlineStr">
        <is>
          <t>(Real − Presupuesto) / |Presupuesto|. Calculado automaticamente en col. Var% (J).</t>
        </is>
      </c>
      <c r="E11" s="45" t="inlineStr">
        <is>
          <t>Ingresos: ±5%. Costos: −5% a +10% (gastar menos es OK, gastar mas requiere explicacion).</t>
        </is>
      </c>
      <c r="F11" s="46" t="inlineStr">
        <is>
          <t>Ingresos &lt; −10% o Costos &gt; +15% del presupuesto sin justificacion aprobada.</t>
        </is>
      </c>
      <c r="G11" s="44" t="inlineStr">
        <is>
          <t>La varianza no es mala por si sola — el problema es la varianza sin explicacion. El Directorio necesita que las gerencias expliquen las desviaciones significativas y propongan acciones correctivas. Varianzas recurrentes indican problemas en la metodologia de presupuestacion o en la ejecucion del plan de negocios.</t>
        </is>
      </c>
      <c r="H11" s="47" t="inlineStr">
        <is>
          <t>B1 · col. I y J</t>
        </is>
      </c>
    </row>
    <row r="12" ht="6" customHeight="1">
      <c r="A12" s="48" t="n"/>
      <c r="B12" s="48" t="n"/>
      <c r="C12" s="48" t="n"/>
      <c r="D12" s="48" t="n"/>
      <c r="E12" s="48" t="n"/>
      <c r="F12" s="48" t="n"/>
      <c r="G12" s="48" t="n"/>
      <c r="H12" s="48" t="n"/>
    </row>
    <row r="13" ht="22" customHeight="1">
      <c r="A13" s="49" t="inlineStr">
        <is>
          <t>DIMENSION OPERACIONAL   —   Uso del recurso humano, cobranza y posicion de caja</t>
        </is>
      </c>
    </row>
    <row r="14" ht="100" customHeight="1">
      <c r="A14" s="50" t="inlineStr">
        <is>
          <t>O-01</t>
        </is>
      </c>
      <c r="B14" s="51" t="inlineStr">
        <is>
          <t>Tasa de Utilizacion HH</t>
        </is>
      </c>
      <c r="C14" s="52" t="inlineStr">
        <is>
          <t>Porcentaje de horas del equipo efectivamente facturadas al cliente sobre el total de horas disponibles. Mide la eficiencia del uso del recurso humano.</t>
        </is>
      </c>
      <c r="D14" s="52" t="inlineStr">
        <is>
          <t>HH Facturadas / HH Disponibles. Calculado automaticamente en B2 (SEC 06).</t>
        </is>
      </c>
      <c r="E14" s="53" t="inlineStr">
        <is>
          <t>70-85% de utilizacion. Por debajo: equipo subutilizado. Por encima: riesgo de burnout.</t>
        </is>
      </c>
      <c r="F14" s="54" t="inlineStr">
        <is>
          <t>&lt; 60% por 2 meses = equipo pagado sin generar ingreso. &gt; 90% = riesgo de rotacion y errores.</t>
        </is>
      </c>
      <c r="G14" s="52" t="inlineStr">
        <is>
          <t>La utilizacion de HH conecta directamente el recurso humano con el ingreso. Una baja utilizacion significa que se esta pagando salarios sin generar facturacion equivalente. Una alta utilizacion sostenida puede generar agotamiento y rotacion, que tiene costo de reemplazo de 3-6 meses de salario por persona.</t>
        </is>
      </c>
      <c r="H14" s="55" t="inlineStr">
        <is>
          <t>B2 · SEC 06</t>
        </is>
      </c>
    </row>
    <row r="15" ht="100" customHeight="1">
      <c r="A15" s="50" t="inlineStr">
        <is>
          <t>O-02</t>
        </is>
      </c>
      <c r="B15" s="51" t="inlineStr">
        <is>
          <t>DSO — Dias de Cobranza (Days Sales Outstanding)</t>
        </is>
      </c>
      <c r="C15" s="52" t="inlineStr">
        <is>
          <t>Dias promedio que tarda la empresa en cobrar sus facturas. Mide la eficiencia del proceso de cobranza y la calidad de la cartera de clientes.</t>
        </is>
      </c>
      <c r="D15" s="52" t="inlineStr">
        <is>
          <t>(CxC Total / Ingresos del Periodo) × 90 dias. Calculado en B2 (SEC 07).</t>
        </is>
      </c>
      <c r="E15" s="53" t="inlineStr">
        <is>
          <t>&lt; 45 dias. Objetivo de largo plazo: &lt; 30 dias.</t>
        </is>
      </c>
      <c r="F15" s="54" t="inlineStr">
        <is>
          <t>&gt; 60 dias indica problemas de cobranza o clientes con dificultades financieras.</t>
        </is>
      </c>
      <c r="G15" s="52" t="inlineStr">
        <is>
          <t>Cada 15 dias adicionales de DSO equivale a tener 0.5 meses de ingresos 'atrapados' en cuentas por cobrar. Para una empresa con S/ 1,000 mensuales, un DSO de 60 dias vs 30 dias significa S/ 1,000 adicionales de capital de trabajo inmovilizado. El DSO alto impacta directamente la caja y puede obligar a financiamiento externo costoso.</t>
        </is>
      </c>
      <c r="H15" s="55" t="inlineStr">
        <is>
          <t>B2 · SEC 07</t>
        </is>
      </c>
    </row>
    <row r="16" ht="100" customHeight="1">
      <c r="A16" s="50" t="inlineStr">
        <is>
          <t>O-03</t>
        </is>
      </c>
      <c r="B16" s="51" t="inlineStr">
        <is>
          <t>CxC Vencida &gt; 60 dias (%)</t>
        </is>
      </c>
      <c r="C16" s="52" t="inlineStr">
        <is>
          <t>Porcentaje de la cartera total de cuentas por cobrar que tiene mas de 60 dias de vencida. Indica riesgo de incobrabilidad.</t>
        </is>
      </c>
      <c r="D16" s="52" t="inlineStr">
        <is>
          <t>CxC vencida +60 dias / CxC Total. Calculado en B2 (SEC 07).</t>
        </is>
      </c>
      <c r="E16" s="53" t="inlineStr">
        <is>
          <t>&lt; 10% de la CxC total. Idealmente &lt; 5%.</t>
        </is>
      </c>
      <c r="F16" s="54" t="inlineStr">
        <is>
          <t>&gt; 20% de CxC vencida requiere revision cliente por cliente y provision contable.</t>
        </is>
      </c>
      <c r="G16" s="52" t="inlineStr">
        <is>
          <t>La CxC mayor a 60 dias tiene alta probabilidad de convertirse en deuda incobrable (tipicamente 40-60% de probabilidad segun sector). El Directorio debe exigir un plan de cobranza especifico para cada cuenta vencida significativa. Prevenir es mas efectivo que cobrar: revisar terminos de contratos y anticipos.</t>
        </is>
      </c>
      <c r="H16" s="55" t="inlineStr">
        <is>
          <t>B2 · SEC 07</t>
        </is>
      </c>
    </row>
    <row r="17" ht="100" customHeight="1">
      <c r="A17" s="50" t="inlineStr">
        <is>
          <t>O-04</t>
        </is>
      </c>
      <c r="B17" s="51" t="inlineStr">
        <is>
          <t>Flujo Neto de Caja</t>
        </is>
      </c>
      <c r="C17" s="52" t="inlineStr">
        <is>
          <t>Diferencia entre cobros recibidos y pagos realizados en el periodo. Mide la solvencia operativa real de la empresa.</t>
        </is>
      </c>
      <c r="D17" s="52" t="inlineStr">
        <is>
          <t>Cobros − Pagos operativos − Pagos financieros. Calculado en B2 (SEC 08).</t>
        </is>
      </c>
      <c r="E17" s="53" t="inlineStr">
        <is>
          <t>Positivo cada mes. Saldo final de caja ≥ 1.5× compromisos mensuales promedio.</t>
        </is>
      </c>
      <c r="F17" s="54" t="inlineStr">
        <is>
          <t>Negativo por 2 meses consecutivos = señal de crisis de liquidez inminente.</t>
        </is>
      </c>
      <c r="G17" s="52" t="inlineStr">
        <is>
          <t>El flujo de caja es la 'sangre' del negocio. Una empresa puede ser rentable en el papel (EBITDA positivo) pero quebrar por falta de caja si no cobra a tiempo. El Directorio debe monitorizar el saldo proyectado para los proximos 90 dias y anticipar necesidades de financiamiento antes de que se conviertan en urgencias.</t>
        </is>
      </c>
      <c r="H17" s="55" t="inlineStr">
        <is>
          <t>B2 · SEC 08</t>
        </is>
      </c>
    </row>
    <row r="18" ht="6" customHeight="1">
      <c r="A18" s="48" t="n"/>
      <c r="B18" s="48" t="n"/>
      <c r="C18" s="48" t="n"/>
      <c r="D18" s="48" t="n"/>
      <c r="E18" s="48" t="n"/>
      <c r="F18" s="48" t="n"/>
      <c r="G18" s="48" t="n"/>
      <c r="H18" s="48" t="n"/>
    </row>
    <row r="19" ht="22" customHeight="1">
      <c r="A19" s="56" t="inlineStr">
        <is>
          <t>DIMENSION COMERCIAL   —   Pipeline, Backlog y generacion de nuevos negocios</t>
        </is>
      </c>
    </row>
    <row r="20" ht="100" customHeight="1">
      <c r="A20" s="57" t="inlineStr">
        <is>
          <t>C-01</t>
        </is>
      </c>
      <c r="B20" s="58" t="inlineStr">
        <is>
          <t>Backlog (Cartera en Ejecucion)</t>
        </is>
      </c>
      <c r="C20" s="59" t="inlineStr">
        <is>
          <t>Valor total de contratos firmados que estan en ejecucion y pendientes de facturar. Representa la 'visibilidad de ingresos futuros asegurados'.</t>
        </is>
      </c>
      <c r="D20" s="59" t="inlineStr">
        <is>
          <t>Suma del valor contractual pendiente por empresa. Ingresar en S/ Miles en B3 (SEC 09).</t>
        </is>
      </c>
      <c r="E20" s="60" t="inlineStr">
        <is>
          <t>Backlog ≥ 2× el ingreso mensual promedio (equivale a 2 meses de cobertura asegurada).</t>
        </is>
      </c>
      <c r="F20" s="61" t="inlineStr">
        <is>
          <t>Backlog &lt; 1× ingreso mensual = riesgo de 'valle' de ingresos en los proximos 60 dias.</t>
        </is>
      </c>
      <c r="G20" s="59" t="inlineStr">
        <is>
          <t>El Backlog es el indicador mas predictivo de los ingresos proximos. Si el Backlog es bajo, es probable que los ingresos del siguiente mes sean bajos, independientemente del esfuerzo comercial. El Directorio debe vigilar la tendencia del Backlog: si cae 2 trimestres seguidos, hay un problema estructural de renovacion de contratos o de captacion de nuevos proyectos.</t>
        </is>
      </c>
      <c r="H20" s="62" t="inlineStr">
        <is>
          <t>B3 · SEC 09</t>
        </is>
      </c>
    </row>
    <row r="21" ht="100" customHeight="1">
      <c r="A21" s="57" t="inlineStr">
        <is>
          <t>C-02</t>
        </is>
      </c>
      <c r="B21" s="58" t="inlineStr">
        <is>
          <t>Pipeline Comercial</t>
        </is>
      </c>
      <c r="C21" s="59" t="inlineStr">
        <is>
          <t>Valor estimado de propuestas en negociacion activa, ponderado por probabilidad de cierre. Representa la 'visibilidad de ingresos potenciales futuros'.</t>
        </is>
      </c>
      <c r="D21" s="59" t="inlineStr">
        <is>
          <t>Suma de propuestas por banda de probabilidad (≥50%, ≥70%, ≥90%). Ingresar en B3 (SEC 10).</t>
        </is>
      </c>
      <c r="E21" s="60" t="inlineStr">
        <is>
          <t>Pipeline calificado (≥50%) ≥ 3× el objetivo de ventas del trimestre siguiente.</t>
        </is>
      </c>
      <c r="F21" s="61" t="inlineStr">
        <is>
          <t>Pipeline &lt; 2× objetivo de ventas = señal de alarma comercial para el trimestre proximo.</t>
        </is>
      </c>
      <c r="G21" s="59" t="inlineStr">
        <is>
          <t>El Pipeline es el 'termometro comercial'. Para cerrar S/ 300 en nuevas ventas, se necesita un pipeline de S/ 900 (asumiendo 30% de tasa de cierre). Un pipeline bajo hoy significa ingresos bajos en 2-3 meses. El Directorio debe aprobar acciones comerciales proactivas cuando el pipeline este por debajo del umbral, no esperar a ver los resultados.</t>
        </is>
      </c>
      <c r="H21" s="62" t="inlineStr">
        <is>
          <t>B3 · SEC 10</t>
        </is>
      </c>
    </row>
    <row r="22" ht="100" customHeight="1">
      <c r="A22" s="57" t="inlineStr">
        <is>
          <t>C-03</t>
        </is>
      </c>
      <c r="B22" s="58" t="inlineStr">
        <is>
          <t>Nuevas Ventas (Ingreso Nuevo)</t>
        </is>
      </c>
      <c r="C22" s="59" t="inlineStr">
        <is>
          <t>Valor de nuevos contratos firmados en el periodo, clasificado por fuente (referidos, licitaciones publicas/privadas, iniciativa directa).</t>
        </is>
      </c>
      <c r="D22" s="59" t="inlineStr">
        <is>
          <t>Suma de ventas por fuente de origen. Ingresar en S/ Miles en B3 (SEC 11).</t>
        </is>
      </c>
      <c r="E22" s="60" t="inlineStr">
        <is>
          <t>Nuevas ventas ≥ 20-30% de los ingresos del periodo (reposicion y crecimiento).</t>
        </is>
      </c>
      <c r="F22" s="61" t="inlineStr">
        <is>
          <t>Nuevas ventas &lt; 15% de los ingresos implica que el portfolio no se esta renovando.</t>
        </is>
      </c>
      <c r="G22" s="59" t="inlineStr">
        <is>
          <t>Si el negocio no genera ventas nuevas equivalentes al 20-30% de sus ingresos, esta 'consumiendo' el Backlog sin reponerlo. A mediano plazo esto produce una caida de ingresos. El mix por fuente es igual de importante: dependencia &gt; 60% de una sola fuente (licitaciones, un cliente) = riesgo de concentracion.</t>
        </is>
      </c>
      <c r="H22" s="62" t="inlineStr">
        <is>
          <t>B3 · SEC 11</t>
        </is>
      </c>
    </row>
    <row r="23" ht="99" customHeight="1">
      <c r="A23" s="57" t="inlineStr">
        <is>
          <t>C-04</t>
        </is>
      </c>
      <c r="B23" s="58" t="inlineStr">
        <is>
          <t>Mix de Ingresos por Empresa (%)</t>
        </is>
      </c>
      <c r="C23" s="59" t="inlineStr">
        <is>
          <t>Participacion porcentual de cada empresa del grupo (Integral, Americana, Medarq) en los ingresos totales del periodo.</t>
        </is>
      </c>
      <c r="D23" s="59" t="inlineStr">
        <is>
          <t>Ingresos LN / Total Ingresos. Calculado automaticamente en B1 (SEC 02, col. %).</t>
        </is>
      </c>
      <c r="E23" s="60" t="inlineStr">
        <is>
          <t>Ninguna empresa debe superar el 60% del total (diversificacion de riesgo).</t>
        </is>
      </c>
      <c r="F23" s="61" t="inlineStr">
        <is>
          <t>&gt; 65% concentrado en una empresa: el grupo depende excesivamente de un solo negocio.</t>
        </is>
      </c>
      <c r="G23" s="59" t="inlineStr">
        <is>
          <t>La diversificacion del grupo es una fortaleza estrategica. Si una empresa enfrenta una crisis de mercado (recesion sectorial, competencia, regulacion), las otras compensan. El Directorio debe evaluar activamente el rebalanceo del portafolio si el mix se concentra demasiado en una empresa o sector.</t>
        </is>
      </c>
      <c r="H23" s="62" t="inlineStr">
        <is>
          <t>B1 · SEC 02 col. G</t>
        </is>
      </c>
    </row>
    <row r="24" ht="6" customHeight="1">
      <c r="A24" s="48" t="n"/>
      <c r="B24" s="48" t="n"/>
      <c r="C24" s="48" t="n"/>
      <c r="D24" s="48" t="n"/>
      <c r="E24" s="48" t="n"/>
      <c r="F24" s="48" t="n"/>
      <c r="G24" s="48" t="n"/>
      <c r="H24" s="48" t="n"/>
    </row>
    <row r="25" ht="22" customHeight="1">
      <c r="A25" s="63" t="inlineStr">
        <is>
          <t>DIMENSION ESTRATEGICA   —   Prioridades, riesgos y avances de gestion no numericos</t>
        </is>
      </c>
    </row>
    <row r="26" ht="100" customHeight="1">
      <c r="A26" s="64" t="inlineStr">
        <is>
          <t>E-01</t>
        </is>
      </c>
      <c r="B26" s="65" t="inlineStr">
        <is>
          <t>Green Flags (Avances Destacados)</t>
        </is>
      </c>
      <c r="C26" s="66" t="inlineStr">
        <is>
          <t>Logros cualitativos del periodo que merecen reconocimiento o que generan valor estrategico no capturado en los KPIs numericos.</t>
        </is>
      </c>
      <c r="D26" s="66" t="inlineStr">
        <is>
          <t>Texto libre. Identificar 2-3 avances concretos por periodo. Ingresar en B4 (SEC 12).</t>
        </is>
      </c>
      <c r="E26" s="67" t="inlineStr">
        <is>
          <t>Minimo 2 Green Flags sustanciales por periodo (no triviales).</t>
        </is>
      </c>
      <c r="F26" s="68" t="inlineStr">
        <is>
          <t>Zero Green Flags por 2 periodos: el equipo puede estar en modo 'apaga incendios'.</t>
        </is>
      </c>
      <c r="G26" s="66" t="inlineStr">
        <is>
          <t>Los Green Flags permiten al Directorio reconocer logros de gestion que los numeros no reflejan: nuevas alianzas, mejoras de proceso, desarrollo de equipo, propuestas ganadoras aun no facturadas. Son fundamentales para el clima organizacional y para que la gerencia sepa que el Directorio ve su trabajo.</t>
        </is>
      </c>
      <c r="H26" s="69" t="inlineStr">
        <is>
          <t>B4 · SEC 12</t>
        </is>
      </c>
    </row>
    <row r="27" ht="100" customHeight="1">
      <c r="A27" s="64" t="inlineStr">
        <is>
          <t>E-02</t>
        </is>
      </c>
      <c r="B27" s="65" t="inlineStr">
        <is>
          <t>Red Flags (Alertas y Riesgos)</t>
        </is>
      </c>
      <c r="C27" s="66" t="inlineStr">
        <is>
          <t>Situaciones que requieren atencion o decision del Directorio: riesgos, problemas en gestion, conflictos, cambios de mercado adversos.</t>
        </is>
      </c>
      <c r="D27" s="66" t="inlineStr">
        <is>
          <t>Texto libre. Identificar con claridad el problema, su magnitud y el apoyo requerido. Ingresar en B4 (SEC 13).</t>
        </is>
      </c>
      <c r="E27" s="67" t="inlineStr">
        <is>
          <t>Transparencia total. Mejor identificar el riesgo temprano que tarde.</t>
        </is>
      </c>
      <c r="F27" s="68" t="inlineStr">
        <is>
          <t>&gt; 3 Red Flags criticos simultaneos indica crisis de gestion que requiere intervencion.</t>
        </is>
      </c>
      <c r="G27" s="66" t="inlineStr">
        <is>
          <t>Los Red Flags son el mecanismo de 'escalamiento honesto' de la gerencia al Directorio. Una cultura donde no se reportan Red Flags es mas peligrosa que los problemas mismos. El Directorio debe crear un ambiente donde la gerencia se sienta segura de reportar problemas sin temor a consecuencias desproporcionadas.</t>
        </is>
      </c>
      <c r="H27" s="69" t="inlineStr">
        <is>
          <t>B4 · SEC 13</t>
        </is>
      </c>
    </row>
    <row r="28" ht="100" customHeight="1">
      <c r="A28" s="64" t="inlineStr">
        <is>
          <t>E-03</t>
        </is>
      </c>
      <c r="B28" s="65" t="inlineStr">
        <is>
          <t>Must Win Battles (Prioridades Estrategicas)</t>
        </is>
      </c>
      <c r="C28" s="66" t="inlineStr">
        <is>
          <t>Las 3-4 iniciativas o decisiones criticas del trimestre donde el equipo gerencial se compromete a lograr resultados concretos y medibles.</t>
        </is>
      </c>
      <c r="D28" s="66" t="inlineStr">
        <is>
          <t>Texto libre con responsable y fecha. Revisar avance en cada sesion. Ingresar en B4 (SEC 14).</t>
        </is>
      </c>
      <c r="E28" s="67" t="inlineStr">
        <is>
          <t>Avance medible en ≥ 3 de 4 prioridades al cierre del trimestre.</t>
        </is>
      </c>
      <c r="F28" s="68" t="inlineStr">
        <is>
          <t>0-1 Must Win Battle cumplida en el trimestre = señal de problemas de ejecucion.</t>
        </is>
      </c>
      <c r="G28" s="66" t="inlineStr">
        <is>
          <t>Las Must Win Battles alinean al equipo gerencial con las prioridades del Directorio y evitan la 'dispersion estrategica' (muchas iniciativas, ninguna con resultados). Deben ser especificas (que se va a lograr), temporales (cuando), y con responsable claro. El Directorio aprueba las MWB al inicio del trimestre y evalua su cumplimiento al cierre. Son el principal mecanismo de rendicion de cuentas estrategica.</t>
        </is>
      </c>
      <c r="H28" s="69" t="inlineStr">
        <is>
          <t>B4 · SEC 14</t>
        </is>
      </c>
    </row>
    <row r="29" ht="6" customHeight="1"/>
    <row r="30" ht="24" customHeight="1">
      <c r="A30" s="70" t="inlineStr">
        <is>
          <t>NOTA METODOLOGICA:  Los rangos objetivo y alertas son referencias del sector de servicios profesionales y consultoría en Perú / Latinoamérica. Deben ajustarse a los presupuestos aprobados y al plan estratégico de CMO Group cada año.</t>
        </is>
      </c>
    </row>
  </sheetData>
  <mergeCells count="7">
    <mergeCell ref="A4:H4"/>
    <mergeCell ref="A30:H30"/>
    <mergeCell ref="A25:H25"/>
    <mergeCell ref="A2:H2"/>
    <mergeCell ref="A19:H19"/>
    <mergeCell ref="A13:H1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13" customWidth="1" min="3" max="3"/>
    <col width="13" customWidth="1" min="4" max="4"/>
    <col width="13" customWidth="1" min="5" max="5"/>
    <col width="14" customWidth="1" min="6" max="6"/>
    <col width="10" customWidth="1" min="7" max="7"/>
    <col width="14" customWidth="1" min="8" max="8"/>
    <col width="13" customWidth="1" min="9" max="9"/>
    <col width="10" customWidth="1" min="10" max="10"/>
  </cols>
  <sheetData>
    <row r="1" ht="30" customHeight="1">
      <c r="A1" s="5" t="inlineStr">
        <is>
          <t>CMO GROUP – LIBRO DE DATOS DIRECTORIO v2</t>
        </is>
      </c>
    </row>
    <row r="2" ht="18" customHeight="1">
      <c r="A2" s="6" t="inlineStr">
        <is>
          <t>B1 · FINANCIERO  |  Período: Q1 2026 (Ene–Mar)  |  Moneda: S/ Miles</t>
        </is>
      </c>
    </row>
    <row r="3" ht="22" customHeight="1">
      <c r="A3" s="7" t="inlineStr">
        <is>
          <t>Cód</t>
        </is>
      </c>
      <c r="B3" s="7" t="inlineStr">
        <is>
          <t>Descripción</t>
        </is>
      </c>
      <c r="C3" s="7" t="inlineStr">
        <is>
          <t>Ene Real</t>
        </is>
      </c>
      <c r="D3" s="7" t="inlineStr">
        <is>
          <t>Feb Real</t>
        </is>
      </c>
      <c r="E3" s="7" t="inlineStr">
        <is>
          <t>Mar Real</t>
        </is>
      </c>
      <c r="F3" s="7" t="inlineStr">
        <is>
          <t>Q Real</t>
        </is>
      </c>
      <c r="G3" s="7" t="inlineStr">
        <is>
          <t>%</t>
        </is>
      </c>
      <c r="H3" s="7" t="inlineStr">
        <is>
          <t>Q Ppto</t>
        </is>
      </c>
      <c r="I3" s="7" t="inlineStr">
        <is>
          <t>Var S/M</t>
        </is>
      </c>
      <c r="J3" s="7" t="inlineStr">
        <is>
          <t>Var %</t>
        </is>
      </c>
    </row>
    <row r="4" ht="4" customHeight="1">
      <c r="A4" s="8" t="n"/>
      <c r="B4" s="8" t="n"/>
      <c r="C4" s="8" t="n"/>
      <c r="D4" s="8" t="n"/>
      <c r="E4" s="8" t="n"/>
      <c r="F4" s="8" t="n"/>
      <c r="G4" s="8" t="n"/>
      <c r="H4" s="8" t="n"/>
      <c r="I4" s="8" t="n"/>
      <c r="J4" s="8" t="n"/>
    </row>
    <row r="5" ht="18" customHeight="1">
      <c r="A5" s="9" t="inlineStr">
        <is>
          <t>SEC 01 · P&amp;L RESUMEN EJECUTIVO   [ Calculado automáticamente desde Secs 02, 03, 05 ]</t>
        </is>
      </c>
    </row>
    <row r="6">
      <c r="A6" s="10" t="inlineStr">
        <is>
          <t>01.1</t>
        </is>
      </c>
      <c r="B6" s="11" t="inlineStr">
        <is>
          <t>INGRESOS TOTALES</t>
        </is>
      </c>
      <c r="C6" s="12">
        <f>C19</f>
        <v/>
      </c>
      <c r="D6" s="12">
        <f>D19</f>
        <v/>
      </c>
      <c r="E6" s="12">
        <f>E19</f>
        <v/>
      </c>
      <c r="F6" s="12">
        <f>SUM(C6:E6)</f>
        <v/>
      </c>
      <c r="G6" s="13" t="inlineStr"/>
      <c r="H6" s="14">
        <f>H19</f>
        <v/>
      </c>
      <c r="I6" s="12">
        <f>F6-H6</f>
        <v/>
      </c>
      <c r="J6" s="13">
        <f>IFERROR(I6/ABS(H6),0)</f>
        <v/>
      </c>
    </row>
    <row r="7">
      <c r="A7" s="15" t="inlineStr">
        <is>
          <t>01.2</t>
        </is>
      </c>
      <c r="B7" s="16" t="inlineStr">
        <is>
          <t>(-) Costos de Venta (COGS)</t>
        </is>
      </c>
      <c r="C7" s="17">
        <f>C26</f>
        <v/>
      </c>
      <c r="D7" s="17">
        <f>D26</f>
        <v/>
      </c>
      <c r="E7" s="17">
        <f>E26</f>
        <v/>
      </c>
      <c r="F7" s="17">
        <f>SUM(C7:E7)</f>
        <v/>
      </c>
      <c r="G7" s="18">
        <f>IFERROR(F7/F6,0)</f>
        <v/>
      </c>
      <c r="H7" s="19">
        <f>H26</f>
        <v/>
      </c>
      <c r="I7" s="17">
        <f>F7-H7</f>
        <v/>
      </c>
      <c r="J7" s="18">
        <f>IFERROR(I7/ABS(H7),0)</f>
        <v/>
      </c>
    </row>
    <row r="8">
      <c r="A8" s="10" t="inlineStr">
        <is>
          <t>01.3</t>
        </is>
      </c>
      <c r="B8" s="11" t="inlineStr">
        <is>
          <t>MARGEN BRUTO</t>
        </is>
      </c>
      <c r="C8" s="12">
        <f>C6-C7</f>
        <v/>
      </c>
      <c r="D8" s="12">
        <f>D6-D7</f>
        <v/>
      </c>
      <c r="E8" s="12">
        <f>E6-E7</f>
        <v/>
      </c>
      <c r="F8" s="12">
        <f>SUM(C8:E8)</f>
        <v/>
      </c>
      <c r="G8" s="13">
        <f>IFERROR(F8/F6,0)</f>
        <v/>
      </c>
      <c r="H8" s="14">
        <f>H6-H7</f>
        <v/>
      </c>
      <c r="I8" s="12">
        <f>F8-H8</f>
        <v/>
      </c>
      <c r="J8" s="13">
        <f>IFERROR(I8/ABS(H8),0)</f>
        <v/>
      </c>
    </row>
    <row r="9">
      <c r="A9" s="15" t="inlineStr">
        <is>
          <t>01.4</t>
        </is>
      </c>
      <c r="B9" s="16" t="inlineStr">
        <is>
          <t>(-) GAV Total</t>
        </is>
      </c>
      <c r="C9" s="17">
        <f>C41</f>
        <v/>
      </c>
      <c r="D9" s="17">
        <f>D41</f>
        <v/>
      </c>
      <c r="E9" s="17">
        <f>E41</f>
        <v/>
      </c>
      <c r="F9" s="17">
        <f>SUM(C9:E9)</f>
        <v/>
      </c>
      <c r="G9" s="18">
        <f>IFERROR(F9/F6,0)</f>
        <v/>
      </c>
      <c r="H9" s="19">
        <f>H41</f>
        <v/>
      </c>
      <c r="I9" s="17">
        <f>F9-H9</f>
        <v/>
      </c>
      <c r="J9" s="18">
        <f>IFERROR(I9/ABS(H9),0)</f>
        <v/>
      </c>
    </row>
    <row r="10">
      <c r="A10" s="10" t="inlineStr">
        <is>
          <t>01.5</t>
        </is>
      </c>
      <c r="B10" s="11" t="inlineStr">
        <is>
          <t>EBITDA</t>
        </is>
      </c>
      <c r="C10" s="12">
        <f>C8-C9</f>
        <v/>
      </c>
      <c r="D10" s="12">
        <f>D8-D9</f>
        <v/>
      </c>
      <c r="E10" s="12">
        <f>E8-E9</f>
        <v/>
      </c>
      <c r="F10" s="12">
        <f>SUM(C10:E10)</f>
        <v/>
      </c>
      <c r="G10" s="13">
        <f>IFERROR(F10/F6,0)</f>
        <v/>
      </c>
      <c r="H10" s="14">
        <f>H8-H9</f>
        <v/>
      </c>
      <c r="I10" s="12">
        <f>F10-H10</f>
        <v/>
      </c>
      <c r="J10" s="13">
        <f>IFERROR(I10/ABS(H10),0)</f>
        <v/>
      </c>
    </row>
    <row r="11">
      <c r="A11" s="20" t="inlineStr">
        <is>
          <t>01.6</t>
        </is>
      </c>
      <c r="B11" s="21" t="inlineStr">
        <is>
          <t>(-) Depreciación &amp; Amortización</t>
        </is>
      </c>
      <c r="C11" s="22" t="n">
        <v>0</v>
      </c>
      <c r="D11" s="22" t="n">
        <v>0</v>
      </c>
      <c r="E11" s="22" t="n">
        <v>0</v>
      </c>
      <c r="F11" s="17">
        <f>SUM(C11:E11)</f>
        <v/>
      </c>
      <c r="G11" s="23" t="inlineStr"/>
      <c r="H11" s="24" t="n">
        <v>0</v>
      </c>
      <c r="I11" s="17">
        <f>F11-H11</f>
        <v/>
      </c>
      <c r="J11" s="18">
        <f>IFERROR(I11/ABS(H11),0)</f>
        <v/>
      </c>
    </row>
    <row r="12">
      <c r="A12" s="10" t="inlineStr">
        <is>
          <t>01.7</t>
        </is>
      </c>
      <c r="B12" s="11" t="inlineStr">
        <is>
          <t>EBIT (Resultado Operativo)</t>
        </is>
      </c>
      <c r="C12" s="12">
        <f>C10-C11</f>
        <v/>
      </c>
      <c r="D12" s="12">
        <f>D10-D11</f>
        <v/>
      </c>
      <c r="E12" s="12">
        <f>E10-E11</f>
        <v/>
      </c>
      <c r="F12" s="12">
        <f>SUM(C12:E12)</f>
        <v/>
      </c>
      <c r="G12" s="13">
        <f>IFERROR(F12/F6,0)</f>
        <v/>
      </c>
      <c r="H12" s="14">
        <f>H10-H11</f>
        <v/>
      </c>
      <c r="I12" s="12">
        <f>F12-H12</f>
        <v/>
      </c>
      <c r="J12" s="13">
        <f>IFERROR(I12/ABS(H12),0)</f>
        <v/>
      </c>
    </row>
    <row r="13" ht="6" customHeight="1">
      <c r="A13" s="8" t="n"/>
      <c r="B13" s="8" t="n"/>
      <c r="C13" s="8" t="n"/>
      <c r="D13" s="8" t="n"/>
      <c r="E13" s="8" t="n"/>
      <c r="F13" s="8" t="n"/>
      <c r="G13" s="8" t="n"/>
      <c r="H13" s="8" t="n"/>
      <c r="I13" s="8" t="n"/>
      <c r="J13" s="8" t="n"/>
    </row>
    <row r="14" ht="18" customHeight="1">
      <c r="A14" s="9" t="inlineStr">
        <is>
          <t>SEC 02 · INGRESOS POR LÍNEA DE NEGOCIO   [ Entrada manual: S/ Miles ]</t>
        </is>
      </c>
    </row>
    <row r="15">
      <c r="A15" s="20" t="inlineStr">
        <is>
          <t>02.1</t>
        </is>
      </c>
      <c r="B15" s="21" t="inlineStr">
        <is>
          <t>Consultoría &amp; Proyectos (Integral)</t>
        </is>
      </c>
      <c r="C15" s="22" t="n">
        <v>0</v>
      </c>
      <c r="D15" s="22" t="n">
        <v>0</v>
      </c>
      <c r="E15" s="22" t="n">
        <v>0</v>
      </c>
      <c r="F15" s="17">
        <f>SUM(C15:E15)</f>
        <v/>
      </c>
      <c r="G15" s="18">
        <f>IFERROR(F15/SUM(F15:F18),0)</f>
        <v/>
      </c>
      <c r="H15" s="24" t="n">
        <v>0</v>
      </c>
      <c r="I15" s="17">
        <f>F15-H15</f>
        <v/>
      </c>
      <c r="J15" s="18">
        <f>IFERROR(I15/ABS(H15),0)</f>
        <v/>
      </c>
    </row>
    <row r="16">
      <c r="A16" s="20" t="inlineStr">
        <is>
          <t>02.2</t>
        </is>
      </c>
      <c r="B16" s="21" t="inlineStr">
        <is>
          <t>Construcción &amp; Obras (Americana)</t>
        </is>
      </c>
      <c r="C16" s="22" t="n">
        <v>0</v>
      </c>
      <c r="D16" s="22" t="n">
        <v>0</v>
      </c>
      <c r="E16" s="22" t="n">
        <v>0</v>
      </c>
      <c r="F16" s="17">
        <f>SUM(C16:E16)</f>
        <v/>
      </c>
      <c r="G16" s="18">
        <f>IFERROR(F16/SUM(F15:F18),0)</f>
        <v/>
      </c>
      <c r="H16" s="24" t="n">
        <v>0</v>
      </c>
      <c r="I16" s="17">
        <f>F16-H16</f>
        <v/>
      </c>
      <c r="J16" s="18">
        <f>IFERROR(I16/ABS(H16),0)</f>
        <v/>
      </c>
    </row>
    <row r="17">
      <c r="A17" s="20" t="inlineStr">
        <is>
          <t>02.3</t>
        </is>
      </c>
      <c r="B17" s="21" t="inlineStr">
        <is>
          <t>Diseño &amp; Arquitectura (Medarq)</t>
        </is>
      </c>
      <c r="C17" s="22" t="n">
        <v>0</v>
      </c>
      <c r="D17" s="22" t="n">
        <v>0</v>
      </c>
      <c r="E17" s="22" t="n">
        <v>0</v>
      </c>
      <c r="F17" s="17">
        <f>SUM(C17:E17)</f>
        <v/>
      </c>
      <c r="G17" s="18">
        <f>IFERROR(F17/SUM(F15:F18),0)</f>
        <v/>
      </c>
      <c r="H17" s="24" t="n">
        <v>0</v>
      </c>
      <c r="I17" s="17">
        <f>F17-H17</f>
        <v/>
      </c>
      <c r="J17" s="18">
        <f>IFERROR(I17/ABS(H17),0)</f>
        <v/>
      </c>
    </row>
    <row r="18">
      <c r="A18" s="20" t="inlineStr">
        <is>
          <t>02.4</t>
        </is>
      </c>
      <c r="B18" s="21" t="inlineStr">
        <is>
          <t>Otras LN / Negocios Nuevos</t>
        </is>
      </c>
      <c r="C18" s="22" t="n">
        <v>0</v>
      </c>
      <c r="D18" s="22" t="n">
        <v>0</v>
      </c>
      <c r="E18" s="22" t="n">
        <v>0</v>
      </c>
      <c r="F18" s="17">
        <f>SUM(C18:E18)</f>
        <v/>
      </c>
      <c r="G18" s="18">
        <f>IFERROR(F18/SUM(F15:F18),0)</f>
        <v/>
      </c>
      <c r="H18" s="24" t="n">
        <v>0</v>
      </c>
      <c r="I18" s="17">
        <f>F18-H18</f>
        <v/>
      </c>
      <c r="J18" s="18">
        <f>IFERROR(I18/ABS(H18),0)</f>
        <v/>
      </c>
    </row>
    <row r="19">
      <c r="A19" s="10" t="inlineStr">
        <is>
          <t>02.T</t>
        </is>
      </c>
      <c r="B19" s="11" t="inlineStr">
        <is>
          <t>TOTAL INGRESOS</t>
        </is>
      </c>
      <c r="C19" s="12">
        <f>SUM(C15:C18)</f>
        <v/>
      </c>
      <c r="D19" s="12">
        <f>SUM(D15:D18)</f>
        <v/>
      </c>
      <c r="E19" s="12">
        <f>SUM(E15:E18)</f>
        <v/>
      </c>
      <c r="F19" s="12">
        <f>SUM(F15:F18)</f>
        <v/>
      </c>
      <c r="G19" s="13" t="inlineStr">
        <is>
          <t>1</t>
        </is>
      </c>
      <c r="H19" s="14">
        <f>SUM(H15:H18)</f>
        <v/>
      </c>
      <c r="I19" s="12">
        <f>F19-H19</f>
        <v/>
      </c>
      <c r="J19" s="13">
        <f>IFERROR(I19/ABS(H19),0)</f>
        <v/>
      </c>
    </row>
    <row r="20" ht="6" customHeight="1">
      <c r="A20" s="8" t="n"/>
      <c r="B20" s="8" t="n"/>
      <c r="C20" s="8" t="n"/>
      <c r="D20" s="8" t="n"/>
      <c r="E20" s="8" t="n"/>
      <c r="F20" s="8" t="n"/>
      <c r="G20" s="8" t="n"/>
      <c r="H20" s="8" t="n"/>
      <c r="I20" s="8" t="n"/>
      <c r="J20" s="8" t="n"/>
    </row>
    <row r="21" ht="18" customHeight="1">
      <c r="A21" s="9" t="inlineStr">
        <is>
          <t>SEC 03 · COSTOS DE VENTA (COGS) POR LÍNEA DE NEGOCIO   [ Entrada manual: S/ Miles ]</t>
        </is>
      </c>
    </row>
    <row r="22">
      <c r="A22" s="20" t="inlineStr">
        <is>
          <t>03.1</t>
        </is>
      </c>
      <c r="B22" s="21" t="inlineStr">
        <is>
          <t>COGS – Consultoría &amp; Proyectos</t>
        </is>
      </c>
      <c r="C22" s="22" t="n">
        <v>0</v>
      </c>
      <c r="D22" s="22" t="n">
        <v>0</v>
      </c>
      <c r="E22" s="22" t="n">
        <v>0</v>
      </c>
      <c r="F22" s="17">
        <f>SUM(C22:E22)</f>
        <v/>
      </c>
      <c r="G22" s="18">
        <f>IFERROR(F22/F15,0)</f>
        <v/>
      </c>
      <c r="H22" s="24" t="n">
        <v>0</v>
      </c>
      <c r="I22" s="17">
        <f>F22-H22</f>
        <v/>
      </c>
      <c r="J22" s="18">
        <f>IFERROR(I22/ABS(H22),0)</f>
        <v/>
      </c>
    </row>
    <row r="23">
      <c r="A23" s="20" t="inlineStr">
        <is>
          <t>03.2</t>
        </is>
      </c>
      <c r="B23" s="21" t="inlineStr">
        <is>
          <t>COGS – Construcción &amp; Obras</t>
        </is>
      </c>
      <c r="C23" s="22" t="n">
        <v>0</v>
      </c>
      <c r="D23" s="22" t="n">
        <v>0</v>
      </c>
      <c r="E23" s="22" t="n">
        <v>0</v>
      </c>
      <c r="F23" s="17">
        <f>SUM(C23:E23)</f>
        <v/>
      </c>
      <c r="G23" s="18">
        <f>IFERROR(F23/F16,0)</f>
        <v/>
      </c>
      <c r="H23" s="24" t="n">
        <v>0</v>
      </c>
      <c r="I23" s="17">
        <f>F23-H23</f>
        <v/>
      </c>
      <c r="J23" s="18">
        <f>IFERROR(I23/ABS(H23),0)</f>
        <v/>
      </c>
    </row>
    <row r="24">
      <c r="A24" s="20" t="inlineStr">
        <is>
          <t>03.3</t>
        </is>
      </c>
      <c r="B24" s="21" t="inlineStr">
        <is>
          <t>COGS – Diseño &amp; Arquitectura</t>
        </is>
      </c>
      <c r="C24" s="22" t="n">
        <v>0</v>
      </c>
      <c r="D24" s="22" t="n">
        <v>0</v>
      </c>
      <c r="E24" s="22" t="n">
        <v>0</v>
      </c>
      <c r="F24" s="17">
        <f>SUM(C24:E24)</f>
        <v/>
      </c>
      <c r="G24" s="18">
        <f>IFERROR(F24/F17,0)</f>
        <v/>
      </c>
      <c r="H24" s="24" t="n">
        <v>0</v>
      </c>
      <c r="I24" s="17">
        <f>F24-H24</f>
        <v/>
      </c>
      <c r="J24" s="18">
        <f>IFERROR(I24/ABS(H24),0)</f>
        <v/>
      </c>
    </row>
    <row r="25">
      <c r="A25" s="20" t="inlineStr">
        <is>
          <t>03.4</t>
        </is>
      </c>
      <c r="B25" s="21" t="inlineStr">
        <is>
          <t>COGS – Otras LN</t>
        </is>
      </c>
      <c r="C25" s="22" t="n">
        <v>0</v>
      </c>
      <c r="D25" s="22" t="n">
        <v>0</v>
      </c>
      <c r="E25" s="22" t="n">
        <v>0</v>
      </c>
      <c r="F25" s="17">
        <f>SUM(C25:E25)</f>
        <v/>
      </c>
      <c r="G25" s="18">
        <f>IFERROR(F25/F18,0)</f>
        <v/>
      </c>
      <c r="H25" s="24" t="n">
        <v>0</v>
      </c>
      <c r="I25" s="17">
        <f>F25-H25</f>
        <v/>
      </c>
      <c r="J25" s="18">
        <f>IFERROR(I25/ABS(H25),0)</f>
        <v/>
      </c>
    </row>
    <row r="26">
      <c r="A26" s="10" t="inlineStr">
        <is>
          <t>03.T</t>
        </is>
      </c>
      <c r="B26" s="11" t="inlineStr">
        <is>
          <t>TOTAL COSTOS DE VENTA (COGS)</t>
        </is>
      </c>
      <c r="C26" s="12">
        <f>SUM(C22:C25)</f>
        <v/>
      </c>
      <c r="D26" s="12">
        <f>SUM(D22:D25)</f>
        <v/>
      </c>
      <c r="E26" s="12">
        <f>SUM(E22:E25)</f>
        <v/>
      </c>
      <c r="F26" s="12">
        <f>SUM(F22:F25)</f>
        <v/>
      </c>
      <c r="G26" s="13">
        <f>IFERROR(F26/F19,0)</f>
        <v/>
      </c>
      <c r="H26" s="14">
        <f>SUM(H22:H25)</f>
        <v/>
      </c>
      <c r="I26" s="12">
        <f>F26-H26</f>
        <v/>
      </c>
      <c r="J26" s="13">
        <f>IFERROR(I26/ABS(H26),0)</f>
        <v/>
      </c>
    </row>
    <row r="27" ht="6" customHeight="1">
      <c r="A27" s="8" t="n"/>
      <c r="B27" s="8" t="n"/>
      <c r="C27" s="8" t="n"/>
      <c r="D27" s="8" t="n"/>
      <c r="E27" s="8" t="n"/>
      <c r="F27" s="8" t="n"/>
      <c r="G27" s="8" t="n"/>
      <c r="H27" s="8" t="n"/>
      <c r="I27" s="8" t="n"/>
      <c r="J27" s="8" t="n"/>
    </row>
    <row r="28" ht="18" customHeight="1">
      <c r="A28" s="9" t="inlineStr">
        <is>
          <t>SEC 03b · MARGEN BRUTO POR LÍNEA DE NEGOCIO   [ Calculado: Ingresos – COGS ]</t>
        </is>
      </c>
    </row>
    <row r="29">
      <c r="A29" s="15" t="inlineStr">
        <is>
          <t>3b.1</t>
        </is>
      </c>
      <c r="B29" s="16" t="inlineStr">
        <is>
          <t>Margen Bruto – Consultoría &amp; Proyectos</t>
        </is>
      </c>
      <c r="C29" s="17">
        <f>C15-C22</f>
        <v/>
      </c>
      <c r="D29" s="17">
        <f>D15-D22</f>
        <v/>
      </c>
      <c r="E29" s="17">
        <f>E15-E22</f>
        <v/>
      </c>
      <c r="F29" s="17">
        <f>SUM(C29:E29)</f>
        <v/>
      </c>
      <c r="G29" s="18">
        <f>IFERROR(F29/F15,0)</f>
        <v/>
      </c>
      <c r="H29" s="19">
        <f>H15-H22</f>
        <v/>
      </c>
      <c r="I29" s="17">
        <f>F29-H29</f>
        <v/>
      </c>
      <c r="J29" s="18">
        <f>IFERROR(I29/ABS(H29),0)</f>
        <v/>
      </c>
    </row>
    <row r="30">
      <c r="A30" s="15" t="inlineStr">
        <is>
          <t>3b.2</t>
        </is>
      </c>
      <c r="B30" s="16" t="inlineStr">
        <is>
          <t>Margen Bruto – Construcción &amp; Obras</t>
        </is>
      </c>
      <c r="C30" s="17">
        <f>C16-C23</f>
        <v/>
      </c>
      <c r="D30" s="17">
        <f>D16-D23</f>
        <v/>
      </c>
      <c r="E30" s="17">
        <f>E16-E23</f>
        <v/>
      </c>
      <c r="F30" s="17">
        <f>SUM(C30:E30)</f>
        <v/>
      </c>
      <c r="G30" s="18">
        <f>IFERROR(F30/F16,0)</f>
        <v/>
      </c>
      <c r="H30" s="19">
        <f>H16-H23</f>
        <v/>
      </c>
      <c r="I30" s="17">
        <f>F30-H30</f>
        <v/>
      </c>
      <c r="J30" s="18">
        <f>IFERROR(I30/ABS(H30),0)</f>
        <v/>
      </c>
    </row>
    <row r="31">
      <c r="A31" s="15" t="inlineStr">
        <is>
          <t>3b.3</t>
        </is>
      </c>
      <c r="B31" s="16" t="inlineStr">
        <is>
          <t>Margen Bruto – Diseño &amp; Arquitectura</t>
        </is>
      </c>
      <c r="C31" s="17">
        <f>C17-C24</f>
        <v/>
      </c>
      <c r="D31" s="17">
        <f>D17-D24</f>
        <v/>
      </c>
      <c r="E31" s="17">
        <f>E17-E24</f>
        <v/>
      </c>
      <c r="F31" s="17">
        <f>SUM(C31:E31)</f>
        <v/>
      </c>
      <c r="G31" s="18">
        <f>IFERROR(F31/F17,0)</f>
        <v/>
      </c>
      <c r="H31" s="19">
        <f>H17-H24</f>
        <v/>
      </c>
      <c r="I31" s="17">
        <f>F31-H31</f>
        <v/>
      </c>
      <c r="J31" s="18">
        <f>IFERROR(I31/ABS(H31),0)</f>
        <v/>
      </c>
    </row>
    <row r="32">
      <c r="A32" s="15" t="inlineStr">
        <is>
          <t>3b.4</t>
        </is>
      </c>
      <c r="B32" s="16" t="inlineStr">
        <is>
          <t>Margen Bruto – Otras LN</t>
        </is>
      </c>
      <c r="C32" s="17">
        <f>C18-C25</f>
        <v/>
      </c>
      <c r="D32" s="17">
        <f>D18-D25</f>
        <v/>
      </c>
      <c r="E32" s="17">
        <f>E18-E25</f>
        <v/>
      </c>
      <c r="F32" s="17">
        <f>SUM(C32:E32)</f>
        <v/>
      </c>
      <c r="G32" s="18">
        <f>IFERROR(F32/F18,0)</f>
        <v/>
      </c>
      <c r="H32" s="19">
        <f>H18-H25</f>
        <v/>
      </c>
      <c r="I32" s="17">
        <f>F32-H32</f>
        <v/>
      </c>
      <c r="J32" s="18">
        <f>IFERROR(I32/ABS(H32),0)</f>
        <v/>
      </c>
    </row>
    <row r="33">
      <c r="A33" s="10" t="inlineStr">
        <is>
          <t>3b.T</t>
        </is>
      </c>
      <c r="B33" s="11" t="inlineStr">
        <is>
          <t>TOTAL MARGEN BRUTO</t>
        </is>
      </c>
      <c r="C33" s="12">
        <f>SUM(C29:C32)</f>
        <v/>
      </c>
      <c r="D33" s="12">
        <f>SUM(D29:D32)</f>
        <v/>
      </c>
      <c r="E33" s="12">
        <f>SUM(E29:E32)</f>
        <v/>
      </c>
      <c r="F33" s="12">
        <f>SUM(F29:F32)</f>
        <v/>
      </c>
      <c r="G33" s="13">
        <f>IFERROR(F33/F19,0)</f>
        <v/>
      </c>
      <c r="H33" s="14">
        <f>SUM(H29:H32)</f>
        <v/>
      </c>
      <c r="I33" s="12">
        <f>F33-H33</f>
        <v/>
      </c>
      <c r="J33" s="13">
        <f>IFERROR(I33/ABS(H33),0)</f>
        <v/>
      </c>
    </row>
    <row r="34" ht="6" customHeight="1">
      <c r="A34" s="8" t="n"/>
      <c r="B34" s="8" t="n"/>
      <c r="C34" s="8" t="n"/>
      <c r="D34" s="8" t="n"/>
      <c r="E34" s="8" t="n"/>
      <c r="F34" s="8" t="n"/>
      <c r="G34" s="8" t="n"/>
      <c r="H34" s="8" t="n"/>
      <c r="I34" s="8" t="n"/>
      <c r="J34" s="8" t="n"/>
    </row>
    <row r="35" ht="18" customHeight="1">
      <c r="A35" s="9" t="inlineStr">
        <is>
          <t>SEC 05 · GASTOS ADMINISTRATIVOS Y DE VENTAS (GAV)   [ Entrada manual: S/ Miles ]</t>
        </is>
      </c>
    </row>
    <row r="36">
      <c r="A36" s="20" t="inlineStr">
        <is>
          <t>05.1</t>
        </is>
      </c>
      <c r="B36" s="21" t="inlineStr">
        <is>
          <t>Personal &amp; Beneficios</t>
        </is>
      </c>
      <c r="C36" s="22" t="n">
        <v>0</v>
      </c>
      <c r="D36" s="22" t="n">
        <v>0</v>
      </c>
      <c r="E36" s="22" t="n">
        <v>0</v>
      </c>
      <c r="F36" s="17">
        <f>SUM(C36:E36)</f>
        <v/>
      </c>
      <c r="G36" s="18">
        <f>IFERROR(F36/F19,0)</f>
        <v/>
      </c>
      <c r="H36" s="24" t="n">
        <v>0</v>
      </c>
      <c r="I36" s="17">
        <f>F36-H36</f>
        <v/>
      </c>
      <c r="J36" s="18">
        <f>IFERROR(I36/ABS(H36),0)</f>
        <v/>
      </c>
    </row>
    <row r="37">
      <c r="A37" s="20" t="inlineStr">
        <is>
          <t>05.2</t>
        </is>
      </c>
      <c r="B37" s="21" t="inlineStr">
        <is>
          <t>Alquileres &amp; Servicios</t>
        </is>
      </c>
      <c r="C37" s="22" t="n">
        <v>0</v>
      </c>
      <c r="D37" s="22" t="n">
        <v>0</v>
      </c>
      <c r="E37" s="22" t="n">
        <v>0</v>
      </c>
      <c r="F37" s="17">
        <f>SUM(C37:E37)</f>
        <v/>
      </c>
      <c r="G37" s="18">
        <f>IFERROR(F37/F19,0)</f>
        <v/>
      </c>
      <c r="H37" s="24" t="n">
        <v>0</v>
      </c>
      <c r="I37" s="17">
        <f>F37-H37</f>
        <v/>
      </c>
      <c r="J37" s="18">
        <f>IFERROR(I37/ABS(H37),0)</f>
        <v/>
      </c>
    </row>
    <row r="38">
      <c r="A38" s="20" t="inlineStr">
        <is>
          <t>05.3</t>
        </is>
      </c>
      <c r="B38" s="21" t="inlineStr">
        <is>
          <t>Tecnología &amp; Sistemas</t>
        </is>
      </c>
      <c r="C38" s="22" t="n">
        <v>0</v>
      </c>
      <c r="D38" s="22" t="n">
        <v>0</v>
      </c>
      <c r="E38" s="22" t="n">
        <v>0</v>
      </c>
      <c r="F38" s="17">
        <f>SUM(C38:E38)</f>
        <v/>
      </c>
      <c r="G38" s="18">
        <f>IFERROR(F38/F19,0)</f>
        <v/>
      </c>
      <c r="H38" s="24" t="n">
        <v>0</v>
      </c>
      <c r="I38" s="17">
        <f>F38-H38</f>
        <v/>
      </c>
      <c r="J38" s="18">
        <f>IFERROR(I38/ABS(H38),0)</f>
        <v/>
      </c>
    </row>
    <row r="39">
      <c r="A39" s="20" t="inlineStr">
        <is>
          <t>05.4</t>
        </is>
      </c>
      <c r="B39" s="21" t="inlineStr">
        <is>
          <t>Marketing &amp; Ventas</t>
        </is>
      </c>
      <c r="C39" s="22" t="n">
        <v>0</v>
      </c>
      <c r="D39" s="22" t="n">
        <v>0</v>
      </c>
      <c r="E39" s="22" t="n">
        <v>0</v>
      </c>
      <c r="F39" s="17">
        <f>SUM(C39:E39)</f>
        <v/>
      </c>
      <c r="G39" s="18">
        <f>IFERROR(F39/F19,0)</f>
        <v/>
      </c>
      <c r="H39" s="24" t="n">
        <v>0</v>
      </c>
      <c r="I39" s="17">
        <f>F39-H39</f>
        <v/>
      </c>
      <c r="J39" s="18">
        <f>IFERROR(I39/ABS(H39),0)</f>
        <v/>
      </c>
    </row>
    <row r="40">
      <c r="A40" s="20" t="inlineStr">
        <is>
          <t>05.5</t>
        </is>
      </c>
      <c r="B40" s="21" t="inlineStr">
        <is>
          <t>Otros Gastos Operativos</t>
        </is>
      </c>
      <c r="C40" s="22" t="n">
        <v>0</v>
      </c>
      <c r="D40" s="22" t="n">
        <v>0</v>
      </c>
      <c r="E40" s="22" t="n">
        <v>0</v>
      </c>
      <c r="F40" s="17">
        <f>SUM(C40:E40)</f>
        <v/>
      </c>
      <c r="G40" s="18">
        <f>IFERROR(F40/F19,0)</f>
        <v/>
      </c>
      <c r="H40" s="24" t="n">
        <v>0</v>
      </c>
      <c r="I40" s="17">
        <f>F40-H40</f>
        <v/>
      </c>
      <c r="J40" s="18">
        <f>IFERROR(I40/ABS(H40),0)</f>
        <v/>
      </c>
    </row>
    <row r="41">
      <c r="A41" s="10" t="inlineStr">
        <is>
          <t>05.T</t>
        </is>
      </c>
      <c r="B41" s="11" t="inlineStr">
        <is>
          <t>TOTAL GAV</t>
        </is>
      </c>
      <c r="C41" s="12">
        <f>SUM(C36:C40)</f>
        <v/>
      </c>
      <c r="D41" s="12">
        <f>SUM(D36:D40)</f>
        <v/>
      </c>
      <c r="E41" s="12">
        <f>SUM(E36:E40)</f>
        <v/>
      </c>
      <c r="F41" s="12">
        <f>SUM(F36:F40)</f>
        <v/>
      </c>
      <c r="G41" s="13">
        <f>IFERROR(F41/F19,0)</f>
        <v/>
      </c>
      <c r="H41" s="14">
        <f>SUM(H36:H40)</f>
        <v/>
      </c>
      <c r="I41" s="12">
        <f>F41-H41</f>
        <v/>
      </c>
      <c r="J41" s="13">
        <f>IFERROR(I41/ABS(H41),0)</f>
        <v/>
      </c>
    </row>
    <row r="42" ht="6" customHeight="1">
      <c r="A42" s="8" t="n"/>
      <c r="B42" s="8" t="n"/>
      <c r="C42" s="8" t="n"/>
      <c r="D42" s="8" t="n"/>
      <c r="E42" s="8" t="n"/>
      <c r="F42" s="8" t="n"/>
      <c r="G42" s="8" t="n"/>
      <c r="H42" s="8" t="n"/>
      <c r="I42" s="8" t="n"/>
      <c r="J42" s="8" t="n"/>
    </row>
    <row r="43" ht="28" customHeight="1">
      <c r="A43" s="25" t="inlineStr">
        <is>
          <t>FLUJO DE CÁLCULO: SEC02 (Ingresos INPUT) → SEC03 (COGS INPUT) → SEC03b (Margen=02−03, calculado) → SEC05 (GAV INPUT) → SEC01 (P&amp;L Resumen, 100% calculado). Celdas en AZUL = dato a ingresar. Celdas con fondo CELESTE = calculadas. Columna AMARILLA = presupuesto trimestral.</t>
        </is>
      </c>
    </row>
  </sheetData>
  <mergeCells count="8">
    <mergeCell ref="A1:J1"/>
    <mergeCell ref="A5:J5"/>
    <mergeCell ref="A14:J14"/>
    <mergeCell ref="A21:J21"/>
    <mergeCell ref="A35:J35"/>
    <mergeCell ref="A43:J43"/>
    <mergeCell ref="A2:J2"/>
    <mergeCell ref="A28:J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0" customWidth="1" min="7" max="7"/>
    <col width="14" customWidth="1" min="8" max="8"/>
    <col width="14" customWidth="1" min="9" max="9"/>
    <col width="10" customWidth="1" min="10" max="10"/>
  </cols>
  <sheetData>
    <row r="1" ht="30" customHeight="1">
      <c r="A1" s="5" t="inlineStr">
        <is>
          <t>CMO GROUP – B2 · EFICIENCIA OPERATIVA &amp; CAJA</t>
        </is>
      </c>
    </row>
    <row r="2" ht="18" customHeight="1">
      <c r="A2" s="6" t="inlineStr">
        <is>
          <t>Período: Q1 2026 (Ene–Mar)  |  Azul = INPUT  |  Celeste = Calculado</t>
        </is>
      </c>
    </row>
    <row r="3" ht="22" customHeight="1">
      <c r="A3" s="7" t="inlineStr">
        <is>
          <t>Cód</t>
        </is>
      </c>
      <c r="B3" s="7" t="inlineStr">
        <is>
          <t>Descripción</t>
        </is>
      </c>
      <c r="C3" s="7" t="inlineStr">
        <is>
          <t>Ene</t>
        </is>
      </c>
      <c r="D3" s="7" t="inlineStr">
        <is>
          <t>Feb</t>
        </is>
      </c>
      <c r="E3" s="7" t="inlineStr">
        <is>
          <t>Mar</t>
        </is>
      </c>
      <c r="F3" s="7" t="inlineStr">
        <is>
          <t>Q Real</t>
        </is>
      </c>
      <c r="G3" s="7" t="inlineStr">
        <is>
          <t>%/Ratio</t>
        </is>
      </c>
      <c r="H3" s="7" t="inlineStr">
        <is>
          <t>Q Ppto</t>
        </is>
      </c>
      <c r="I3" s="7" t="inlineStr">
        <is>
          <t>Var</t>
        </is>
      </c>
      <c r="J3" s="7" t="inlineStr">
        <is>
          <t>Var%</t>
        </is>
      </c>
    </row>
    <row r="4" ht="4" customHeight="1">
      <c r="A4" s="8" t="n"/>
      <c r="B4" s="8" t="n"/>
      <c r="C4" s="8" t="n"/>
      <c r="D4" s="8" t="n"/>
      <c r="E4" s="8" t="n"/>
      <c r="F4" s="8" t="n"/>
      <c r="G4" s="8" t="n"/>
      <c r="H4" s="8" t="n"/>
      <c r="I4" s="8" t="n"/>
      <c r="J4" s="8" t="n"/>
    </row>
    <row r="5" ht="18" customHeight="1">
      <c r="A5" s="9" t="inlineStr">
        <is>
          <t>SEC 06 · HORAS HOMBRE FACTURABLES   [ Entrada manual: horas ]</t>
        </is>
      </c>
    </row>
    <row r="6">
      <c r="A6" s="20" t="inlineStr">
        <is>
          <t>06.1</t>
        </is>
      </c>
      <c r="B6" s="21" t="inlineStr">
        <is>
          <t>HH Disponibles</t>
        </is>
      </c>
      <c r="C6" s="26" t="n">
        <v>0</v>
      </c>
      <c r="D6" s="26" t="n">
        <v>0</v>
      </c>
      <c r="E6" s="26" t="n">
        <v>0</v>
      </c>
      <c r="F6" s="27">
        <f>SUM(C6:E6)</f>
        <v/>
      </c>
      <c r="G6" s="28" t="inlineStr"/>
      <c r="H6" s="29" t="n">
        <v>0</v>
      </c>
      <c r="I6" s="27">
        <f>F6-H6</f>
        <v/>
      </c>
      <c r="J6" s="18">
        <f>IFERROR(I6/ABS(H6),0)</f>
        <v/>
      </c>
    </row>
    <row r="7">
      <c r="A7" s="20" t="inlineStr">
        <is>
          <t>06.2</t>
        </is>
      </c>
      <c r="B7" s="21" t="inlineStr">
        <is>
          <t>HH Facturadas</t>
        </is>
      </c>
      <c r="C7" s="26" t="n">
        <v>0</v>
      </c>
      <c r="D7" s="26" t="n">
        <v>0</v>
      </c>
      <c r="E7" s="26" t="n">
        <v>0</v>
      </c>
      <c r="F7" s="27">
        <f>SUM(C7:E7)</f>
        <v/>
      </c>
      <c r="G7" s="18">
        <f>IFERROR(F7/F6,0)</f>
        <v/>
      </c>
      <c r="H7" s="29" t="n">
        <v>0</v>
      </c>
      <c r="I7" s="27">
        <f>F7-H7</f>
        <v/>
      </c>
      <c r="J7" s="18">
        <f>IFERROR(I7/ABS(H7),0)</f>
        <v/>
      </c>
    </row>
    <row r="8">
      <c r="A8" s="15" t="inlineStr">
        <is>
          <t>06.3</t>
        </is>
      </c>
      <c r="B8" s="16" t="inlineStr">
        <is>
          <t>Tasa de Utilización HH</t>
        </is>
      </c>
      <c r="C8" s="18">
        <f>IFERROR(C7/C6,0)</f>
        <v/>
      </c>
      <c r="D8" s="18">
        <f>IFERROR(D7/D6,0)</f>
        <v/>
      </c>
      <c r="E8" s="18">
        <f>IFERROR(E7/E6,0)</f>
        <v/>
      </c>
      <c r="F8" s="18">
        <f>IFERROR(F7/F6,0)</f>
        <v/>
      </c>
      <c r="G8" s="18" t="inlineStr"/>
      <c r="H8" s="30">
        <f>IFERROR(H7/H6,0)</f>
        <v/>
      </c>
      <c r="I8" s="18">
        <f>F8-H8</f>
        <v/>
      </c>
      <c r="J8" s="18">
        <f>IFERROR(I8/ABS(H8),0)</f>
        <v/>
      </c>
    </row>
    <row r="9" ht="6" customHeight="1">
      <c r="A9" s="8" t="n"/>
      <c r="B9" s="8" t="n"/>
      <c r="C9" s="8" t="n"/>
      <c r="D9" s="8" t="n"/>
      <c r="E9" s="8" t="n"/>
      <c r="F9" s="8" t="n"/>
      <c r="G9" s="8" t="n"/>
      <c r="H9" s="8" t="n"/>
      <c r="I9" s="8" t="n"/>
      <c r="J9" s="8" t="n"/>
    </row>
    <row r="10" ht="18" customHeight="1">
      <c r="A10" s="9" t="inlineStr">
        <is>
          <t>SEC 07 · CUENTAS POR COBRAR (CxC)   [ Entrada manual: S/ Miles ]</t>
        </is>
      </c>
    </row>
    <row r="11">
      <c r="A11" s="20" t="inlineStr">
        <is>
          <t>07.1</t>
        </is>
      </c>
      <c r="B11" s="21" t="inlineStr">
        <is>
          <t>CxC Corriente (0–30 días)</t>
        </is>
      </c>
      <c r="C11" s="22" t="n">
        <v>0</v>
      </c>
      <c r="D11" s="22" t="n">
        <v>0</v>
      </c>
      <c r="E11" s="22" t="n">
        <v>0</v>
      </c>
      <c r="F11" s="17">
        <f>SUM(C11:E11)</f>
        <v/>
      </c>
      <c r="G11" s="18">
        <f>IFERROR(F11/SUM(F11:F13),0)</f>
        <v/>
      </c>
      <c r="H11" s="24" t="n">
        <v>0</v>
      </c>
      <c r="I11" s="17">
        <f>F11-H11</f>
        <v/>
      </c>
      <c r="J11" s="18">
        <f>IFERROR(I11/ABS(H11),0)</f>
        <v/>
      </c>
    </row>
    <row r="12">
      <c r="A12" s="20" t="inlineStr">
        <is>
          <t>07.2</t>
        </is>
      </c>
      <c r="B12" s="21" t="inlineStr">
        <is>
          <t>CxC Vencida 31–60 días</t>
        </is>
      </c>
      <c r="C12" s="22" t="n">
        <v>0</v>
      </c>
      <c r="D12" s="22" t="n">
        <v>0</v>
      </c>
      <c r="E12" s="22" t="n">
        <v>0</v>
      </c>
      <c r="F12" s="17">
        <f>SUM(C12:E12)</f>
        <v/>
      </c>
      <c r="G12" s="18">
        <f>IFERROR(F12/SUM(F11:F13),0)</f>
        <v/>
      </c>
      <c r="H12" s="24" t="n">
        <v>0</v>
      </c>
      <c r="I12" s="17">
        <f>F12-H12</f>
        <v/>
      </c>
      <c r="J12" s="18">
        <f>IFERROR(I12/ABS(H12),0)</f>
        <v/>
      </c>
    </row>
    <row r="13">
      <c r="A13" s="20" t="inlineStr">
        <is>
          <t>07.3</t>
        </is>
      </c>
      <c r="B13" s="21" t="inlineStr">
        <is>
          <t>CxC Vencida +60 días</t>
        </is>
      </c>
      <c r="C13" s="22" t="n">
        <v>0</v>
      </c>
      <c r="D13" s="22" t="n">
        <v>0</v>
      </c>
      <c r="E13" s="22" t="n">
        <v>0</v>
      </c>
      <c r="F13" s="17">
        <f>SUM(C13:E13)</f>
        <v/>
      </c>
      <c r="G13" s="18">
        <f>IFERROR(F13/SUM(F11:F13),0)</f>
        <v/>
      </c>
      <c r="H13" s="24" t="n">
        <v>0</v>
      </c>
      <c r="I13" s="17">
        <f>F13-H13</f>
        <v/>
      </c>
      <c r="J13" s="18">
        <f>IFERROR(I13/ABS(H13),0)</f>
        <v/>
      </c>
    </row>
    <row r="14">
      <c r="A14" s="20" t="inlineStr">
        <is>
          <t>07.4</t>
        </is>
      </c>
      <c r="B14" s="21" t="inlineStr">
        <is>
          <t>Ingresos del Período (referencia)</t>
        </is>
      </c>
      <c r="C14" s="22" t="n">
        <v>0</v>
      </c>
      <c r="D14" s="22" t="n">
        <v>0</v>
      </c>
      <c r="E14" s="22" t="n">
        <v>0</v>
      </c>
      <c r="F14" s="17">
        <f>SUM(C14:E14)</f>
        <v/>
      </c>
      <c r="G14" s="31">
        <f>IFERROR(SUM(F11:F13)/F14*90,0)</f>
        <v/>
      </c>
      <c r="H14" s="24" t="n">
        <v>0</v>
      </c>
      <c r="I14" s="17">
        <f>F14-H14</f>
        <v/>
      </c>
      <c r="J14" s="18">
        <f>IFERROR(I14/ABS(H14),0)</f>
        <v/>
      </c>
    </row>
    <row r="15">
      <c r="A15" s="10" t="inlineStr">
        <is>
          <t>07.T</t>
        </is>
      </c>
      <c r="B15" s="11" t="inlineStr">
        <is>
          <t>TOTAL CxC (excl. referencia)</t>
        </is>
      </c>
      <c r="C15" s="12">
        <f>SUM(C11:C13)</f>
        <v/>
      </c>
      <c r="D15" s="12">
        <f>SUM(D11:D13)</f>
        <v/>
      </c>
      <c r="E15" s="12">
        <f>SUM(E11:E13)</f>
        <v/>
      </c>
      <c r="F15" s="12">
        <f>SUM(F11:F13)</f>
        <v/>
      </c>
      <c r="G15" s="13">
        <f>IFERROR(F15/F14,0)</f>
        <v/>
      </c>
      <c r="H15" s="14">
        <f>SUM(H11:H13)</f>
        <v/>
      </c>
      <c r="I15" s="12">
        <f>F15-H15</f>
        <v/>
      </c>
      <c r="J15" s="13">
        <f>IFERROR(I15/ABS(H15),0)</f>
        <v/>
      </c>
    </row>
    <row r="16" ht="6" customHeight="1">
      <c r="A16" s="8" t="n"/>
      <c r="B16" s="8" t="n"/>
      <c r="C16" s="8" t="n"/>
      <c r="D16" s="8" t="n"/>
      <c r="E16" s="8" t="n"/>
      <c r="F16" s="8" t="n"/>
      <c r="G16" s="8" t="n"/>
      <c r="H16" s="8" t="n"/>
      <c r="I16" s="8" t="n"/>
      <c r="J16" s="8" t="n"/>
    </row>
    <row r="17" ht="18" customHeight="1">
      <c r="A17" s="9" t="inlineStr">
        <is>
          <t>SEC 08 · POSICIÓN DE CAJA   [ Entrada manual: S/ Miles ]</t>
        </is>
      </c>
    </row>
    <row r="18">
      <c r="A18" s="20" t="inlineStr">
        <is>
          <t>08.1</t>
        </is>
      </c>
      <c r="B18" s="21" t="inlineStr">
        <is>
          <t>Saldo Inicial de Caja</t>
        </is>
      </c>
      <c r="C18" s="22" t="n">
        <v>0</v>
      </c>
      <c r="D18" s="22" t="n">
        <v>0</v>
      </c>
      <c r="E18" s="22" t="n">
        <v>0</v>
      </c>
      <c r="F18" s="17">
        <f>SUM(C18:E18)</f>
        <v/>
      </c>
      <c r="G18" s="28" t="inlineStr"/>
      <c r="H18" s="24" t="n">
        <v>0</v>
      </c>
      <c r="I18" s="17">
        <f>F18-H18</f>
        <v/>
      </c>
      <c r="J18" s="18">
        <f>IFERROR(I18/ABS(H18),0)</f>
        <v/>
      </c>
    </row>
    <row r="19">
      <c r="A19" s="20" t="inlineStr">
        <is>
          <t>08.2</t>
        </is>
      </c>
      <c r="B19" s="21" t="inlineStr">
        <is>
          <t>Ingresos Cobrados (Recaudación)</t>
        </is>
      </c>
      <c r="C19" s="22" t="n">
        <v>0</v>
      </c>
      <c r="D19" s="22" t="n">
        <v>0</v>
      </c>
      <c r="E19" s="22" t="n">
        <v>0</v>
      </c>
      <c r="F19" s="17">
        <f>SUM(C19:E19)</f>
        <v/>
      </c>
      <c r="G19" s="28" t="inlineStr"/>
      <c r="H19" s="24" t="n">
        <v>0</v>
      </c>
      <c r="I19" s="17">
        <f>F19-H19</f>
        <v/>
      </c>
      <c r="J19" s="18">
        <f>IFERROR(I19/ABS(H19),0)</f>
        <v/>
      </c>
    </row>
    <row r="20">
      <c r="A20" s="20" t="inlineStr">
        <is>
          <t>08.3</t>
        </is>
      </c>
      <c r="B20" s="21" t="inlineStr">
        <is>
          <t>Pagos Operativos</t>
        </is>
      </c>
      <c r="C20" s="22" t="n">
        <v>0</v>
      </c>
      <c r="D20" s="22" t="n">
        <v>0</v>
      </c>
      <c r="E20" s="22" t="n">
        <v>0</v>
      </c>
      <c r="F20" s="17">
        <f>SUM(C20:E20)</f>
        <v/>
      </c>
      <c r="G20" s="28" t="inlineStr"/>
      <c r="H20" s="24" t="n">
        <v>0</v>
      </c>
      <c r="I20" s="17">
        <f>F20-H20</f>
        <v/>
      </c>
      <c r="J20" s="18">
        <f>IFERROR(I20/ABS(H20),0)</f>
        <v/>
      </c>
    </row>
    <row r="21">
      <c r="A21" s="20" t="inlineStr">
        <is>
          <t>08.4</t>
        </is>
      </c>
      <c r="B21" s="21" t="inlineStr">
        <is>
          <t>Pagos Financieros</t>
        </is>
      </c>
      <c r="C21" s="22" t="n">
        <v>0</v>
      </c>
      <c r="D21" s="22" t="n">
        <v>0</v>
      </c>
      <c r="E21" s="22" t="n">
        <v>0</v>
      </c>
      <c r="F21" s="17">
        <f>SUM(C21:E21)</f>
        <v/>
      </c>
      <c r="G21" s="28" t="inlineStr"/>
      <c r="H21" s="24" t="n">
        <v>0</v>
      </c>
      <c r="I21" s="17">
        <f>F21-H21</f>
        <v/>
      </c>
      <c r="J21" s="18">
        <f>IFERROR(I21/ABS(H21),0)</f>
        <v/>
      </c>
    </row>
    <row r="22">
      <c r="A22" s="10" t="inlineStr">
        <is>
          <t>08.5</t>
        </is>
      </c>
      <c r="B22" s="11" t="inlineStr">
        <is>
          <t>Flujo Neto de Caja</t>
        </is>
      </c>
      <c r="C22" s="12">
        <f>C19-C20-C21</f>
        <v/>
      </c>
      <c r="D22" s="12">
        <f>D19-D20-D21</f>
        <v/>
      </c>
      <c r="E22" s="12">
        <f>E19-E20-E21</f>
        <v/>
      </c>
      <c r="F22" s="12">
        <f>F19-F20-F21</f>
        <v/>
      </c>
      <c r="G22" s="13">
        <f>IFERROR(F22/F19,0)</f>
        <v/>
      </c>
      <c r="H22" s="14">
        <f>H19-H20-H21</f>
        <v/>
      </c>
      <c r="I22" s="12">
        <f>F22-H22</f>
        <v/>
      </c>
      <c r="J22" s="13">
        <f>IFERROR(I22/ABS(H22),0)</f>
        <v/>
      </c>
    </row>
    <row r="23">
      <c r="A23" s="10" t="inlineStr">
        <is>
          <t>08.6</t>
        </is>
      </c>
      <c r="B23" s="11" t="inlineStr">
        <is>
          <t>Saldo Final de Caja</t>
        </is>
      </c>
      <c r="C23" s="12">
        <f>C18+C22</f>
        <v/>
      </c>
      <c r="D23" s="12">
        <f>C23+D22</f>
        <v/>
      </c>
      <c r="E23" s="12">
        <f>D23+E22</f>
        <v/>
      </c>
      <c r="F23" s="12">
        <f>E23</f>
        <v/>
      </c>
      <c r="G23" s="13" t="inlineStr"/>
      <c r="H23" s="14">
        <f>H18+H22</f>
        <v/>
      </c>
      <c r="I23" s="12">
        <f>F23-H23</f>
        <v/>
      </c>
      <c r="J23" s="13">
        <f>IFERROR(I23/ABS(H23),0)</f>
        <v/>
      </c>
    </row>
    <row r="24" ht="28" customHeight="1">
      <c r="A24" s="25" t="inlineStr">
        <is>
          <t>Tasa de Utilización HH = HH Facturadas / HH Disponibles. DSO (días) = CxC Total / Ingresos del Período × 90. Celdas AZUL = datos a ingresar. Fondo CELESTE = calculado. Columna AMARILLA = presupuesto trimestral.</t>
        </is>
      </c>
    </row>
  </sheetData>
  <mergeCells count="6">
    <mergeCell ref="A1:J1"/>
    <mergeCell ref="A5:J5"/>
    <mergeCell ref="A17:J17"/>
    <mergeCell ref="A24:J24"/>
    <mergeCell ref="A2:J2"/>
    <mergeCell ref="A10:J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0" customWidth="1" min="7" max="7"/>
    <col width="14" customWidth="1" min="8" max="8"/>
    <col width="14" customWidth="1" min="9" max="9"/>
    <col width="10" customWidth="1" min="10" max="10"/>
  </cols>
  <sheetData>
    <row r="1" ht="30" customHeight="1">
      <c r="A1" s="5" t="inlineStr">
        <is>
          <t>CMO GROUP – B3 · VISIÓN COMERCIAL</t>
        </is>
      </c>
    </row>
    <row r="2" ht="18" customHeight="1">
      <c r="A2" s="6" t="inlineStr">
        <is>
          <t>Período: Q1 2026  |  Unidades: S/ Miles y Número de contratos/oportunidades</t>
        </is>
      </c>
    </row>
    <row r="3" ht="22" customHeight="1">
      <c r="A3" s="7" t="inlineStr">
        <is>
          <t>Cód</t>
        </is>
      </c>
      <c r="B3" s="7" t="inlineStr">
        <is>
          <t>Descripción</t>
        </is>
      </c>
      <c r="C3" s="7" t="inlineStr">
        <is>
          <t>Ene</t>
        </is>
      </c>
      <c r="D3" s="7" t="inlineStr">
        <is>
          <t>Feb</t>
        </is>
      </c>
      <c r="E3" s="7" t="inlineStr">
        <is>
          <t>Mar</t>
        </is>
      </c>
      <c r="F3" s="7" t="inlineStr">
        <is>
          <t>Q Real</t>
        </is>
      </c>
      <c r="G3" s="7" t="inlineStr">
        <is>
          <t>%/Ratio</t>
        </is>
      </c>
      <c r="H3" s="7" t="inlineStr">
        <is>
          <t>Q Ppto</t>
        </is>
      </c>
      <c r="I3" s="7" t="inlineStr">
        <is>
          <t>Var</t>
        </is>
      </c>
      <c r="J3" s="7" t="inlineStr">
        <is>
          <t>Var%</t>
        </is>
      </c>
    </row>
    <row r="4" ht="4" customHeight="1">
      <c r="A4" s="8" t="n"/>
      <c r="B4" s="8" t="n"/>
      <c r="C4" s="8" t="n"/>
      <c r="D4" s="8" t="n"/>
      <c r="E4" s="8" t="n"/>
      <c r="F4" s="8" t="n"/>
      <c r="G4" s="8" t="n"/>
      <c r="H4" s="8" t="n"/>
      <c r="I4" s="8" t="n"/>
      <c r="J4" s="8" t="n"/>
    </row>
    <row r="5" ht="18" customHeight="1">
      <c r="A5" s="9" t="inlineStr">
        <is>
          <t>SEC 09 · BACKLOG (CONTRATOS EN EJECUCIÓN)   [ S/ Miles ]</t>
        </is>
      </c>
    </row>
    <row r="6">
      <c r="A6" s="20" t="inlineStr">
        <is>
          <t>09.1</t>
        </is>
      </c>
      <c r="B6" s="21" t="inlineStr">
        <is>
          <t>Backlog – Consultoría &amp; Proyectos</t>
        </is>
      </c>
      <c r="C6" s="22" t="n">
        <v>0</v>
      </c>
      <c r="D6" s="22" t="n">
        <v>0</v>
      </c>
      <c r="E6" s="22" t="n">
        <v>0</v>
      </c>
      <c r="F6" s="17">
        <f>SUM(C6:E6)</f>
        <v/>
      </c>
      <c r="G6" s="18">
        <f>IFERROR(F6/SUM(F6:F8),0)</f>
        <v/>
      </c>
      <c r="H6" s="24" t="n">
        <v>0</v>
      </c>
      <c r="I6" s="17">
        <f>F6-H6</f>
        <v/>
      </c>
      <c r="J6" s="18">
        <f>IFERROR(I6/ABS(H6),0)</f>
        <v/>
      </c>
    </row>
    <row r="7">
      <c r="A7" s="20" t="inlineStr">
        <is>
          <t>09.2</t>
        </is>
      </c>
      <c r="B7" s="21" t="inlineStr">
        <is>
          <t>Backlog – Construcción &amp; Obras</t>
        </is>
      </c>
      <c r="C7" s="22" t="n">
        <v>0</v>
      </c>
      <c r="D7" s="22" t="n">
        <v>0</v>
      </c>
      <c r="E7" s="22" t="n">
        <v>0</v>
      </c>
      <c r="F7" s="17">
        <f>SUM(C7:E7)</f>
        <v/>
      </c>
      <c r="G7" s="18">
        <f>IFERROR(F7/SUM(F6:F8),0)</f>
        <v/>
      </c>
      <c r="H7" s="24" t="n">
        <v>0</v>
      </c>
      <c r="I7" s="17">
        <f>F7-H7</f>
        <v/>
      </c>
      <c r="J7" s="18">
        <f>IFERROR(I7/ABS(H7),0)</f>
        <v/>
      </c>
    </row>
    <row r="8">
      <c r="A8" s="20" t="inlineStr">
        <is>
          <t>09.3</t>
        </is>
      </c>
      <c r="B8" s="21" t="inlineStr">
        <is>
          <t>Backlog – Diseño &amp; Arquitectura</t>
        </is>
      </c>
      <c r="C8" s="22" t="n">
        <v>0</v>
      </c>
      <c r="D8" s="22" t="n">
        <v>0</v>
      </c>
      <c r="E8" s="22" t="n">
        <v>0</v>
      </c>
      <c r="F8" s="17">
        <f>SUM(C8:E8)</f>
        <v/>
      </c>
      <c r="G8" s="18">
        <f>IFERROR(F8/SUM(F6:F8),0)</f>
        <v/>
      </c>
      <c r="H8" s="24" t="n">
        <v>0</v>
      </c>
      <c r="I8" s="17">
        <f>F8-H8</f>
        <v/>
      </c>
      <c r="J8" s="18">
        <f>IFERROR(I8/ABS(H8),0)</f>
        <v/>
      </c>
    </row>
    <row r="9">
      <c r="A9" s="10" t="inlineStr">
        <is>
          <t>09.T</t>
        </is>
      </c>
      <c r="B9" s="11" t="inlineStr">
        <is>
          <t>TOTAL BACKLOG</t>
        </is>
      </c>
      <c r="C9" s="12">
        <f>SUM(C6:C8)</f>
        <v/>
      </c>
      <c r="D9" s="12">
        <f>SUM(D6:D8)</f>
        <v/>
      </c>
      <c r="E9" s="12">
        <f>SUM(E6:E8)</f>
        <v/>
      </c>
      <c r="F9" s="12">
        <f>SUM(F6:F8)</f>
        <v/>
      </c>
      <c r="G9" s="13" t="inlineStr">
        <is>
          <t>1</t>
        </is>
      </c>
      <c r="H9" s="14">
        <f>SUM(H6:H8)</f>
        <v/>
      </c>
      <c r="I9" s="12">
        <f>F9-H9</f>
        <v/>
      </c>
      <c r="J9" s="13">
        <f>IFERROR(I9/ABS(H9),0)</f>
        <v/>
      </c>
    </row>
    <row r="10" ht="6" customHeight="1">
      <c r="A10" s="8" t="n"/>
      <c r="B10" s="8" t="n"/>
      <c r="C10" s="8" t="n"/>
      <c r="D10" s="8" t="n"/>
      <c r="E10" s="8" t="n"/>
      <c r="F10" s="8" t="n"/>
      <c r="G10" s="8" t="n"/>
      <c r="H10" s="8" t="n"/>
      <c r="I10" s="8" t="n"/>
      <c r="J10" s="8" t="n"/>
    </row>
    <row r="11" ht="18" customHeight="1">
      <c r="A11" s="9" t="inlineStr">
        <is>
          <t>SEC 10 · PIPELINE COMERCIAL (PROPUESTAS EN CURSO)   [ S/ Miles ]</t>
        </is>
      </c>
    </row>
    <row r="12">
      <c r="A12" s="20" t="inlineStr">
        <is>
          <t>10.1</t>
        </is>
      </c>
      <c r="B12" s="21" t="inlineStr">
        <is>
          <t>Pipeline Calificado (prob ≥ 50%)</t>
        </is>
      </c>
      <c r="C12" s="22" t="n">
        <v>0</v>
      </c>
      <c r="D12" s="22" t="n">
        <v>0</v>
      </c>
      <c r="E12" s="22" t="n">
        <v>0</v>
      </c>
      <c r="F12" s="17">
        <f>SUM(C12:E12)</f>
        <v/>
      </c>
      <c r="G12" s="18">
        <f>IFERROR(F12/SUM(F12:F14),0)</f>
        <v/>
      </c>
      <c r="H12" s="24" t="n">
        <v>0</v>
      </c>
      <c r="I12" s="17">
        <f>F12-H12</f>
        <v/>
      </c>
      <c r="J12" s="18">
        <f>IFERROR(I12/ABS(H12),0)</f>
        <v/>
      </c>
    </row>
    <row r="13">
      <c r="A13" s="20" t="inlineStr">
        <is>
          <t>10.2</t>
        </is>
      </c>
      <c r="B13" s="21" t="inlineStr">
        <is>
          <t>Pipeline en Negociación (prob ≥ 70%)</t>
        </is>
      </c>
      <c r="C13" s="22" t="n">
        <v>0</v>
      </c>
      <c r="D13" s="22" t="n">
        <v>0</v>
      </c>
      <c r="E13" s="22" t="n">
        <v>0</v>
      </c>
      <c r="F13" s="17">
        <f>SUM(C13:E13)</f>
        <v/>
      </c>
      <c r="G13" s="18">
        <f>IFERROR(F13/SUM(F12:F14),0)</f>
        <v/>
      </c>
      <c r="H13" s="24" t="n">
        <v>0</v>
      </c>
      <c r="I13" s="17">
        <f>F13-H13</f>
        <v/>
      </c>
      <c r="J13" s="18">
        <f>IFERROR(I13/ABS(H13),0)</f>
        <v/>
      </c>
    </row>
    <row r="14">
      <c r="A14" s="20" t="inlineStr">
        <is>
          <t>10.3</t>
        </is>
      </c>
      <c r="B14" s="21" t="inlineStr">
        <is>
          <t>Pipeline Cierre Inminente (prob ≥ 90%)</t>
        </is>
      </c>
      <c r="C14" s="22" t="n">
        <v>0</v>
      </c>
      <c r="D14" s="22" t="n">
        <v>0</v>
      </c>
      <c r="E14" s="22" t="n">
        <v>0</v>
      </c>
      <c r="F14" s="17">
        <f>SUM(C14:E14)</f>
        <v/>
      </c>
      <c r="G14" s="18">
        <f>IFERROR(F14/SUM(F12:F14),0)</f>
        <v/>
      </c>
      <c r="H14" s="24" t="n">
        <v>0</v>
      </c>
      <c r="I14" s="17">
        <f>F14-H14</f>
        <v/>
      </c>
      <c r="J14" s="18">
        <f>IFERROR(I14/ABS(H14),0)</f>
        <v/>
      </c>
    </row>
    <row r="15">
      <c r="A15" s="10" t="inlineStr">
        <is>
          <t>10.T</t>
        </is>
      </c>
      <c r="B15" s="11" t="inlineStr">
        <is>
          <t>TOTAL PIPELINE</t>
        </is>
      </c>
      <c r="C15" s="12">
        <f>SUM(C12:C14)</f>
        <v/>
      </c>
      <c r="D15" s="12">
        <f>SUM(D12:D14)</f>
        <v/>
      </c>
      <c r="E15" s="12">
        <f>SUM(E12:E14)</f>
        <v/>
      </c>
      <c r="F15" s="12">
        <f>SUM(F12:F14)</f>
        <v/>
      </c>
      <c r="G15" s="13" t="inlineStr">
        <is>
          <t>1</t>
        </is>
      </c>
      <c r="H15" s="14">
        <f>SUM(H12:H14)</f>
        <v/>
      </c>
      <c r="I15" s="12">
        <f>F15-H15</f>
        <v/>
      </c>
      <c r="J15" s="13">
        <f>IFERROR(I15/ABS(H15),0)</f>
        <v/>
      </c>
    </row>
    <row r="16" ht="6" customHeight="1">
      <c r="A16" s="8" t="n"/>
      <c r="B16" s="8" t="n"/>
      <c r="C16" s="8" t="n"/>
      <c r="D16" s="8" t="n"/>
      <c r="E16" s="8" t="n"/>
      <c r="F16" s="8" t="n"/>
      <c r="G16" s="8" t="n"/>
      <c r="H16" s="8" t="n"/>
      <c r="I16" s="8" t="n"/>
      <c r="J16" s="8" t="n"/>
    </row>
    <row r="17" ht="18" customHeight="1">
      <c r="A17" s="9" t="inlineStr">
        <is>
          <t>SEC 11 · NUEVAS VENTAS POR FUENTE   [ S/ Miles ]</t>
        </is>
      </c>
    </row>
    <row r="18">
      <c r="A18" s="20" t="inlineStr">
        <is>
          <t>11.1</t>
        </is>
      </c>
      <c r="B18" s="21" t="inlineStr">
        <is>
          <t>Referidos &amp; Red de Contactos</t>
        </is>
      </c>
      <c r="C18" s="22" t="n">
        <v>0</v>
      </c>
      <c r="D18" s="22" t="n">
        <v>0</v>
      </c>
      <c r="E18" s="22" t="n">
        <v>0</v>
      </c>
      <c r="F18" s="17">
        <f>SUM(C18:E18)</f>
        <v/>
      </c>
      <c r="G18" s="18">
        <f>IFERROR(F18/SUM(F18:F21),0)</f>
        <v/>
      </c>
      <c r="H18" s="24" t="n">
        <v>0</v>
      </c>
      <c r="I18" s="17">
        <f>F18-H18</f>
        <v/>
      </c>
      <c r="J18" s="18">
        <f>IFERROR(I18/ABS(H18),0)</f>
        <v/>
      </c>
    </row>
    <row r="19">
      <c r="A19" s="20" t="inlineStr">
        <is>
          <t>11.2</t>
        </is>
      </c>
      <c r="B19" s="21" t="inlineStr">
        <is>
          <t>Licitaciones Públicas</t>
        </is>
      </c>
      <c r="C19" s="22" t="n">
        <v>0</v>
      </c>
      <c r="D19" s="22" t="n">
        <v>0</v>
      </c>
      <c r="E19" s="22" t="n">
        <v>0</v>
      </c>
      <c r="F19" s="17">
        <f>SUM(C19:E19)</f>
        <v/>
      </c>
      <c r="G19" s="18">
        <f>IFERROR(F19/SUM(F18:F21),0)</f>
        <v/>
      </c>
      <c r="H19" s="24" t="n">
        <v>0</v>
      </c>
      <c r="I19" s="17">
        <f>F19-H19</f>
        <v/>
      </c>
      <c r="J19" s="18">
        <f>IFERROR(I19/ABS(H19),0)</f>
        <v/>
      </c>
    </row>
    <row r="20">
      <c r="A20" s="20" t="inlineStr">
        <is>
          <t>11.3</t>
        </is>
      </c>
      <c r="B20" s="21" t="inlineStr">
        <is>
          <t>Licitaciones Privadas</t>
        </is>
      </c>
      <c r="C20" s="22" t="n">
        <v>0</v>
      </c>
      <c r="D20" s="22" t="n">
        <v>0</v>
      </c>
      <c r="E20" s="22" t="n">
        <v>0</v>
      </c>
      <c r="F20" s="17">
        <f>SUM(C20:E20)</f>
        <v/>
      </c>
      <c r="G20" s="18">
        <f>IFERROR(F20/SUM(F18:F21),0)</f>
        <v/>
      </c>
      <c r="H20" s="24" t="n">
        <v>0</v>
      </c>
      <c r="I20" s="17">
        <f>F20-H20</f>
        <v/>
      </c>
      <c r="J20" s="18">
        <f>IFERROR(I20/ABS(H20),0)</f>
        <v/>
      </c>
    </row>
    <row r="21">
      <c r="A21" s="20" t="inlineStr">
        <is>
          <t>11.4</t>
        </is>
      </c>
      <c r="B21" s="21" t="inlineStr">
        <is>
          <t>Iniciativa Directa / Proactiva</t>
        </is>
      </c>
      <c r="C21" s="22" t="n">
        <v>0</v>
      </c>
      <c r="D21" s="22" t="n">
        <v>0</v>
      </c>
      <c r="E21" s="22" t="n">
        <v>0</v>
      </c>
      <c r="F21" s="17">
        <f>SUM(C21:E21)</f>
        <v/>
      </c>
      <c r="G21" s="18">
        <f>IFERROR(F21/SUM(F18:F21),0)</f>
        <v/>
      </c>
      <c r="H21" s="24" t="n">
        <v>0</v>
      </c>
      <c r="I21" s="17">
        <f>F21-H21</f>
        <v/>
      </c>
      <c r="J21" s="18">
        <f>IFERROR(I21/ABS(H21),0)</f>
        <v/>
      </c>
    </row>
    <row r="22">
      <c r="A22" s="10" t="inlineStr">
        <is>
          <t>11.T</t>
        </is>
      </c>
      <c r="B22" s="11" t="inlineStr">
        <is>
          <t>TOTAL NUEVAS VENTAS</t>
        </is>
      </c>
      <c r="C22" s="12">
        <f>SUM(C18:C21)</f>
        <v/>
      </c>
      <c r="D22" s="12">
        <f>SUM(D18:D21)</f>
        <v/>
      </c>
      <c r="E22" s="12">
        <f>SUM(E18:E21)</f>
        <v/>
      </c>
      <c r="F22" s="12">
        <f>SUM(F18:F21)</f>
        <v/>
      </c>
      <c r="G22" s="13" t="inlineStr">
        <is>
          <t>1</t>
        </is>
      </c>
      <c r="H22" s="14">
        <f>SUM(H18:H21)</f>
        <v/>
      </c>
      <c r="I22" s="12">
        <f>F22-H22</f>
        <v/>
      </c>
      <c r="J22" s="13">
        <f>IFERROR(I22/ABS(H22),0)</f>
        <v/>
      </c>
    </row>
    <row r="23" ht="28" customHeight="1">
      <c r="A23" s="25" t="inlineStr">
        <is>
          <t>Backlog = Valor contractual pendiente de facturar. Pipeline = Valor estimado de propuestas en curso. La columna % muestra el mix dentro de cada bloque. Celdas AZUL = datos a ingresar. Fondo CELESTE = calculado.</t>
        </is>
      </c>
    </row>
  </sheetData>
  <mergeCells count="6">
    <mergeCell ref="A1:J1"/>
    <mergeCell ref="A23:J23"/>
    <mergeCell ref="A5:J5"/>
    <mergeCell ref="A17:J17"/>
    <mergeCell ref="A2:J2"/>
    <mergeCell ref="A11:J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5" customWidth="1" min="2" max="2"/>
    <col width="15" customWidth="1" min="3" max="3"/>
    <col width="15" customWidth="1" min="4" max="4"/>
    <col width="15" customWidth="1" min="5" max="5"/>
    <col width="18" customWidth="1" min="6" max="6"/>
    <col width="12" customWidth="1" min="7" max="7"/>
    <col width="14" customWidth="1" min="8" max="8"/>
  </cols>
  <sheetData>
    <row r="1" ht="30" customHeight="1">
      <c r="A1" s="5" t="inlineStr">
        <is>
          <t>CMO GROUP – B4 · GESTIÓN ESTRATÉGICA</t>
        </is>
      </c>
    </row>
    <row r="2" ht="18" customHeight="1">
      <c r="A2" s="6" t="inlineStr">
        <is>
          <t>Período: Q1 2026  |  Semáforo: Verde = En marcha / Rojo = Atención</t>
        </is>
      </c>
    </row>
    <row r="3" ht="22" customHeight="1">
      <c r="A3" s="7" t="inlineStr">
        <is>
          <t>#</t>
        </is>
      </c>
      <c r="B3" s="7" t="inlineStr">
        <is>
          <t>Ítem / Descripción</t>
        </is>
      </c>
      <c r="C3" s="7" t="inlineStr">
        <is>
          <t>Responsable</t>
        </is>
      </c>
      <c r="D3" s="7" t="inlineStr">
        <is>
          <t>Fecha Límite</t>
        </is>
      </c>
      <c r="E3" s="7" t="inlineStr">
        <is>
          <t>Estado</t>
        </is>
      </c>
      <c r="F3" s="7" t="inlineStr">
        <is>
          <t>Comentario / Avance</t>
        </is>
      </c>
      <c r="G3" s="7" t="inlineStr">
        <is>
          <t>Prioridad</t>
        </is>
      </c>
      <c r="H3" s="7" t="inlineStr">
        <is>
          <t>Semáforo</t>
        </is>
      </c>
    </row>
    <row r="4" ht="4" customHeight="1">
      <c r="A4" s="8" t="n"/>
      <c r="B4" s="8" t="n"/>
      <c r="C4" s="8" t="n"/>
      <c r="D4" s="8" t="n"/>
      <c r="E4" s="8" t="n"/>
      <c r="F4" s="8" t="n"/>
      <c r="G4" s="8" t="n"/>
      <c r="H4" s="8" t="n"/>
      <c r="I4" s="8" t="n"/>
      <c r="J4" s="8" t="n"/>
    </row>
    <row r="5" ht="18" customHeight="1">
      <c r="A5" s="9" t="inlineStr">
        <is>
          <t>SEC 12 · GREEN FLAGS – AVANCES DESTACADOS DEL PERÍODO</t>
        </is>
      </c>
    </row>
    <row r="6" ht="30" customHeight="1">
      <c r="A6" s="32" t="inlineStr">
        <is>
          <t>G1</t>
        </is>
      </c>
      <c r="B6" s="21" t="inlineStr">
        <is>
          <t>Indicar logro o avance positivo</t>
        </is>
      </c>
      <c r="C6" s="21" t="inlineStr"/>
      <c r="D6" s="21" t="inlineStr"/>
      <c r="E6" s="21" t="inlineStr"/>
      <c r="F6" s="21" t="inlineStr"/>
      <c r="G6" s="21" t="inlineStr"/>
      <c r="H6" s="33" t="inlineStr">
        <is>
          <t>🟢</t>
        </is>
      </c>
    </row>
    <row r="7" ht="30" customHeight="1">
      <c r="A7" s="32" t="inlineStr">
        <is>
          <t>G2</t>
        </is>
      </c>
      <c r="B7" s="21" t="inlineStr">
        <is>
          <t>Indicar logro o avance positivo</t>
        </is>
      </c>
      <c r="C7" s="21" t="inlineStr"/>
      <c r="D7" s="21" t="inlineStr"/>
      <c r="E7" s="21" t="inlineStr"/>
      <c r="F7" s="21" t="inlineStr"/>
      <c r="G7" s="21" t="inlineStr"/>
      <c r="H7" s="33" t="inlineStr">
        <is>
          <t>🟢</t>
        </is>
      </c>
    </row>
    <row r="8" ht="30" customHeight="1">
      <c r="A8" s="32" t="inlineStr">
        <is>
          <t>G3</t>
        </is>
      </c>
      <c r="B8" s="21" t="inlineStr">
        <is>
          <t>Indicar logro o avance positivo</t>
        </is>
      </c>
      <c r="C8" s="21" t="inlineStr"/>
      <c r="D8" s="21" t="inlineStr"/>
      <c r="E8" s="21" t="inlineStr"/>
      <c r="F8" s="21" t="inlineStr"/>
      <c r="G8" s="21" t="inlineStr"/>
      <c r="H8" s="33" t="inlineStr">
        <is>
          <t>🟢</t>
        </is>
      </c>
    </row>
    <row r="9" ht="6" customHeight="1">
      <c r="A9" s="8" t="n"/>
      <c r="B9" s="8" t="n"/>
      <c r="C9" s="8" t="n"/>
      <c r="D9" s="8" t="n"/>
      <c r="E9" s="8" t="n"/>
      <c r="F9" s="8" t="n"/>
      <c r="G9" s="8" t="n"/>
      <c r="H9" s="8" t="n"/>
      <c r="I9" s="8" t="n"/>
      <c r="J9" s="8" t="n"/>
    </row>
    <row r="10" ht="18" customHeight="1">
      <c r="A10" s="9" t="inlineStr">
        <is>
          <t>SEC 13 · RED FLAGS – ALERTAS Y TEMAS DE ATENCIÓN</t>
        </is>
      </c>
    </row>
    <row r="11" ht="30" customHeight="1">
      <c r="A11" s="34" t="inlineStr">
        <is>
          <t>R1</t>
        </is>
      </c>
      <c r="B11" s="21" t="inlineStr">
        <is>
          <t>Indicar riesgo, problema o alerta</t>
        </is>
      </c>
      <c r="C11" s="21" t="inlineStr"/>
      <c r="D11" s="21" t="inlineStr"/>
      <c r="E11" s="21" t="inlineStr"/>
      <c r="F11" s="21" t="inlineStr"/>
      <c r="G11" s="21" t="inlineStr"/>
      <c r="H11" s="33" t="inlineStr">
        <is>
          <t>🔴</t>
        </is>
      </c>
    </row>
    <row r="12" ht="30" customHeight="1">
      <c r="A12" s="34" t="inlineStr">
        <is>
          <t>R2</t>
        </is>
      </c>
      <c r="B12" s="21" t="inlineStr">
        <is>
          <t>Indicar riesgo, problema o alerta</t>
        </is>
      </c>
      <c r="C12" s="21" t="inlineStr"/>
      <c r="D12" s="21" t="inlineStr"/>
      <c r="E12" s="21" t="inlineStr"/>
      <c r="F12" s="21" t="inlineStr"/>
      <c r="G12" s="21" t="inlineStr"/>
      <c r="H12" s="33" t="inlineStr">
        <is>
          <t>🔴</t>
        </is>
      </c>
    </row>
    <row r="13" ht="30" customHeight="1">
      <c r="A13" s="34" t="inlineStr">
        <is>
          <t>R3</t>
        </is>
      </c>
      <c r="B13" s="21" t="inlineStr">
        <is>
          <t>Indicar riesgo, problema o alerta</t>
        </is>
      </c>
      <c r="C13" s="21" t="inlineStr"/>
      <c r="D13" s="21" t="inlineStr"/>
      <c r="E13" s="21" t="inlineStr"/>
      <c r="F13" s="21" t="inlineStr"/>
      <c r="G13" s="21" t="inlineStr"/>
      <c r="H13" s="33" t="inlineStr">
        <is>
          <t>🔴</t>
        </is>
      </c>
    </row>
    <row r="14" ht="6" customHeight="1">
      <c r="A14" s="8" t="n"/>
      <c r="B14" s="8" t="n"/>
      <c r="C14" s="8" t="n"/>
      <c r="D14" s="8" t="n"/>
      <c r="E14" s="8" t="n"/>
      <c r="F14" s="8" t="n"/>
      <c r="G14" s="8" t="n"/>
      <c r="H14" s="8" t="n"/>
      <c r="I14" s="8" t="n"/>
      <c r="J14" s="8" t="n"/>
    </row>
    <row r="15" ht="18" customHeight="1">
      <c r="A15" s="9" t="inlineStr">
        <is>
          <t>SEC 14 · MUST WIN BATTLES – PRIORIDADES ESTRATÉGICAS DEL TRIMESTRE</t>
        </is>
      </c>
    </row>
    <row r="16" ht="30" customHeight="1">
      <c r="A16" s="35" t="inlineStr">
        <is>
          <t>MW1</t>
        </is>
      </c>
      <c r="B16" s="21" t="inlineStr">
        <is>
          <t>Must Win #1: Indicar objetivo crítico</t>
        </is>
      </c>
      <c r="C16" s="21" t="inlineStr"/>
      <c r="D16" s="21" t="inlineStr"/>
      <c r="E16" s="21" t="inlineStr"/>
      <c r="F16" s="21" t="inlineStr"/>
      <c r="G16" s="21" t="inlineStr"/>
      <c r="H16" s="33" t="inlineStr">
        <is>
          <t>⚡</t>
        </is>
      </c>
    </row>
    <row r="17" ht="30" customHeight="1">
      <c r="A17" s="35" t="inlineStr">
        <is>
          <t>MW2</t>
        </is>
      </c>
      <c r="B17" s="21" t="inlineStr">
        <is>
          <t>Must Win #2: Indicar objetivo crítico</t>
        </is>
      </c>
      <c r="C17" s="21" t="inlineStr"/>
      <c r="D17" s="21" t="inlineStr"/>
      <c r="E17" s="21" t="inlineStr"/>
      <c r="F17" s="21" t="inlineStr"/>
      <c r="G17" s="21" t="inlineStr"/>
      <c r="H17" s="33" t="inlineStr">
        <is>
          <t>⚡</t>
        </is>
      </c>
    </row>
    <row r="18" ht="30" customHeight="1">
      <c r="A18" s="35" t="inlineStr">
        <is>
          <t>MW3</t>
        </is>
      </c>
      <c r="B18" s="21" t="inlineStr">
        <is>
          <t>Must Win #3: Indicar objetivo crítico</t>
        </is>
      </c>
      <c r="C18" s="21" t="inlineStr"/>
      <c r="D18" s="21" t="inlineStr"/>
      <c r="E18" s="21" t="inlineStr"/>
      <c r="F18" s="21" t="inlineStr"/>
      <c r="G18" s="21" t="inlineStr"/>
      <c r="H18" s="33" t="inlineStr">
        <is>
          <t>⚡</t>
        </is>
      </c>
    </row>
    <row r="19" ht="30" customHeight="1">
      <c r="A19" s="35" t="inlineStr">
        <is>
          <t>MW4</t>
        </is>
      </c>
      <c r="B19" s="21" t="inlineStr">
        <is>
          <t>Must Win #4: Indicar objetivo crítico</t>
        </is>
      </c>
      <c r="C19" s="21" t="inlineStr"/>
      <c r="D19" s="21" t="inlineStr"/>
      <c r="E19" s="21" t="inlineStr"/>
      <c r="F19" s="21" t="inlineStr"/>
      <c r="G19" s="21" t="inlineStr"/>
      <c r="H19" s="33" t="inlineStr">
        <is>
          <t>⚡</t>
        </is>
      </c>
    </row>
    <row r="20" ht="6" customHeight="1">
      <c r="A20" s="8" t="n"/>
      <c r="B20" s="8" t="n"/>
      <c r="C20" s="8" t="n"/>
      <c r="D20" s="8" t="n"/>
      <c r="E20" s="8" t="n"/>
      <c r="F20" s="8" t="n"/>
      <c r="G20" s="8" t="n"/>
      <c r="H20" s="8" t="n"/>
      <c r="I20" s="8" t="n"/>
      <c r="J20" s="8" t="n"/>
    </row>
    <row r="21" ht="28" customHeight="1">
      <c r="A21" s="25" t="inlineStr">
        <is>
          <t>Green Flags: logros que el Directorio debe reconocer. Red Flags: temas que requieren atención o decisión del Directorio. Must Win Battles: las 3–4 prioridades críticas que el equipo gerencial se compromete a ganar este trimestre. Complete las celdas AZUL antes de enviar el libro al Directorio.</t>
        </is>
      </c>
    </row>
  </sheetData>
  <mergeCells count="6">
    <mergeCell ref="A1:H1"/>
    <mergeCell ref="A15:H15"/>
    <mergeCell ref="A2:H2"/>
    <mergeCell ref="A21:J21"/>
    <mergeCell ref="A10:H10"/>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2026-04-08T14:32:41Z</dcterms:created>
  <dcterms:modified xmlns:dcterms="http://purl.org/dc/terms/" xmlns:xsi="http://www.w3.org/2001/XMLSchema-instance" xsi:type="dcterms:W3CDTF">2026-05-06T12:26:58Z</dcterms:modified>
</cp:coreProperties>
</file>